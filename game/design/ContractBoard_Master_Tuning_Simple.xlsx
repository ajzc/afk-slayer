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3D3226"/>
      <sz val="18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0E8FF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5EDE0"/>
      </patternFill>
    </fill>
    <fill>
      <patternFill patternType="solid">
        <fgColor rgb="005D4E37"/>
      </patternFill>
    </fill>
  </fills>
  <borders count="2">
    <border>
      <left/>
      <right/>
      <top/>
      <bottom/>
      <diagonal/>
    </border>
    <border>
      <left style="thin">
        <color rgb="00C4B8A8"/>
      </left>
      <right style="thin">
        <color rgb="00C4B8A8"/>
      </right>
      <top style="thin">
        <color rgb="00C4B8A8"/>
      </top>
      <bottom style="thin">
        <color rgb="00C4B8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5" borderId="0" applyAlignment="1" pivotButton="0" quotePrefix="0" xfId="0">
      <alignment vertical="center"/>
    </xf>
    <xf numFmtId="0" fontId="4" fillId="6" borderId="1" pivotButton="0" quotePrefix="0" xfId="0"/>
    <xf numFmtId="164" fontId="5" fillId="2" borderId="1" pivotButton="0" quotePrefix="0" xfId="0"/>
    <xf numFmtId="0" fontId="2" fillId="0" borderId="0" pivotButton="0" quotePrefix="0" xfId="0"/>
    <xf numFmtId="164" fontId="5" fillId="3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6" fillId="7" borderId="1" applyAlignment="1" pivotButton="0" quotePrefix="0" xfId="0">
      <alignment vertical="center" wrapText="1"/>
    </xf>
    <xf numFmtId="0" fontId="5" fillId="2" borderId="1" pivotButton="0" quotePrefix="0" xfId="0"/>
    <xf numFmtId="3" fontId="5" fillId="2" borderId="1" pivotButton="0" quotePrefix="0" xfId="0"/>
    <xf numFmtId="3" fontId="5" fillId="3" borderId="1" pivotButton="0" quotePrefix="0" xfId="0"/>
    <xf numFmtId="2" fontId="5" fillId="3" borderId="1" pivotButton="0" quotePrefix="0" xfId="0"/>
    <xf numFmtId="9" fontId="5" fillId="2" borderId="1" pivotButton="0" quotePrefix="0" xfId="0"/>
    <xf numFmtId="165" fontId="5" fillId="3" borderId="1" pivotButton="0" quotePrefix="0" xfId="0"/>
    <xf numFmtId="0" fontId="6" fillId="7" borderId="1" pivotButton="0" quotePrefix="0" xfId="0"/>
    <xf numFmtId="2" fontId="5" fillId="4" borderId="1" pivotButton="0" quotePrefix="0" xfId="0"/>
    <xf numFmtId="0" fontId="2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8" customWidth="1" min="13" max="13"/>
    <col width="12" customWidth="1" min="14" max="14"/>
    <col width="12" customWidth="1" min="15" max="15"/>
  </cols>
  <sheetData>
    <row r="1" ht="28" customHeight="1">
      <c r="A1" s="1" t="inlineStr">
        <is>
          <t>Contract Board — Simple Master Tuning</t>
        </is>
      </c>
    </row>
    <row r="2" ht="32" customHeight="1">
      <c r="A2" s="2" t="inlineStr">
        <is>
          <t>YELLOW = edit. BLUE = auto-calculates. Change yellow numbers and watch blue time / gold / XP estimates update. Terms: monster · hunt target · contract · task (never quarry).</t>
        </is>
      </c>
    </row>
    <row r="3">
      <c r="A3" s="3" t="inlineStr">
        <is>
          <t>EDIT</t>
        </is>
      </c>
      <c r="B3" s="4" t="inlineStr">
        <is>
          <t>AUTO</t>
        </is>
      </c>
      <c r="C3" s="5" t="inlineStr">
        <is>
          <t>RESULT SUMMARY</t>
        </is>
      </c>
    </row>
    <row r="5" ht="24" customHeight="1">
      <c r="A5" s="6" t="inlineStr">
        <is>
          <t>1 · HOW FAST YOU KILL  (edit yellow — drives every time estimate below)</t>
        </is>
      </c>
    </row>
    <row r="6">
      <c r="A6" s="7" t="inlineStr">
        <is>
          <t>Your bolt DPS</t>
        </is>
      </c>
      <c r="B6" s="8" t="n">
        <v>10</v>
      </c>
      <c r="C6" s="9" t="inlineStr">
        <is>
          <t>Early game ≈ 10. Raise this when gear/combat upgrades land.</t>
        </is>
      </c>
    </row>
    <row r="7">
      <c r="A7" s="7" t="inlineStr">
        <is>
          <t>Hunter DPS (party)</t>
        </is>
      </c>
      <c r="B7" s="8" t="n">
        <v>7.5</v>
      </c>
      <c r="C7" s="9" t="inlineStr">
        <is>
          <t>Early Briar+Quill ≈ 7.5. 0 if hunting alone.</t>
        </is>
      </c>
    </row>
    <row r="8">
      <c r="A8" s="7" t="inlineStr">
        <is>
          <t>Total DPS</t>
        </is>
      </c>
      <c r="B8" s="10">
        <f>B6+B7</f>
        <v/>
      </c>
    </row>
    <row r="9">
      <c r="A9" s="7" t="inlineStr">
        <is>
          <t>Base monster HP</t>
        </is>
      </c>
      <c r="B9" s="11" t="n">
        <v>150</v>
      </c>
      <c r="C9" s="9" t="inlineStr">
        <is>
          <t>Shared arena HP pool before each monster's HP mult.</t>
        </is>
      </c>
    </row>
    <row r="10">
      <c r="A10" s="7" t="inlineStr">
        <is>
          <t>Session length (min)</t>
        </is>
      </c>
      <c r="B10" s="11" t="n">
        <v>30</v>
      </c>
    </row>
    <row r="12" ht="24" customHeight="1">
      <c r="A12" s="6" t="inlineStr">
        <is>
          <t>2 · RANK XP CURVE  (early ranks fast · later ranks slow)</t>
        </is>
      </c>
    </row>
    <row r="13">
      <c r="A13" s="7" t="inlineStr">
        <is>
          <t>XP for rank 0→1</t>
        </is>
      </c>
      <c r="B13" s="11" t="n">
        <v>50</v>
      </c>
    </row>
    <row r="14">
      <c r="A14" s="7" t="inlineStr">
        <is>
          <t>Growth each rank</t>
        </is>
      </c>
      <c r="B14" s="12" t="n">
        <v>1.45</v>
      </c>
      <c r="C14" s="9" t="inlineStr">
        <is>
          <t>1.45 = noticeably slower each rank. Try 1.3 (faster late) or 1.6 (grindy).</t>
        </is>
      </c>
    </row>
    <row r="15">
      <c r="A15" s="7" t="inlineStr">
        <is>
          <t>XP earned / hour</t>
        </is>
      </c>
      <c r="B15" s="8" t="n">
        <v>120</v>
      </c>
      <c r="C15" s="9" t="inlineStr">
        <is>
          <t>Paste a blue Rank XP/hr from the monster table (col L) here to sync ETAs.</t>
        </is>
      </c>
    </row>
    <row r="17" ht="36" customHeight="1">
      <c r="A17" s="13" t="inlineStr">
        <is>
          <t>Rank</t>
        </is>
      </c>
      <c r="B17" s="13" t="inlineStr">
        <is>
          <t>Name</t>
        </is>
      </c>
      <c r="C17" s="13" t="inlineStr">
        <is>
          <t>XP to reach (edit)</t>
        </is>
      </c>
      <c r="D17" s="13" t="inlineStr">
        <is>
          <t>XP for this level-up</t>
        </is>
      </c>
      <c r="E17" s="13" t="inlineStr">
        <is>
          <t>Hours for this level-up</t>
        </is>
      </c>
      <c r="F17" s="13" t="inlineStr">
        <is>
          <t>Hours from start</t>
        </is>
      </c>
      <c r="G17" s="13" t="inlineStr">
        <is>
          <t>Sessions from start</t>
        </is>
      </c>
    </row>
    <row r="18">
      <c r="A18" s="7" t="n">
        <v>0</v>
      </c>
      <c r="B18" s="14" t="inlineStr">
        <is>
          <t>Recruit</t>
        </is>
      </c>
      <c r="C18" s="15" t="n">
        <v>0</v>
      </c>
      <c r="D18" s="16">
        <f>C19-C18</f>
        <v/>
      </c>
      <c r="E18" s="17">
        <f>IF($B$15&lt;=0,0,D18/$B$15)</f>
        <v/>
      </c>
      <c r="F18" s="17">
        <f>IF($B$15&lt;=0,0,C18/$B$15)</f>
        <v/>
      </c>
      <c r="G18" s="10">
        <f>IF($B$10&lt;=0,0,F18*60/$B$10)</f>
        <v/>
      </c>
    </row>
    <row r="19">
      <c r="A19" s="7" t="n">
        <v>1</v>
      </c>
      <c r="B19" s="14" t="inlineStr">
        <is>
          <t>Runner</t>
        </is>
      </c>
      <c r="C19" s="15" t="n">
        <v>50</v>
      </c>
      <c r="D19" s="16">
        <f>C20-C19</f>
        <v/>
      </c>
      <c r="E19" s="17">
        <f>IF($B$15&lt;=0,0,D19/$B$15)</f>
        <v/>
      </c>
      <c r="F19" s="17">
        <f>IF($B$15&lt;=0,0,C19/$B$15)</f>
        <v/>
      </c>
      <c r="G19" s="10">
        <f>IF($B$10&lt;=0,0,F19*60/$B$10)</f>
        <v/>
      </c>
    </row>
    <row r="20">
      <c r="A20" s="7" t="n">
        <v>2</v>
      </c>
      <c r="B20" s="14" t="inlineStr">
        <is>
          <t>Tracker</t>
        </is>
      </c>
      <c r="C20" s="15" t="n">
        <v>150</v>
      </c>
      <c r="D20" s="16">
        <f>C21-C20</f>
        <v/>
      </c>
      <c r="E20" s="17">
        <f>IF($B$15&lt;=0,0,D20/$B$15)</f>
        <v/>
      </c>
      <c r="F20" s="17">
        <f>IF($B$15&lt;=0,0,C20/$B$15)</f>
        <v/>
      </c>
      <c r="G20" s="10">
        <f>IF($B$10&lt;=0,0,F20*60/$B$10)</f>
        <v/>
      </c>
    </row>
    <row r="21">
      <c r="A21" s="7" t="n">
        <v>3</v>
      </c>
      <c r="B21" s="14" t="inlineStr">
        <is>
          <t>Hunter</t>
        </is>
      </c>
      <c r="C21" s="15" t="n">
        <v>350</v>
      </c>
      <c r="D21" s="16">
        <f>C22-C21</f>
        <v/>
      </c>
      <c r="E21" s="17">
        <f>IF($B$15&lt;=0,0,D21/$B$15)</f>
        <v/>
      </c>
      <c r="F21" s="17">
        <f>IF($B$15&lt;=0,0,C21/$B$15)</f>
        <v/>
      </c>
      <c r="G21" s="10">
        <f>IF($B$10&lt;=0,0,F21*60/$B$10)</f>
        <v/>
      </c>
    </row>
    <row r="22">
      <c r="A22" s="7" t="n">
        <v>4</v>
      </c>
      <c r="B22" s="14" t="inlineStr">
        <is>
          <t>Veteran</t>
        </is>
      </c>
      <c r="C22" s="15" t="n">
        <v>700</v>
      </c>
      <c r="D22" s="16">
        <f>C23-C22</f>
        <v/>
      </c>
      <c r="E22" s="17">
        <f>IF($B$15&lt;=0,0,D22/$B$15)</f>
        <v/>
      </c>
      <c r="F22" s="17">
        <f>IF($B$15&lt;=0,0,C22/$B$15)</f>
        <v/>
      </c>
      <c r="G22" s="10">
        <f>IF($B$10&lt;=0,0,F22*60/$B$10)</f>
        <v/>
      </c>
    </row>
    <row r="23">
      <c r="A23" s="7" t="n">
        <v>5</v>
      </c>
      <c r="B23" s="14" t="inlineStr">
        <is>
          <t>Warden</t>
        </is>
      </c>
      <c r="C23" s="15" t="n">
        <v>1300</v>
      </c>
      <c r="D23" s="16">
        <f>C24-C23</f>
        <v/>
      </c>
      <c r="E23" s="17">
        <f>IF($B$15&lt;=0,0,D23/$B$15)</f>
        <v/>
      </c>
      <c r="F23" s="17">
        <f>IF($B$15&lt;=0,0,C23/$B$15)</f>
        <v/>
      </c>
      <c r="G23" s="10">
        <f>IF($B$10&lt;=0,0,F23*60/$B$10)</f>
        <v/>
      </c>
    </row>
    <row r="24">
      <c r="A24" s="7" t="n">
        <v>6</v>
      </c>
      <c r="B24" s="14" t="inlineStr">
        <is>
          <t>Guildhand</t>
        </is>
      </c>
      <c r="C24" s="15" t="n">
        <v>2200</v>
      </c>
      <c r="D24" s="16">
        <f>C25-C24</f>
        <v/>
      </c>
      <c r="E24" s="17">
        <f>IF($B$15&lt;=0,0,D24/$B$15)</f>
        <v/>
      </c>
      <c r="F24" s="17">
        <f>IF($B$15&lt;=0,0,C24/$B$15)</f>
        <v/>
      </c>
      <c r="G24" s="10">
        <f>IF($B$10&lt;=0,0,F24*60/$B$10)</f>
        <v/>
      </c>
    </row>
    <row r="25">
      <c r="A25" s="7" t="n">
        <v>7</v>
      </c>
      <c r="B25" s="14" t="inlineStr">
        <is>
          <t>Marshal</t>
        </is>
      </c>
      <c r="C25" s="15" t="n">
        <v>3600</v>
      </c>
      <c r="D25" s="16">
        <f>C26-C25</f>
        <v/>
      </c>
      <c r="E25" s="17">
        <f>IF($B$15&lt;=0,0,D25/$B$15)</f>
        <v/>
      </c>
      <c r="F25" s="17">
        <f>IF($B$15&lt;=0,0,C25/$B$15)</f>
        <v/>
      </c>
      <c r="G25" s="10">
        <f>IF($B$10&lt;=0,0,F25*60/$B$10)</f>
        <v/>
      </c>
    </row>
    <row r="26">
      <c r="A26" s="7" t="n">
        <v>8</v>
      </c>
      <c r="B26" s="14" t="inlineStr">
        <is>
          <t>Archivist</t>
        </is>
      </c>
      <c r="C26" s="15" t="n">
        <v>5500</v>
      </c>
      <c r="D26" s="16">
        <f>C27-C26</f>
        <v/>
      </c>
      <c r="E26" s="17">
        <f>IF($B$15&lt;=0,0,D26/$B$15)</f>
        <v/>
      </c>
      <c r="F26" s="17">
        <f>IF($B$15&lt;=0,0,C26/$B$15)</f>
        <v/>
      </c>
      <c r="G26" s="10">
        <f>IF($B$10&lt;=0,0,F26*60/$B$10)</f>
        <v/>
      </c>
    </row>
    <row r="27">
      <c r="A27" s="7" t="n">
        <v>9</v>
      </c>
      <c r="B27" s="14" t="inlineStr">
        <is>
          <t>Charter Lord</t>
        </is>
      </c>
      <c r="C27" s="15" t="n">
        <v>8000</v>
      </c>
      <c r="D27" s="16">
        <f>C28-C27</f>
        <v/>
      </c>
      <c r="E27" s="17">
        <f>IF($B$15&lt;=0,0,D27/$B$15)</f>
        <v/>
      </c>
      <c r="F27" s="17">
        <f>IF($B$15&lt;=0,0,C27/$B$15)</f>
        <v/>
      </c>
      <c r="G27" s="10">
        <f>IF($B$10&lt;=0,0,F27*60/$B$10)</f>
        <v/>
      </c>
    </row>
    <row r="28">
      <c r="A28" s="7" t="n">
        <v>10</v>
      </c>
      <c r="B28" s="14" t="inlineStr">
        <is>
          <t>High Charter</t>
        </is>
      </c>
      <c r="C28" s="15" t="n">
        <v>2054</v>
      </c>
      <c r="D28" s="16">
        <f>C29-C28</f>
        <v/>
      </c>
      <c r="E28" s="17">
        <f>IF($B$15&lt;=0,0,D28/$B$15)</f>
        <v/>
      </c>
      <c r="F28" s="17">
        <f>IF($B$15&lt;=0,0,C28/$B$15)</f>
        <v/>
      </c>
      <c r="G28" s="10">
        <f>IF($B$10&lt;=0,0,F28*60/$B$10)</f>
        <v/>
      </c>
    </row>
    <row r="29">
      <c r="A29" s="7" t="n">
        <v>11</v>
      </c>
      <c r="B29" s="14" t="inlineStr">
        <is>
          <t>Vault Hand</t>
        </is>
      </c>
      <c r="C29" s="15" t="n">
        <v>2979</v>
      </c>
      <c r="D29" s="16">
        <f>C30-C29</f>
        <v/>
      </c>
      <c r="E29" s="17">
        <f>IF($B$15&lt;=0,0,D29/$B$15)</f>
        <v/>
      </c>
      <c r="F29" s="17">
        <f>IF($B$15&lt;=0,0,C29/$B$15)</f>
        <v/>
      </c>
      <c r="G29" s="10">
        <f>IF($B$10&lt;=0,0,F29*60/$B$10)</f>
        <v/>
      </c>
    </row>
    <row r="30">
      <c r="A30" s="7" t="n">
        <v>12</v>
      </c>
      <c r="B30" s="14" t="inlineStr">
        <is>
          <t>Siege Lead</t>
        </is>
      </c>
      <c r="C30" s="15" t="n">
        <v>4319</v>
      </c>
      <c r="D30" s="16">
        <f>C31-C30</f>
        <v/>
      </c>
      <c r="E30" s="17">
        <f>IF($B$15&lt;=0,0,D30/$B$15)</f>
        <v/>
      </c>
      <c r="F30" s="17">
        <f>IF($B$15&lt;=0,0,C30/$B$15)</f>
        <v/>
      </c>
      <c r="G30" s="10">
        <f>IF($B$10&lt;=0,0,F30*60/$B$10)</f>
        <v/>
      </c>
    </row>
    <row r="31">
      <c r="A31" s="7" t="n">
        <v>13</v>
      </c>
      <c r="B31" s="14" t="inlineStr">
        <is>
          <t>Relic Warden</t>
        </is>
      </c>
      <c r="C31" s="15" t="n">
        <v>6263</v>
      </c>
      <c r="D31" s="16">
        <f>C32-C31</f>
        <v/>
      </c>
      <c r="E31" s="17">
        <f>IF($B$15&lt;=0,0,D31/$B$15)</f>
        <v/>
      </c>
      <c r="F31" s="17">
        <f>IF($B$15&lt;=0,0,C31/$B$15)</f>
        <v/>
      </c>
      <c r="G31" s="10">
        <f>IF($B$10&lt;=0,0,F31*60/$B$10)</f>
        <v/>
      </c>
    </row>
    <row r="32">
      <c r="A32" s="7" t="n">
        <v>14</v>
      </c>
      <c r="B32" s="14" t="inlineStr">
        <is>
          <t>Sigil Adept</t>
        </is>
      </c>
      <c r="C32" s="15" t="n">
        <v>9081</v>
      </c>
      <c r="D32" s="16">
        <f>C33-C32</f>
        <v/>
      </c>
      <c r="E32" s="17">
        <f>IF($B$15&lt;=0,0,D32/$B$15)</f>
        <v/>
      </c>
      <c r="F32" s="17">
        <f>IF($B$15&lt;=0,0,C32/$B$15)</f>
        <v/>
      </c>
      <c r="G32" s="10">
        <f>IF($B$10&lt;=0,0,F32*60/$B$10)</f>
        <v/>
      </c>
    </row>
    <row r="33">
      <c r="A33" s="7" t="n">
        <v>15</v>
      </c>
      <c r="B33" s="14" t="inlineStr">
        <is>
          <t>Ash Ranger</t>
        </is>
      </c>
      <c r="C33" s="15" t="n">
        <v>13167</v>
      </c>
      <c r="D33" s="16">
        <f>C34-C33</f>
        <v/>
      </c>
      <c r="E33" s="17">
        <f>IF($B$15&lt;=0,0,D33/$B$15)</f>
        <v/>
      </c>
      <c r="F33" s="17">
        <f>IF($B$15&lt;=0,0,C33/$B$15)</f>
        <v/>
      </c>
      <c r="G33" s="10">
        <f>IF($B$10&lt;=0,0,F33*60/$B$10)</f>
        <v/>
      </c>
    </row>
    <row r="34">
      <c r="A34" s="7" t="n">
        <v>16</v>
      </c>
      <c r="B34" s="14" t="inlineStr">
        <is>
          <t>Bone Consul</t>
        </is>
      </c>
      <c r="C34" s="15" t="n">
        <v>19092</v>
      </c>
      <c r="D34" s="16">
        <f>C35-C34</f>
        <v/>
      </c>
      <c r="E34" s="17">
        <f>IF($B$15&lt;=0,0,D34/$B$15)</f>
        <v/>
      </c>
      <c r="F34" s="17">
        <f>IF($B$15&lt;=0,0,C34/$B$15)</f>
        <v/>
      </c>
      <c r="G34" s="10">
        <f>IF($B$10&lt;=0,0,F34*60/$B$10)</f>
        <v/>
      </c>
    </row>
    <row r="35">
      <c r="A35" s="7" t="n">
        <v>17</v>
      </c>
      <c r="B35" s="14" t="inlineStr">
        <is>
          <t>Fen Marshal</t>
        </is>
      </c>
      <c r="C35" s="15" t="n">
        <v>27684</v>
      </c>
      <c r="D35" s="16">
        <f>C36-C35</f>
        <v/>
      </c>
      <c r="E35" s="17">
        <f>IF($B$15&lt;=0,0,D35/$B$15)</f>
        <v/>
      </c>
      <c r="F35" s="17">
        <f>IF($B$15&lt;=0,0,C35/$B$15)</f>
        <v/>
      </c>
      <c r="G35" s="10">
        <f>IF($B$10&lt;=0,0,F35*60/$B$10)</f>
        <v/>
      </c>
    </row>
    <row r="36">
      <c r="A36" s="7" t="n">
        <v>18</v>
      </c>
      <c r="B36" s="14" t="inlineStr">
        <is>
          <t>Undercroft Lord</t>
        </is>
      </c>
      <c r="C36" s="15" t="n">
        <v>40142</v>
      </c>
      <c r="D36" s="16">
        <f>C37-C36</f>
        <v/>
      </c>
      <c r="E36" s="17">
        <f>IF($B$15&lt;=0,0,D36/$B$15)</f>
        <v/>
      </c>
      <c r="F36" s="17">
        <f>IF($B$15&lt;=0,0,C36/$B$15)</f>
        <v/>
      </c>
      <c r="G36" s="10">
        <f>IF($B$10&lt;=0,0,F36*60/$B$10)</f>
        <v/>
      </c>
    </row>
    <row r="37">
      <c r="A37" s="7" t="n">
        <v>19</v>
      </c>
      <c r="B37" s="14" t="inlineStr">
        <is>
          <t>Guild Sovereign</t>
        </is>
      </c>
      <c r="C37" s="15" t="n">
        <v>58205</v>
      </c>
      <c r="D37" s="16">
        <f>C38-C37</f>
        <v/>
      </c>
      <c r="E37" s="17">
        <f>IF($B$15&lt;=0,0,D37/$B$15)</f>
        <v/>
      </c>
      <c r="F37" s="17">
        <f>IF($B$15&lt;=0,0,C37/$B$15)</f>
        <v/>
      </c>
      <c r="G37" s="10">
        <f>IF($B$10&lt;=0,0,F37*60/$B$10)</f>
        <v/>
      </c>
    </row>
    <row r="38">
      <c r="A38" s="7" t="n">
        <v>20</v>
      </c>
      <c r="B38" s="14" t="inlineStr">
        <is>
          <t>Legend</t>
        </is>
      </c>
      <c r="C38" s="15" t="n">
        <v>84398</v>
      </c>
      <c r="D38" s="16" t="n">
        <v>0</v>
      </c>
      <c r="E38" s="17">
        <f>IF($B$15&lt;=0,0,D38/$B$15)</f>
        <v/>
      </c>
      <c r="F38" s="17">
        <f>IF($B$15&lt;=0,0,C38/$B$15)</f>
        <v/>
      </c>
      <c r="G38" s="10">
        <f>IF($B$10&lt;=0,0,F38*60/$B$10)</f>
        <v/>
      </c>
    </row>
    <row r="39">
      <c r="A39" s="9" t="inlineStr">
        <is>
          <t>Ranks 0–9 match the live game. Ranks 10–20 are a proposed curve — edit yellow XP values freely.</t>
        </is>
      </c>
    </row>
    <row r="41" ht="24" customHeight="1">
      <c r="A41" s="6" t="inlineStr">
        <is>
          <t>3 · MONSTERS  (one row each · edit yellow loot/combat · blue = earnings &amp; pace)</t>
        </is>
      </c>
    </row>
    <row r="42" ht="36" customHeight="1">
      <c r="A42" s="13" t="inlineStr">
        <is>
          <t>Monster</t>
        </is>
      </c>
      <c r="B42" s="13" t="inlineStr">
        <is>
          <t>Area</t>
        </is>
      </c>
      <c r="C42" s="13" t="inlineStr">
        <is>
          <t>HP mult</t>
        </is>
      </c>
      <c r="D42" s="13" t="inlineStr">
        <is>
          <t>Eff HP</t>
        </is>
      </c>
      <c r="E42" s="13" t="inlineStr">
        <is>
          <t>TTK (sec)</t>
        </is>
      </c>
      <c r="F42" s="13" t="inlineStr">
        <is>
          <t>Kills/min</t>
        </is>
      </c>
      <c r="G42" s="13" t="inlineStr">
        <is>
          <t>Avg gold</t>
        </is>
      </c>
      <c r="H42" s="13" t="inlineStr">
        <is>
          <t>Quota</t>
        </is>
      </c>
      <c r="I42" s="13" t="inlineStr">
        <is>
          <t>Finish bonus</t>
        </is>
      </c>
      <c r="J42" s="13" t="inlineStr">
        <is>
          <t>Scrap %</t>
        </is>
      </c>
      <c r="K42" s="13" t="inlineStr">
        <is>
          <t>Gold / hour</t>
        </is>
      </c>
      <c r="L42" s="13" t="inlineStr">
        <is>
          <t>Rank XP / hour</t>
        </is>
      </c>
      <c r="M42" s="13" t="inlineStr">
        <is>
          <t>Min / task</t>
        </is>
      </c>
      <c r="N42" s="13" t="inlineStr">
        <is>
          <t>What it feels like</t>
        </is>
      </c>
    </row>
    <row r="43">
      <c r="A43" s="14" t="inlineStr">
        <is>
          <t>Crawling Hands</t>
        </is>
      </c>
      <c r="B43" s="14" t="inlineStr">
        <is>
          <t>Undercroft</t>
        </is>
      </c>
      <c r="C43" s="12" t="n">
        <v>1.4</v>
      </c>
      <c r="D43" s="10">
        <f>C43*$B$9</f>
        <v/>
      </c>
      <c r="E43" s="17">
        <f>IF($B$8&lt;=0,0,D43/$B$8)</f>
        <v/>
      </c>
      <c r="F43" s="17">
        <f>IF(E43&lt;=0,0,60/E43)</f>
        <v/>
      </c>
      <c r="G43" s="12" t="n">
        <v>1.5</v>
      </c>
      <c r="H43" s="11" t="n">
        <v>25</v>
      </c>
      <c r="I43" s="11" t="n">
        <v>15</v>
      </c>
      <c r="J43" s="18" t="n">
        <v>0.28</v>
      </c>
      <c r="K43" s="19">
        <f>F43*60*G43</f>
        <v/>
      </c>
      <c r="L43" s="10">
        <f>IF(H43&lt;=0,0,(F43*60/H43)*FLOOR(H43*0.5+I43*0.3,1))</f>
        <v/>
      </c>
      <c r="M43" s="17">
        <f>IF(F43&lt;=0,0,H43/F43)</f>
        <v/>
      </c>
      <c r="N43" s="14" t="inlineStr">
        <is>
          <t>Tanky scrap-crawlers that lumber in slow and soak bolts.</t>
        </is>
      </c>
    </row>
    <row r="44">
      <c r="A44" s="14" t="inlineStr">
        <is>
          <t>Banshees</t>
        </is>
      </c>
      <c r="B44" s="14" t="inlineStr">
        <is>
          <t>Undercroft</t>
        </is>
      </c>
      <c r="C44" s="12" t="n">
        <v>0.7</v>
      </c>
      <c r="D44" s="10">
        <f>C44*$B$9</f>
        <v/>
      </c>
      <c r="E44" s="17">
        <f>IF($B$8&lt;=0,0,D44/$B$8)</f>
        <v/>
      </c>
      <c r="F44" s="17">
        <f>IF(E44&lt;=0,0,60/E44)</f>
        <v/>
      </c>
      <c r="G44" s="12" t="n">
        <v>3</v>
      </c>
      <c r="H44" s="11" t="n">
        <v>60</v>
      </c>
      <c r="I44" s="11" t="n">
        <v>35</v>
      </c>
      <c r="J44" s="18" t="n">
        <v>0.12</v>
      </c>
      <c r="K44" s="19">
        <f>F44*60*G44</f>
        <v/>
      </c>
      <c r="L44" s="10">
        <f>IF(H44&lt;=0,0,(F44*60/H44)*FLOOR(H44*0.5+I44*0.3,1))</f>
        <v/>
      </c>
      <c r="M44" s="17">
        <f>IF(F44&lt;=0,0,H44/F44)</f>
        <v/>
      </c>
      <c r="N44" s="14" t="inlineStr">
        <is>
          <t>Frail shriekers that dart fast and slip past lazy aim.</t>
        </is>
      </c>
    </row>
    <row r="45">
      <c r="A45" s="14" t="inlineStr">
        <is>
          <t>Infernal Mages</t>
        </is>
      </c>
      <c r="B45" s="14" t="inlineStr">
        <is>
          <t>Undercroft</t>
        </is>
      </c>
      <c r="C45" s="12" t="n">
        <v>1</v>
      </c>
      <c r="D45" s="10">
        <f>C45*$B$9</f>
        <v/>
      </c>
      <c r="E45" s="17">
        <f>IF($B$8&lt;=0,0,D45/$B$8)</f>
        <v/>
      </c>
      <c r="F45" s="17">
        <f>IF(E45&lt;=0,0,60/E45)</f>
        <v/>
      </c>
      <c r="G45" s="12" t="n">
        <v>6.5</v>
      </c>
      <c r="H45" s="11" t="n">
        <v>100</v>
      </c>
      <c r="I45" s="11" t="n">
        <v>60</v>
      </c>
      <c r="J45" s="18" t="n">
        <v>0.16</v>
      </c>
      <c r="K45" s="19">
        <f>F45*60*G45</f>
        <v/>
      </c>
      <c r="L45" s="10">
        <f>IF(H45&lt;=0,0,(F45*60/H45)*FLOOR(H45*0.5+I45*0.3,1))</f>
        <v/>
      </c>
      <c r="M45" s="17">
        <f>IF(F45&lt;=0,0,H45/F45)</f>
        <v/>
      </c>
      <c r="N45" s="14" t="inlineStr">
        <is>
          <t>Clumped casters with a shield until Pierce; gold and ember loot.</t>
        </is>
      </c>
    </row>
    <row r="46">
      <c r="A46" s="14" t="inlineStr">
        <is>
          <t>Dust Devils</t>
        </is>
      </c>
      <c r="B46" s="14" t="inlineStr">
        <is>
          <t>Fenwatch</t>
        </is>
      </c>
      <c r="C46" s="12" t="n">
        <v>1</v>
      </c>
      <c r="D46" s="10">
        <f>C46*$B$9</f>
        <v/>
      </c>
      <c r="E46" s="17">
        <f>IF($B$8&lt;=0,0,D46/$B$8)</f>
        <v/>
      </c>
      <c r="F46" s="17">
        <f>IF(E46&lt;=0,0,60/E46)</f>
        <v/>
      </c>
      <c r="G46" s="12" t="n">
        <v>7</v>
      </c>
      <c r="H46" s="11" t="n">
        <v>80</v>
      </c>
      <c r="I46" s="11" t="n">
        <v>80</v>
      </c>
      <c r="J46" s="18" t="n">
        <v>0.22</v>
      </c>
      <c r="K46" s="19">
        <f>F46*60*G46</f>
        <v/>
      </c>
      <c r="L46" s="10">
        <f>IF(H46&lt;=0,0,(F46*60/H46)*FLOOR(H46*0.5+I46*0.3,1))</f>
        <v/>
      </c>
      <c r="M46" s="17">
        <f>IF(F46&lt;=0,0,H46/F46)</f>
        <v/>
      </c>
      <c r="N46" s="14" t="inlineStr">
        <is>
          <t>Spinning grit whirlwinds that chip away at careless hunters.</t>
        </is>
      </c>
    </row>
    <row r="47">
      <c r="A47" s="14" t="inlineStr">
        <is>
          <t>Gargoyles</t>
        </is>
      </c>
      <c r="B47" s="14" t="inlineStr">
        <is>
          <t>Fenwatch</t>
        </is>
      </c>
      <c r="C47" s="12" t="n">
        <v>1</v>
      </c>
      <c r="D47" s="10">
        <f>C47*$B$9</f>
        <v/>
      </c>
      <c r="E47" s="17">
        <f>IF($B$8&lt;=0,0,D47/$B$8)</f>
        <v/>
      </c>
      <c r="F47" s="17">
        <f>IF(E47&lt;=0,0,60/E47)</f>
        <v/>
      </c>
      <c r="G47" s="12" t="n">
        <v>10</v>
      </c>
      <c r="H47" s="11" t="n">
        <v>120</v>
      </c>
      <c r="I47" s="11" t="n">
        <v>120</v>
      </c>
      <c r="J47" s="18" t="n">
        <v>0.25</v>
      </c>
      <c r="K47" s="19">
        <f>F47*60*G47</f>
        <v/>
      </c>
      <c r="L47" s="10">
        <f>IF(H47&lt;=0,0,(F47*60/H47)*FLOOR(H47*0.5+I47*0.3,1))</f>
        <v/>
      </c>
      <c r="M47" s="17">
        <f>IF(F47&lt;=0,0,H47/F47)</f>
        <v/>
      </c>
      <c r="N47" s="14" t="inlineStr">
        <is>
          <t>Stone-skinned perchers that shrug off light bolts.</t>
        </is>
      </c>
    </row>
    <row r="48">
      <c r="A48" s="14" t="inlineStr">
        <is>
          <t>Aberrant Spectres</t>
        </is>
      </c>
      <c r="B48" s="14" t="inlineStr">
        <is>
          <t>Fenwatch</t>
        </is>
      </c>
      <c r="C48" s="12" t="n">
        <v>1</v>
      </c>
      <c r="D48" s="10">
        <f>C48*$B$9</f>
        <v/>
      </c>
      <c r="E48" s="17">
        <f>IF($B$8&lt;=0,0,D48/$B$8)</f>
        <v/>
      </c>
      <c r="F48" s="17">
        <f>IF(E48&lt;=0,0,60/E48)</f>
        <v/>
      </c>
      <c r="G48" s="12" t="n">
        <v>13</v>
      </c>
      <c r="H48" s="11" t="n">
        <v>150</v>
      </c>
      <c r="I48" s="11" t="n">
        <v>160</v>
      </c>
      <c r="J48" s="18" t="n">
        <v>0.28</v>
      </c>
      <c r="K48" s="19">
        <f>F48*60*G48</f>
        <v/>
      </c>
      <c r="L48" s="10">
        <f>IF(H48&lt;=0,0,(F48*60/H48)*FLOOR(H48*0.5+I48*0.3,1))</f>
        <v/>
      </c>
      <c r="M48" s="17">
        <f>IF(F48&lt;=0,0,H48/F48)</f>
        <v/>
      </c>
      <c r="N48" s="14" t="inlineStr">
        <is>
          <t>Violet ghosts that warp sideways when you line up a shot.</t>
        </is>
      </c>
    </row>
    <row r="49">
      <c r="A49" s="14" t="inlineStr">
        <is>
          <t>Kurasks</t>
        </is>
      </c>
      <c r="B49" s="14" t="inlineStr">
        <is>
          <t>Bonevault</t>
        </is>
      </c>
      <c r="C49" s="12" t="n">
        <v>1</v>
      </c>
      <c r="D49" s="10">
        <f>C49*$B$9</f>
        <v/>
      </c>
      <c r="E49" s="17">
        <f>IF($B$8&lt;=0,0,D49/$B$8)</f>
        <v/>
      </c>
      <c r="F49" s="17">
        <f>IF(E49&lt;=0,0,60/E49)</f>
        <v/>
      </c>
      <c r="G49" s="12" t="n">
        <v>16</v>
      </c>
      <c r="H49" s="11" t="n">
        <v>140</v>
      </c>
      <c r="I49" s="11" t="n">
        <v>200</v>
      </c>
      <c r="J49" s="18" t="n">
        <v>0.3</v>
      </c>
      <c r="K49" s="19">
        <f>F49*60*G49</f>
        <v/>
      </c>
      <c r="L49" s="10">
        <f>IF(H49&lt;=0,0,(F49*60/H49)*FLOOR(H49*0.5+I49*0.3,1))</f>
        <v/>
      </c>
      <c r="M49" s="17">
        <f>IF(F49&lt;=0,0,H49/F49)</f>
        <v/>
      </c>
      <c r="N49" s="14" t="inlineStr">
        <is>
          <t>Heavy crypt beasts with thick hides and mean horns.</t>
        </is>
      </c>
    </row>
    <row r="50">
      <c r="A50" s="14" t="inlineStr">
        <is>
          <t>Gargantuan Boneguards</t>
        </is>
      </c>
      <c r="B50" s="14" t="inlineStr">
        <is>
          <t>Bonevault</t>
        </is>
      </c>
      <c r="C50" s="12" t="n">
        <v>1</v>
      </c>
      <c r="D50" s="10">
        <f>C50*$B$9</f>
        <v/>
      </c>
      <c r="E50" s="17">
        <f>IF($B$8&lt;=0,0,D50/$B$8)</f>
        <v/>
      </c>
      <c r="F50" s="17">
        <f>IF(E50&lt;=0,0,60/E50)</f>
        <v/>
      </c>
      <c r="G50" s="12" t="n">
        <v>21</v>
      </c>
      <c r="H50" s="11" t="n">
        <v>200</v>
      </c>
      <c r="I50" s="11" t="n">
        <v>280</v>
      </c>
      <c r="J50" s="18" t="n">
        <v>0.32</v>
      </c>
      <c r="K50" s="19">
        <f>F50*60*G50</f>
        <v/>
      </c>
      <c r="L50" s="10">
        <f>IF(H50&lt;=0,0,(F50*60/H50)*FLOOR(H50*0.5+I50*0.3,1))</f>
        <v/>
      </c>
      <c r="M50" s="17">
        <f>IF(F50&lt;=0,0,H50/F50)</f>
        <v/>
      </c>
      <c r="N50" s="14" t="inlineStr">
        <is>
          <t>Towering bone sentries that rattle the vault floors.</t>
        </is>
      </c>
    </row>
    <row r="51">
      <c r="A51" s="14" t="inlineStr">
        <is>
          <t>Nechryarch Kin</t>
        </is>
      </c>
      <c r="B51" s="14" t="inlineStr">
        <is>
          <t>Ash Warrens</t>
        </is>
      </c>
      <c r="C51" s="12" t="n">
        <v>1</v>
      </c>
      <c r="D51" s="10">
        <f>C51*$B$9</f>
        <v/>
      </c>
      <c r="E51" s="17">
        <f>IF($B$8&lt;=0,0,D51/$B$8)</f>
        <v/>
      </c>
      <c r="F51" s="17">
        <f>IF(E51&lt;=0,0,60/E51)</f>
        <v/>
      </c>
      <c r="G51" s="12" t="n">
        <v>27</v>
      </c>
      <c r="H51" s="11" t="n">
        <v>180</v>
      </c>
      <c r="I51" s="11" t="n">
        <v>350</v>
      </c>
      <c r="J51" s="18" t="n">
        <v>0.35</v>
      </c>
      <c r="K51" s="19">
        <f>F51*60*G51</f>
        <v/>
      </c>
      <c r="L51" s="10">
        <f>IF(H51&lt;=0,0,(F51*60/H51)*FLOOR(H51*0.5+I51*0.3,1))</f>
        <v/>
      </c>
      <c r="M51" s="17">
        <f>IF(F51&lt;=0,0,H51/F51)</f>
        <v/>
      </c>
      <c r="N51" s="14" t="inlineStr">
        <is>
          <t>Ash-born kin that swarm in packs from the warrens.</t>
        </is>
      </c>
    </row>
    <row r="52">
      <c r="A52" s="14" t="inlineStr">
        <is>
          <t>Abyssal Demons</t>
        </is>
      </c>
      <c r="B52" s="14" t="inlineStr">
        <is>
          <t>Ash Warrens</t>
        </is>
      </c>
      <c r="C52" s="12" t="n">
        <v>1</v>
      </c>
      <c r="D52" s="10">
        <f>C52*$B$9</f>
        <v/>
      </c>
      <c r="E52" s="17">
        <f>IF($B$8&lt;=0,0,D52/$B$8)</f>
        <v/>
      </c>
      <c r="F52" s="17">
        <f>IF(E52&lt;=0,0,60/E52)</f>
        <v/>
      </c>
      <c r="G52" s="12" t="n">
        <v>33.5</v>
      </c>
      <c r="H52" s="11" t="n">
        <v>250</v>
      </c>
      <c r="I52" s="11" t="n">
        <v>450</v>
      </c>
      <c r="J52" s="18" t="n">
        <v>0.38</v>
      </c>
      <c r="K52" s="19">
        <f>F52*60*G52</f>
        <v/>
      </c>
      <c r="L52" s="10">
        <f>IF(H52&lt;=0,0,(F52*60/H52)*FLOOR(H52*0.5+I52*0.3,1))</f>
        <v/>
      </c>
      <c r="M52" s="17">
        <f>IF(F52&lt;=0,0,H52/F52)</f>
        <v/>
      </c>
      <c r="N52" s="14" t="inlineStr">
        <is>
          <t>Deep-abyss brutes that burn through Food and patience.</t>
        </is>
      </c>
    </row>
    <row r="53" ht="30" customHeight="1">
      <c r="A53" s="9" t="inlineStr">
        <is>
          <t>Undercroft tip: Hands = tanky scrap teacher. Banshees = frail but hard to hit (aim −8 in full sheet). Mages = clumped gold; tougher until Bolt Pierce. Signature mats (Grip Scrap / Wail Shard / Ember Core) not spent yet.</t>
        </is>
      </c>
    </row>
    <row r="55" ht="24" customHeight="1">
      <c r="A55" s="6" t="inlineStr">
        <is>
          <t>4 · RESULTS AT A GLANCE  (all blue — updates when you edit sections 1–3)</t>
        </is>
      </c>
    </row>
    <row r="56">
      <c r="A56" s="20" t="inlineStr">
        <is>
          <t>What you care about</t>
        </is>
      </c>
      <c r="B56" s="20" t="inlineStr">
        <is>
          <t>Number</t>
        </is>
      </c>
      <c r="C56" s="20" t="inlineStr">
        <is>
          <t>Meaning</t>
        </is>
      </c>
    </row>
    <row r="57">
      <c r="A57" s="7" t="inlineStr">
        <is>
          <t>Total DPS</t>
        </is>
      </c>
      <c r="B57" s="21">
        <f>$B$8</f>
        <v/>
      </c>
      <c r="C57" s="22" t="inlineStr">
        <is>
          <t>Your damage + hunters</t>
        </is>
      </c>
    </row>
    <row r="58">
      <c r="A58" s="7" t="inlineStr">
        <is>
          <t>Hands time-to-kill (sec)</t>
        </is>
      </c>
      <c r="B58" s="21">
        <f>E43</f>
        <v/>
      </c>
      <c r="C58" s="22" t="inlineStr">
        <is>
          <t>Solo+party vs Crawling Hands</t>
        </is>
      </c>
    </row>
    <row r="59">
      <c r="A59" s="7" t="inlineStr">
        <is>
          <t>Banshees time-to-kill (sec)</t>
        </is>
      </c>
      <c r="B59" s="21">
        <f>E44</f>
        <v/>
      </c>
      <c r="C59" s="22" t="inlineStr">
        <is>
          <t>Should feel shorter HP but fiddlier aim in-game</t>
        </is>
      </c>
    </row>
    <row r="60">
      <c r="A60" s="7" t="inlineStr">
        <is>
          <t>Mages time-to-kill (sec)</t>
        </is>
      </c>
      <c r="B60" s="21">
        <f>E45</f>
        <v/>
      </c>
      <c r="C60" s="22" t="inlineStr">
        <is>
          <t>Before Pierce this understates the shield — raise HP mult to simulate</t>
        </is>
      </c>
    </row>
    <row r="61">
      <c r="A61" s="7" t="inlineStr">
        <is>
          <t>Hands gold / hour</t>
        </is>
      </c>
      <c r="B61" s="21">
        <f>K43</f>
        <v/>
      </c>
      <c r="C61" s="22" t="inlineStr">
        <is>
          <t>Combat pace gold</t>
        </is>
      </c>
    </row>
    <row r="62">
      <c r="A62" s="7" t="inlineStr">
        <is>
          <t>Banshees gold / hour</t>
        </is>
      </c>
      <c r="B62" s="21">
        <f>K44</f>
        <v/>
      </c>
      <c r="C62" s="22" t="inlineStr"/>
    </row>
    <row r="63">
      <c r="A63" s="7" t="inlineStr">
        <is>
          <t>Mages gold / hour</t>
        </is>
      </c>
      <c r="B63" s="21">
        <f>K45</f>
        <v/>
      </c>
      <c r="C63" s="22" t="inlineStr"/>
    </row>
    <row r="64">
      <c r="A64" s="7" t="inlineStr">
        <is>
          <t>Hands Rank XP / hour</t>
        </is>
      </c>
      <c r="B64" s="21">
        <f>L43</f>
        <v/>
      </c>
      <c r="C64" s="22" t="inlineStr">
        <is>
          <t>Copy into B15 to sync rank ETAs to Hands grinding</t>
        </is>
      </c>
    </row>
    <row r="65">
      <c r="A65" s="7" t="inlineStr">
        <is>
          <t>Hours to Tracker (rank 2)</t>
        </is>
      </c>
      <c r="B65" s="21">
        <f>F20</f>
        <v/>
      </c>
      <c r="C65" s="22" t="inlineStr">
        <is>
          <t>From XP curve + B15</t>
        </is>
      </c>
    </row>
    <row r="66">
      <c r="A66" s="7" t="inlineStr">
        <is>
          <t>Hours to Hunter (rank 3)</t>
        </is>
      </c>
      <c r="B66" s="21">
        <f>F21</f>
        <v/>
      </c>
      <c r="C66" s="22" t="inlineStr"/>
    </row>
    <row r="67">
      <c r="A67" s="7" t="inlineStr">
        <is>
          <t>Hours to Charter Lord (rank 9)</t>
        </is>
      </c>
      <c r="B67" s="21">
        <f>F27</f>
        <v/>
      </c>
      <c r="C67" s="22" t="inlineStr">
        <is>
          <t>End of live rank table</t>
        </is>
      </c>
    </row>
    <row r="68">
      <c r="A68" s="7" t="inlineStr">
        <is>
          <t>Hours to Rank 20</t>
        </is>
      </c>
      <c r="B68" s="21">
        <f>F38</f>
        <v/>
      </c>
      <c r="C68" s="22" t="inlineStr">
        <is>
          <t>Proposed late curve</t>
        </is>
      </c>
    </row>
    <row r="70" ht="40" customHeight="1">
      <c r="A70" s="23" t="inlineStr">
        <is>
          <t>HOW TO USE: (1) Set DPS in B6/B7. (2) Skim monster gold / HP mult / quota. (3) Copy a Rank XP/hour from col L into B15. (4) Read section 4 for hours-to-rank. Gear time gates &amp; hire timers live in the full sheet if you need them later.</t>
        </is>
      </c>
    </row>
  </sheetData>
  <mergeCells count="9">
    <mergeCell ref="A70:H70"/>
    <mergeCell ref="A2:L2"/>
    <mergeCell ref="A53:N53"/>
    <mergeCell ref="A41:L41"/>
    <mergeCell ref="A39:G39"/>
    <mergeCell ref="A1:L1"/>
    <mergeCell ref="A5:L5"/>
    <mergeCell ref="A55:L55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2026-09-24T03:20:24Z</dcterms:created>
  <dcterms:modified xsi:type="dcterms:W3CDTF">2026-09-24T03:20:24Z</dcterms:modified>
</cp:coreProperties>
</file>