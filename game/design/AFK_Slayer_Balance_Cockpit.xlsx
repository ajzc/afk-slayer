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Targets" sheetId="2" state="visible" r:id="rId2"/>
    <sheet name="Journey" sheetId="3" state="visible" r:id="rId3"/>
    <sheet name="Ranks" sheetId="4" state="visible" r:id="rId4"/>
    <sheet name="Upgrades" sheetId="5" state="visible" r:id="rId5"/>
    <sheet name="Monsters" sheetId="6" state="visible" r:id="rId6"/>
    <sheet name="Maste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3D3226"/>
      <sz val="16"/>
    </font>
    <font>
      <name val="Calibri"/>
      <b val="1"/>
      <sz val="11"/>
    </font>
    <font>
      <name val="Calibri"/>
      <i val="1"/>
      <color rgb="00555555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5D4E37"/>
      </patternFill>
    </fill>
    <fill>
      <patternFill patternType="solid">
        <fgColor rgb="00F5EDE0"/>
      </patternFill>
    </fill>
    <fill>
      <patternFill patternType="solid">
        <fgColor rgb="00D0E8FF"/>
      </patternFill>
    </fill>
  </fills>
  <borders count="2">
    <border>
      <left/>
      <right/>
      <top/>
      <bottom/>
      <diagonal/>
    </border>
    <border>
      <left style="thin">
        <color rgb="00C4B8A8"/>
      </left>
      <right style="thin">
        <color rgb="00C4B8A8"/>
      </right>
      <top style="thin">
        <color rgb="00C4B8A8"/>
      </top>
      <bottom style="thin">
        <color rgb="00C4B8A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vertical="center" wrapText="1"/>
    </xf>
    <xf numFmtId="0" fontId="2" fillId="5" borderId="1" pivotButton="0" quotePrefix="0" xfId="0"/>
    <xf numFmtId="0" fontId="6" fillId="2" borderId="1" pivotButton="0" quotePrefix="0" xfId="0"/>
    <xf numFmtId="2" fontId="6" fillId="2" borderId="1" pivotButton="0" quotePrefix="0" xfId="0"/>
    <xf numFmtId="164" fontId="6" fillId="5" borderId="1" pivotButton="0" quotePrefix="0" xfId="0"/>
    <xf numFmtId="164" fontId="6" fillId="2" borderId="1" pivotButton="0" quotePrefix="0" xfId="0"/>
    <xf numFmtId="9" fontId="6" fillId="2" borderId="1" pivotButton="0" quotePrefix="0" xfId="0"/>
    <xf numFmtId="1" fontId="6" fillId="2" borderId="1" pivotButton="0" quotePrefix="0" xfId="0"/>
    <xf numFmtId="0" fontId="3" fillId="0" borderId="0" applyAlignment="1" pivotButton="0" quotePrefix="0" xfId="0">
      <alignment wrapText="1"/>
    </xf>
    <xf numFmtId="164" fontId="6" fillId="6" borderId="1" pivotButton="0" quotePrefix="0" xfId="0"/>
    <xf numFmtId="0" fontId="6" fillId="6" borderId="1" pivotButton="0" quotePrefix="0" xfId="0"/>
    <xf numFmtId="3" fontId="6" fillId="2" borderId="1" pivotButton="0" quotePrefix="0" xfId="0"/>
    <xf numFmtId="3" fontId="6" fillId="6" borderId="1" pivotButton="0" quotePrefix="0" xfId="0"/>
    <xf numFmtId="2" fontId="6" fillId="6" borderId="1" pivotButton="0" quotePrefix="0" xfId="0"/>
    <xf numFmtId="165" fontId="6" fillId="6" borderId="1" pivotButton="0" quotePrefix="0" xfId="0"/>
    <xf numFmtId="166" fontId="6" fillId="2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B6D7A8"/>
        </patternFill>
      </fill>
    </dxf>
    <dxf>
      <fill>
        <patternFill patternType="solid">
          <fgColor rgb="00FFE599"/>
        </patternFill>
      </fill>
    </dxf>
    <dxf>
      <fill>
        <patternFill patternType="solid">
          <fgColor rgb="00EA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AFK Slayer — Balance Cockpit</t>
        </is>
      </c>
    </row>
    <row r="3">
      <c r="A3" s="2" t="inlineStr">
        <is>
          <t>What this is for</t>
        </is>
      </c>
    </row>
    <row r="4" ht="48" customHeight="1">
      <c r="A4" s="3" t="inlineStr">
        <is>
          <t>Set how long each rank / gear / hire / unlock SHOULD take, and how strong upgrades SHOULD feel. Other tabs compare the live (or proposed) numbers to those targets and flag Too fast / Too slow / Too strong / Too weak.</t>
        </is>
      </c>
    </row>
    <row r="6">
      <c r="A6" s="2" t="inlineStr">
        <is>
          <t>How to work it (repeat this loop)</t>
        </is>
      </c>
    </row>
    <row r="7" ht="28" customHeight="1">
      <c r="A7" s="3" t="inlineStr">
        <is>
          <t>1. Open Targets — fill the yellow “I want…” times and power budgets. That tab is the source of truth for feel.</t>
        </is>
      </c>
    </row>
    <row r="8" ht="28" customHeight="1">
      <c r="A8" s="3" t="inlineStr">
        <is>
          <t>2. Open Journey — read the play timeline. Green = on pace. Yellow = arrives too early (power spike risk). Red = arrives too late (feel stuck).</t>
        </is>
      </c>
    </row>
    <row r="9" ht="28" customHeight="1">
      <c r="A9" s="3" t="inlineStr">
        <is>
          <t>3. Open Ranks — tweak XP thresholds (or the curve knobs) until hours-to-rank match your Targets.</t>
        </is>
      </c>
    </row>
    <row r="10" ht="28" customHeight="1">
      <c r="A10" s="3" t="inlineStr">
        <is>
          <t>4. Open Upgrades — each row shows gate time, cost, effect, and a power score. Compare to the budget for that track. Flag column tells you Strong / Weak / OK.</t>
        </is>
      </c>
    </row>
    <row r="11" ht="28" customHeight="1">
      <c r="A11" s="3" t="inlineStr">
        <is>
          <t>5. Open Monsters &amp; Mastery — keep Undercroft (and later areas) distinct without one contract printing gold/XP.</t>
        </is>
      </c>
    </row>
    <row r="12" ht="28" customHeight="1">
      <c r="A12" s="3" t="inlineStr">
        <is>
          <t>6. When a yellow number changes, blue cells recalculate. When you lock a change, tell Game Designer / New Bot to ship it into the game.</t>
        </is>
      </c>
    </row>
    <row r="14">
      <c r="A14" s="2" t="inlineStr">
        <is>
          <t>Colors</t>
        </is>
      </c>
    </row>
    <row r="15">
      <c r="A15" s="4" t="inlineStr">
        <is>
          <t>Yellow = you edit · Blue = auto · Green banner/result = on target · Gold/Yellow flag = too fast or too strong · Red flag = too slow or too weak</t>
        </is>
      </c>
    </row>
    <row r="17">
      <c r="A17" s="2" t="inlineStr">
        <is>
          <t>Tabs at a glance</t>
        </is>
      </c>
    </row>
    <row r="18">
      <c r="A18" t="inlineStr">
        <is>
          <t>Targets (goals) → Journey (timeline health) → Ranks → Upgrades → Monsters → Mastery</t>
        </is>
      </c>
    </row>
    <row r="19">
      <c r="A19" s="5" t="inlineStr">
        <is>
          <t>Working title in code folder is still contract-board; player-facing name is AFK Slayer.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40" customWidth="1" min="5" max="5"/>
    <col width="14" customWidth="1" min="6" max="6"/>
    <col width="14" customWidth="1" min="7" max="7"/>
  </cols>
  <sheetData>
    <row r="1">
      <c r="A1" s="1" t="inlineStr">
        <is>
          <t>TARGETS — what “good pacing” means (edit yellow)</t>
        </is>
      </c>
    </row>
    <row r="2">
      <c r="A2" s="5" t="inlineStr">
        <is>
          <t>These are design goals, not live code. Journey / Ranks / Upgrades compare against this page.</t>
        </is>
      </c>
    </row>
    <row r="4" ht="22" customHeight="1">
      <c r="A4" s="6" t="inlineStr">
        <is>
          <t>A · Rank time goals (hours of play from a fresh save)</t>
        </is>
      </c>
    </row>
    <row r="5" ht="34" customHeight="1">
      <c r="A5" s="7" t="inlineStr">
        <is>
          <t>Rank</t>
        </is>
      </c>
      <c r="B5" s="7" t="inlineStr">
        <is>
          <t>Name</t>
        </is>
      </c>
      <c r="C5" s="7" t="inlineStr">
        <is>
          <t>Target hours from start</t>
        </is>
      </c>
      <c r="D5" s="7" t="inlineStr">
        <is>
          <t>Tolerance ± hours</t>
        </is>
      </c>
      <c r="E5" s="7" t="inlineStr">
        <is>
          <t>Notes</t>
        </is>
      </c>
    </row>
    <row r="6">
      <c r="A6" s="8" t="n">
        <v>0</v>
      </c>
      <c r="B6" s="9" t="inlineStr">
        <is>
          <t>Recruit</t>
        </is>
      </c>
      <c r="C6" s="10" t="n">
        <v>0</v>
      </c>
      <c r="D6" s="10" t="n">
        <v>0.25</v>
      </c>
      <c r="E6" s="9" t="inlineStr">
        <is>
          <t>Live game ranks 0–9</t>
        </is>
      </c>
    </row>
    <row r="7">
      <c r="A7" s="8" t="n">
        <v>1</v>
      </c>
      <c r="B7" s="9" t="inlineStr">
        <is>
          <t>Runner</t>
        </is>
      </c>
      <c r="C7" s="10" t="n">
        <v>0.25</v>
      </c>
      <c r="D7" s="10" t="n">
        <v>0.25</v>
      </c>
      <c r="E7" s="9" t="inlineStr">
        <is>
          <t>Live game ranks 0–9</t>
        </is>
      </c>
    </row>
    <row r="8">
      <c r="A8" s="8" t="n">
        <v>2</v>
      </c>
      <c r="B8" s="9" t="inlineStr">
        <is>
          <t>Tracker</t>
        </is>
      </c>
      <c r="C8" s="10" t="n">
        <v>1</v>
      </c>
      <c r="D8" s="10" t="n">
        <v>0.25</v>
      </c>
      <c r="E8" s="9" t="inlineStr">
        <is>
          <t>Live game ranks 0–9</t>
        </is>
      </c>
    </row>
    <row r="9">
      <c r="A9" s="8" t="n">
        <v>3</v>
      </c>
      <c r="B9" s="9" t="inlineStr">
        <is>
          <t>Hunter</t>
        </is>
      </c>
      <c r="C9" s="10" t="n">
        <v>2.5</v>
      </c>
      <c r="D9" s="10" t="n">
        <v>0.25</v>
      </c>
      <c r="E9" s="9" t="inlineStr">
        <is>
          <t>Live game ranks 0–9</t>
        </is>
      </c>
    </row>
    <row r="10">
      <c r="A10" s="8" t="n">
        <v>4</v>
      </c>
      <c r="B10" s="9" t="inlineStr">
        <is>
          <t>Veteran</t>
        </is>
      </c>
      <c r="C10" s="10" t="n">
        <v>5</v>
      </c>
      <c r="D10" s="10" t="n">
        <v>1</v>
      </c>
      <c r="E10" s="9" t="inlineStr">
        <is>
          <t>Live game ranks 0–9</t>
        </is>
      </c>
    </row>
    <row r="11">
      <c r="A11" s="8" t="n">
        <v>5</v>
      </c>
      <c r="B11" s="9" t="inlineStr">
        <is>
          <t>Warden</t>
        </is>
      </c>
      <c r="C11" s="10" t="n">
        <v>9</v>
      </c>
      <c r="D11" s="10" t="n">
        <v>1</v>
      </c>
      <c r="E11" s="9" t="inlineStr">
        <is>
          <t>Live game ranks 0–9</t>
        </is>
      </c>
    </row>
    <row r="12">
      <c r="A12" s="8" t="n">
        <v>6</v>
      </c>
      <c r="B12" s="9" t="inlineStr">
        <is>
          <t>Guildhand</t>
        </is>
      </c>
      <c r="C12" s="10" t="n">
        <v>14</v>
      </c>
      <c r="D12" s="10" t="n">
        <v>1</v>
      </c>
      <c r="E12" s="9" t="inlineStr">
        <is>
          <t>Live game ranks 0–9</t>
        </is>
      </c>
    </row>
    <row r="13">
      <c r="A13" s="8" t="n">
        <v>7</v>
      </c>
      <c r="B13" s="9" t="inlineStr">
        <is>
          <t>Marshal</t>
        </is>
      </c>
      <c r="C13" s="10" t="n">
        <v>22</v>
      </c>
      <c r="D13" s="10" t="n">
        <v>1</v>
      </c>
      <c r="E13" s="9" t="inlineStr">
        <is>
          <t>Live game ranks 0–9</t>
        </is>
      </c>
    </row>
    <row r="14">
      <c r="A14" s="8" t="n">
        <v>8</v>
      </c>
      <c r="B14" s="9" t="inlineStr">
        <is>
          <t>Archivist</t>
        </is>
      </c>
      <c r="C14" s="10" t="n">
        <v>32</v>
      </c>
      <c r="D14" s="10" t="n">
        <v>1</v>
      </c>
      <c r="E14" s="9" t="inlineStr">
        <is>
          <t>Live game ranks 0–9</t>
        </is>
      </c>
    </row>
    <row r="15">
      <c r="A15" s="8" t="n">
        <v>9</v>
      </c>
      <c r="B15" s="9" t="inlineStr">
        <is>
          <t>Charter Lord</t>
        </is>
      </c>
      <c r="C15" s="10" t="n">
        <v>45</v>
      </c>
      <c r="D15" s="10" t="n">
        <v>1</v>
      </c>
      <c r="E15" s="9" t="inlineStr">
        <is>
          <t>Live game ranks 0–9</t>
        </is>
      </c>
    </row>
    <row r="16">
      <c r="A16" s="8" t="n">
        <v>10</v>
      </c>
      <c r="B16" s="9" t="inlineStr">
        <is>
          <t>High Charter</t>
        </is>
      </c>
      <c r="C16" s="10" t="n">
        <v>60</v>
      </c>
      <c r="D16" s="10" t="n">
        <v>5</v>
      </c>
      <c r="E16" s="9" t="inlineStr">
        <is>
          <t>Proposed late ranks</t>
        </is>
      </c>
    </row>
    <row r="17">
      <c r="A17" s="8" t="n">
        <v>11</v>
      </c>
      <c r="B17" s="9" t="inlineStr">
        <is>
          <t>Vault Hand</t>
        </is>
      </c>
      <c r="C17" s="10" t="n">
        <v>80</v>
      </c>
      <c r="D17" s="10" t="n">
        <v>5</v>
      </c>
      <c r="E17" s="9" t="inlineStr">
        <is>
          <t>Proposed late ranks</t>
        </is>
      </c>
    </row>
    <row r="18">
      <c r="A18" s="8" t="n">
        <v>12</v>
      </c>
      <c r="B18" s="9" t="inlineStr">
        <is>
          <t>Siege Lead</t>
        </is>
      </c>
      <c r="C18" s="10" t="n">
        <v>100</v>
      </c>
      <c r="D18" s="10" t="n">
        <v>5</v>
      </c>
      <c r="E18" s="9" t="inlineStr">
        <is>
          <t>Proposed late ranks</t>
        </is>
      </c>
    </row>
    <row r="19">
      <c r="A19" s="8" t="n">
        <v>13</v>
      </c>
      <c r="B19" s="9" t="inlineStr">
        <is>
          <t>Relic Warden</t>
        </is>
      </c>
      <c r="C19" s="10" t="n">
        <v>125</v>
      </c>
      <c r="D19" s="10" t="n">
        <v>5</v>
      </c>
      <c r="E19" s="9" t="inlineStr">
        <is>
          <t>Proposed late ranks</t>
        </is>
      </c>
    </row>
    <row r="20">
      <c r="A20" s="8" t="n">
        <v>14</v>
      </c>
      <c r="B20" s="9" t="inlineStr">
        <is>
          <t>Sigil Adept</t>
        </is>
      </c>
      <c r="C20" s="10" t="n">
        <v>155</v>
      </c>
      <c r="D20" s="10" t="n">
        <v>5</v>
      </c>
      <c r="E20" s="9" t="inlineStr">
        <is>
          <t>Proposed late ranks</t>
        </is>
      </c>
    </row>
    <row r="21">
      <c r="A21" s="8" t="n">
        <v>15</v>
      </c>
      <c r="B21" s="9" t="inlineStr">
        <is>
          <t>Ash Ranger</t>
        </is>
      </c>
      <c r="C21" s="10" t="n">
        <v>190</v>
      </c>
      <c r="D21" s="10" t="n">
        <v>5</v>
      </c>
      <c r="E21" s="9" t="inlineStr">
        <is>
          <t>Proposed late ranks</t>
        </is>
      </c>
    </row>
    <row r="22">
      <c r="A22" s="8" t="n">
        <v>16</v>
      </c>
      <c r="B22" s="9" t="inlineStr">
        <is>
          <t>Bone Consul</t>
        </is>
      </c>
      <c r="C22" s="10" t="n">
        <v>230</v>
      </c>
      <c r="D22" s="10" t="n">
        <v>5</v>
      </c>
      <c r="E22" s="9" t="inlineStr">
        <is>
          <t>Proposed late ranks</t>
        </is>
      </c>
    </row>
    <row r="23">
      <c r="A23" s="8" t="n">
        <v>17</v>
      </c>
      <c r="B23" s="9" t="inlineStr">
        <is>
          <t>Fen Marshal</t>
        </is>
      </c>
      <c r="C23" s="10" t="n">
        <v>280</v>
      </c>
      <c r="D23" s="10" t="n">
        <v>5</v>
      </c>
      <c r="E23" s="9" t="inlineStr">
        <is>
          <t>Proposed late ranks</t>
        </is>
      </c>
    </row>
    <row r="24">
      <c r="A24" s="8" t="n">
        <v>18</v>
      </c>
      <c r="B24" s="9" t="inlineStr">
        <is>
          <t>Undercroft Lord</t>
        </is>
      </c>
      <c r="C24" s="10" t="n">
        <v>340</v>
      </c>
      <c r="D24" s="10" t="n">
        <v>5</v>
      </c>
      <c r="E24" s="9" t="inlineStr">
        <is>
          <t>Proposed late ranks</t>
        </is>
      </c>
    </row>
    <row r="25">
      <c r="A25" s="8" t="n">
        <v>19</v>
      </c>
      <c r="B25" s="9" t="inlineStr">
        <is>
          <t>Guild Sovereign</t>
        </is>
      </c>
      <c r="C25" s="10" t="n">
        <v>410</v>
      </c>
      <c r="D25" s="10" t="n">
        <v>5</v>
      </c>
      <c r="E25" s="9" t="inlineStr">
        <is>
          <t>Proposed late ranks</t>
        </is>
      </c>
    </row>
    <row r="26">
      <c r="A26" s="8" t="n">
        <v>20</v>
      </c>
      <c r="B26" s="9" t="inlineStr">
        <is>
          <t>Legend</t>
        </is>
      </c>
      <c r="C26" s="10" t="n">
        <v>500</v>
      </c>
      <c r="D26" s="10" t="n">
        <v>5</v>
      </c>
      <c r="E26" s="9" t="inlineStr">
        <is>
          <t>Proposed late ranks</t>
        </is>
      </c>
    </row>
    <row r="28" ht="22" customHeight="1">
      <c r="A28" s="6" t="inlineStr">
        <is>
          <t>B · Milestone time goals (minutes of play)</t>
        </is>
      </c>
    </row>
    <row r="29" ht="34" customHeight="1">
      <c r="A29" s="7" t="inlineStr">
        <is>
          <t>Milestone</t>
        </is>
      </c>
      <c r="B29" s="7" t="inlineStr">
        <is>
          <t>Live gate (min)</t>
        </is>
      </c>
      <c r="C29" s="7" t="inlineStr">
        <is>
          <t>Target (min)</t>
        </is>
      </c>
      <c r="D29" s="7" t="inlineStr">
        <is>
          <t>Tolerance ± min</t>
        </is>
      </c>
      <c r="E29" s="7" t="inlineStr">
        <is>
          <t>Why it matters</t>
        </is>
      </c>
    </row>
    <row r="30">
      <c r="A30" s="8" t="inlineStr">
        <is>
          <t>Iron Blade</t>
        </is>
      </c>
      <c r="B30" s="11" t="n">
        <v>10</v>
      </c>
      <c r="C30" s="12" t="n">
        <v>10</v>
      </c>
      <c r="D30" s="12" t="n">
        <v>2</v>
      </c>
      <c r="E30" s="9" t="inlineStr">
        <is>
          <t>First gear buy — should feel earned, not wall</t>
        </is>
      </c>
    </row>
    <row r="31">
      <c r="A31" s="8" t="inlineStr">
        <is>
          <t>Steel Blade</t>
        </is>
      </c>
      <c r="B31" s="11" t="n">
        <v>15</v>
      </c>
      <c r="C31" s="12" t="n">
        <v>15</v>
      </c>
      <c r="D31" s="12" t="n">
        <v>3</v>
      </c>
      <c r="E31" s="9" t="inlineStr"/>
    </row>
    <row r="32">
      <c r="A32" s="8" t="inlineStr">
        <is>
          <t>Bolt Focus</t>
        </is>
      </c>
      <c r="B32" s="11" t="n">
        <v>8</v>
      </c>
      <c r="C32" s="12" t="n">
        <v>8</v>
      </c>
      <c r="D32" s="12" t="n">
        <v>2</v>
      </c>
      <c r="E32" s="9" t="inlineStr">
        <is>
          <t>Teaches bolt upgrades early</t>
        </is>
      </c>
    </row>
    <row r="33">
      <c r="A33" s="8" t="inlineStr">
        <is>
          <t>Bolt Pierce</t>
        </is>
      </c>
      <c r="B33" s="11" t="n">
        <v>15</v>
      </c>
      <c r="C33" s="12" t="n">
        <v>12</v>
      </c>
      <c r="D33" s="12" t="n">
        <v>3</v>
      </c>
      <c r="E33" s="9" t="inlineStr">
        <is>
          <t>Must land before Infernal Mages feel bad</t>
        </is>
      </c>
    </row>
    <row r="34">
      <c r="A34" s="8" t="inlineStr">
        <is>
          <t>Hire Briar</t>
        </is>
      </c>
      <c r="B34" s="11" t="n">
        <v>15</v>
      </c>
      <c r="C34" s="12" t="n">
        <v>15</v>
      </c>
      <c r="D34" s="12" t="n">
        <v>3</v>
      </c>
      <c r="E34" s="9" t="inlineStr">
        <is>
          <t>First hunter — independent power track</t>
        </is>
      </c>
    </row>
    <row r="35">
      <c r="A35" s="8" t="inlineStr">
        <is>
          <t>Unlock Crits</t>
        </is>
      </c>
      <c r="B35" s="11" t="n">
        <v>20</v>
      </c>
      <c r="C35" s="12" t="n">
        <v>20</v>
      </c>
      <c r="D35" s="12" t="n">
        <v>4</v>
      </c>
      <c r="E35" s="9" t="inlineStr"/>
    </row>
    <row r="36">
      <c r="A36" s="8" t="inlineStr">
        <is>
          <t>Mithril Blade</t>
        </is>
      </c>
      <c r="B36" s="11" t="n">
        <v>22.5</v>
      </c>
      <c r="C36" s="12" t="n">
        <v>22</v>
      </c>
      <c r="D36" s="12" t="n">
        <v>4</v>
      </c>
      <c r="E36" s="9" t="inlineStr"/>
    </row>
    <row r="37">
      <c r="A37" s="8" t="inlineStr">
        <is>
          <t>Hire Quill</t>
        </is>
      </c>
      <c r="B37" s="11" t="n">
        <v>90</v>
      </c>
      <c r="C37" s="12" t="n">
        <v>75</v>
      </c>
      <c r="D37" s="12" t="n">
        <v>15</v>
      </c>
      <c r="E37" s="9" t="inlineStr">
        <is>
          <t>Softens Banshee aim rage if earlier</t>
        </is>
      </c>
    </row>
    <row r="38">
      <c r="A38" s="8" t="inlineStr">
        <is>
          <t>Adamant Blade</t>
        </is>
      </c>
      <c r="B38" s="11" t="n">
        <v>33.75</v>
      </c>
      <c r="C38" s="12" t="n">
        <v>35</v>
      </c>
      <c r="D38" s="12" t="n">
        <v>5</v>
      </c>
      <c r="E38" s="9" t="inlineStr"/>
    </row>
    <row r="39">
      <c r="A39" s="8" t="inlineStr">
        <is>
          <t>Hire Moss</t>
        </is>
      </c>
      <c r="B39" s="11" t="n">
        <v>180</v>
      </c>
      <c r="C39" s="12" t="n">
        <v>180</v>
      </c>
      <c r="D39" s="12" t="n">
        <v>20</v>
      </c>
      <c r="E39" s="9" t="inlineStr"/>
    </row>
    <row r="40">
      <c r="A40" s="8" t="inlineStr">
        <is>
          <t>Dragon Blade</t>
        </is>
      </c>
      <c r="B40" s="11" t="n">
        <v>75.90000000000001</v>
      </c>
      <c r="C40" s="12" t="n">
        <v>80</v>
      </c>
      <c r="D40" s="12" t="n">
        <v>10</v>
      </c>
      <c r="E40" s="9" t="inlineStr"/>
    </row>
    <row r="41">
      <c r="A41" s="8" t="inlineStr">
        <is>
          <t>Hire Ember</t>
        </is>
      </c>
      <c r="B41" s="11" t="n">
        <v>300</v>
      </c>
      <c r="C41" s="12" t="n">
        <v>300</v>
      </c>
      <c r="D41" s="12" t="n">
        <v>30</v>
      </c>
      <c r="E41" s="9" t="inlineStr"/>
    </row>
    <row r="44" ht="22" customHeight="1">
      <c r="A44" s="6" t="inlineStr">
        <is>
          <t>C · Power budgets (per upgrade level — higher = stronger allowed)</t>
        </is>
      </c>
    </row>
    <row r="45" ht="34" customHeight="1">
      <c r="A45" s="7" t="inlineStr">
        <is>
          <t>Track</t>
        </is>
      </c>
      <c r="B45" s="7" t="inlineStr">
        <is>
          <t>Max power score / level (budget)</t>
        </is>
      </c>
      <c r="C45" s="7" t="inlineStr">
        <is>
          <t>OP if over by %</t>
        </is>
      </c>
      <c r="D45" s="7" t="inlineStr">
        <is>
          <t>UP if under by %</t>
        </is>
      </c>
      <c r="E45" s="7" t="inlineStr">
        <is>
          <t>Notes</t>
        </is>
      </c>
    </row>
    <row r="46">
      <c r="A46" s="8" t="inlineStr">
        <is>
          <t>Combat</t>
        </is>
      </c>
      <c r="B46" s="12" t="n">
        <v>25</v>
      </c>
      <c r="C46" s="13" t="n">
        <v>0.25</v>
      </c>
      <c r="D46" s="13" t="n">
        <v>0.25</v>
      </c>
      <c r="E46" s="9" t="inlineStr">
        <is>
          <t>Crits, pierce, bolt focus, idle power</t>
        </is>
      </c>
    </row>
    <row r="47">
      <c r="A47" s="8" t="inlineStr">
        <is>
          <t>Gear</t>
        </is>
      </c>
      <c r="B47" s="12" t="n">
        <v>20</v>
      </c>
      <c r="C47" s="13" t="n">
        <v>0.25</v>
      </c>
      <c r="D47" s="13" t="n">
        <v>0.25</v>
      </c>
      <c r="E47" s="9" t="inlineStr">
        <is>
          <t>Blade ladder — big idlePower jumps</t>
        </is>
      </c>
    </row>
    <row r="48">
      <c r="A48" s="8" t="inlineStr">
        <is>
          <t>Company</t>
        </is>
      </c>
      <c r="B48" s="12" t="n">
        <v>30</v>
      </c>
      <c r="C48" s="13" t="n">
        <v>0.25</v>
      </c>
      <c r="D48" s="13" t="n">
        <v>0.3</v>
      </c>
      <c r="E48" s="9" t="inlineStr">
        <is>
          <t>Hunter damage/speed — easy to go OP</t>
        </is>
      </c>
    </row>
    <row r="49">
      <c r="A49" s="8" t="inlineStr">
        <is>
          <t>Camp</t>
        </is>
      </c>
      <c r="B49" s="12" t="n">
        <v>12</v>
      </c>
      <c r="C49" s="13" t="n">
        <v>0.3</v>
      </c>
      <c r="D49" s="13" t="n">
        <v>0.3</v>
      </c>
      <c r="E49" s="9" t="inlineStr">
        <is>
          <t>Food / offline / luck — support track</t>
        </is>
      </c>
    </row>
    <row r="50">
      <c r="A50" s="8" t="inlineStr">
        <is>
          <t>Mastery perk</t>
        </is>
      </c>
      <c r="B50" s="12" t="n">
        <v>18</v>
      </c>
      <c r="C50" s="13" t="n">
        <v>0.3</v>
      </c>
      <c r="D50" s="13" t="n">
        <v>0.3</v>
      </c>
      <c r="E50" s="9" t="inlineStr">
        <is>
          <t>Per-monster mastery at 3/6/10</t>
        </is>
      </c>
    </row>
    <row r="53" ht="22" customHeight="1">
      <c r="A53" s="6" t="inlineStr">
        <is>
          <t>D · Economy pace knobs (used by Monsters + Journey estimates)</t>
        </is>
      </c>
    </row>
    <row r="54">
      <c r="A54" s="8" t="inlineStr">
        <is>
          <t>Assumed total DPS (early)</t>
        </is>
      </c>
      <c r="B54" s="12" t="n">
        <v>17.5</v>
      </c>
      <c r="C54" s="5" t="inlineStr">
        <is>
          <t>Player ~10 + hunters ~7.5. Change as you simulate later gear.</t>
        </is>
      </c>
    </row>
    <row r="55">
      <c r="A55" s="8" t="inlineStr">
        <is>
          <t>Base monster HP</t>
        </is>
      </c>
      <c r="B55" s="14" t="n">
        <v>150</v>
      </c>
    </row>
    <row r="56">
      <c r="A56" s="8" t="inlineStr">
        <is>
          <t>Rank XP / hour (while grinding)</t>
        </is>
      </c>
      <c r="B56" s="12" t="n">
        <v>120</v>
      </c>
      <c r="C56" s="5" t="inlineStr">
        <is>
          <t>Copy from Monsters col Rank XP/hr for the contract you expect players to farm.</t>
        </is>
      </c>
    </row>
    <row r="57">
      <c r="A57" s="8" t="inlineStr">
        <is>
          <t>Session length (min)</t>
        </is>
      </c>
      <c r="B57" s="14" t="n">
        <v>30</v>
      </c>
    </row>
    <row r="59">
      <c r="A59" s="5" t="inlineStr">
        <is>
          <t>Tip: start by editing section A + Pierce/Quill rows in B. Everything else can wait.</t>
        </is>
      </c>
    </row>
  </sheetData>
  <mergeCells count="5">
    <mergeCell ref="A53:E53"/>
    <mergeCell ref="A4:E4"/>
    <mergeCell ref="A2:E2"/>
    <mergeCell ref="A28:E28"/>
    <mergeCell ref="A44:E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44" customWidth="1" min="8" max="8"/>
  </cols>
  <sheetData>
    <row r="1">
      <c r="A1" s="1" t="inlineStr">
        <is>
          <t>JOURNEY — play timeline vs your Targets</t>
        </is>
      </c>
    </row>
    <row r="2" ht="36" customHeight="1">
      <c r="A2" s="15" t="inlineStr">
        <is>
          <t>Each row is something the player unlocks. Live gate comes from the game. Target comes from Targets tab. Status: ON PACE / TOO EARLY (power spike) / TOO LATE (feels stuck).</t>
        </is>
      </c>
    </row>
    <row r="4" ht="34" customHeight="1">
      <c r="A4" s="7" t="inlineStr">
        <is>
          <t>Play min</t>
        </is>
      </c>
      <c r="B4" s="7" t="inlineStr">
        <is>
          <t>Unlock / event</t>
        </is>
      </c>
      <c r="C4" s="7" t="inlineStr">
        <is>
          <t>Live gate (min)</t>
        </is>
      </c>
      <c r="D4" s="7" t="inlineStr">
        <is>
          <t>Your target (min)</t>
        </is>
      </c>
      <c r="E4" s="7" t="inlineStr">
        <is>
          <t>Delta (live−target)</t>
        </is>
      </c>
      <c r="F4" s="7" t="inlineStr">
        <is>
          <t>Status</t>
        </is>
      </c>
      <c r="G4" s="7" t="inlineStr">
        <is>
          <t>Track</t>
        </is>
      </c>
      <c r="H4" s="7" t="inlineStr">
        <is>
          <t>Designer note</t>
        </is>
      </c>
    </row>
    <row r="5">
      <c r="A5" s="11" t="n">
        <v>8</v>
      </c>
      <c r="B5" s="8" t="inlineStr">
        <is>
          <t>Bolt Focus</t>
        </is>
      </c>
      <c r="C5" s="11" t="n">
        <v>8</v>
      </c>
      <c r="D5" s="16">
        <f>Targets!C32</f>
        <v/>
      </c>
      <c r="E5" s="16">
        <f>C5-D5</f>
        <v/>
      </c>
      <c r="F5" s="17">
        <f>IF(ABS(E5)&lt;=Targets!D32,"ON PACE",IF(E5&lt;0,"TOO EARLY","TOO LATE"))</f>
        <v/>
      </c>
      <c r="G5" s="8" t="inlineStr">
        <is>
          <t>Combat</t>
        </is>
      </c>
      <c r="H5" s="9" t="inlineStr">
        <is>
          <t>Teaches bolt upgrades early</t>
        </is>
      </c>
    </row>
    <row r="6">
      <c r="A6" s="11" t="n">
        <v>10</v>
      </c>
      <c r="B6" s="8" t="inlineStr">
        <is>
          <t>Iron Blade</t>
        </is>
      </c>
      <c r="C6" s="11" t="n">
        <v>10</v>
      </c>
      <c r="D6" s="16">
        <f>Targets!C30</f>
        <v/>
      </c>
      <c r="E6" s="16">
        <f>C6-D6</f>
        <v/>
      </c>
      <c r="F6" s="17">
        <f>IF(ABS(E6)&lt;=Targets!D30,"ON PACE",IF(E6&lt;0,"TOO EARLY","TOO LATE"))</f>
        <v/>
      </c>
      <c r="G6" s="8" t="inlineStr">
        <is>
          <t>Gear</t>
        </is>
      </c>
      <c r="H6" s="9" t="inlineStr">
        <is>
          <t>First gear buy — should feel earned, not wall</t>
        </is>
      </c>
    </row>
    <row r="7">
      <c r="A7" s="11" t="n">
        <v>15</v>
      </c>
      <c r="B7" s="8" t="inlineStr">
        <is>
          <t>Steel Blade</t>
        </is>
      </c>
      <c r="C7" s="11" t="n">
        <v>15</v>
      </c>
      <c r="D7" s="16">
        <f>Targets!C31</f>
        <v/>
      </c>
      <c r="E7" s="16">
        <f>C7-D7</f>
        <v/>
      </c>
      <c r="F7" s="17">
        <f>IF(ABS(E7)&lt;=Targets!D31,"ON PACE",IF(E7&lt;0,"TOO EARLY","TOO LATE"))</f>
        <v/>
      </c>
      <c r="G7" s="8" t="inlineStr">
        <is>
          <t>Gear</t>
        </is>
      </c>
      <c r="H7" s="9" t="inlineStr"/>
    </row>
    <row r="8">
      <c r="A8" s="11" t="n">
        <v>15</v>
      </c>
      <c r="B8" s="8" t="inlineStr">
        <is>
          <t>Bolt Pierce</t>
        </is>
      </c>
      <c r="C8" s="11" t="n">
        <v>15</v>
      </c>
      <c r="D8" s="16">
        <f>Targets!C33</f>
        <v/>
      </c>
      <c r="E8" s="16">
        <f>C8-D8</f>
        <v/>
      </c>
      <c r="F8" s="17">
        <f>IF(ABS(E8)&lt;=Targets!D33,"ON PACE",IF(E8&lt;0,"TOO EARLY","TOO LATE"))</f>
        <v/>
      </c>
      <c r="G8" s="8" t="inlineStr">
        <is>
          <t>Combat</t>
        </is>
      </c>
      <c r="H8" s="9" t="inlineStr">
        <is>
          <t>Must land before Infernal Mages feel bad</t>
        </is>
      </c>
    </row>
    <row r="9">
      <c r="A9" s="11" t="n">
        <v>15</v>
      </c>
      <c r="B9" s="8" t="inlineStr">
        <is>
          <t>Hire Briar</t>
        </is>
      </c>
      <c r="C9" s="11" t="n">
        <v>15</v>
      </c>
      <c r="D9" s="16">
        <f>Targets!C34</f>
        <v/>
      </c>
      <c r="E9" s="16">
        <f>C9-D9</f>
        <v/>
      </c>
      <c r="F9" s="17">
        <f>IF(ABS(E9)&lt;=Targets!D34,"ON PACE",IF(E9&lt;0,"TOO EARLY","TOO LATE"))</f>
        <v/>
      </c>
      <c r="G9" s="8" t="inlineStr">
        <is>
          <t>Company</t>
        </is>
      </c>
      <c r="H9" s="9" t="inlineStr">
        <is>
          <t>First hunter — independent power track</t>
        </is>
      </c>
    </row>
    <row r="10">
      <c r="A10" s="11" t="n">
        <v>15</v>
      </c>
      <c r="B10" s="8" t="inlineStr">
        <is>
          <t>Rank 1: Runner</t>
        </is>
      </c>
      <c r="C10" s="16">
        <f>Targets!C7*60</f>
        <v/>
      </c>
      <c r="D10" s="16">
        <f>Targets!C7*60</f>
        <v/>
      </c>
      <c r="E10" s="16">
        <f>C10-D10</f>
        <v/>
      </c>
      <c r="F10" s="17">
        <f>IF(ABS(E10)&lt;=Targets!D7*60,"ON PACE",IF(E10&lt;0,"TOO EARLY","TOO LATE"))</f>
        <v/>
      </c>
      <c r="G10" s="8" t="inlineStr">
        <is>
          <t>Rank</t>
        </is>
      </c>
      <c r="H10" s="9" t="inlineStr">
        <is>
          <t>Target hours × 60</t>
        </is>
      </c>
    </row>
    <row r="11">
      <c r="A11" s="11" t="n">
        <v>20</v>
      </c>
      <c r="B11" s="8" t="inlineStr">
        <is>
          <t>Unlock Crits</t>
        </is>
      </c>
      <c r="C11" s="11" t="n">
        <v>20</v>
      </c>
      <c r="D11" s="16">
        <f>Targets!C35</f>
        <v/>
      </c>
      <c r="E11" s="16">
        <f>C11-D11</f>
        <v/>
      </c>
      <c r="F11" s="17">
        <f>IF(ABS(E11)&lt;=Targets!D35,"ON PACE",IF(E11&lt;0,"TOO EARLY","TOO LATE"))</f>
        <v/>
      </c>
      <c r="G11" s="8" t="inlineStr">
        <is>
          <t>Combat</t>
        </is>
      </c>
      <c r="H11" s="9" t="inlineStr"/>
    </row>
    <row r="12">
      <c r="A12" s="11" t="n">
        <v>22.5</v>
      </c>
      <c r="B12" s="8" t="inlineStr">
        <is>
          <t>Mithril Blade</t>
        </is>
      </c>
      <c r="C12" s="11" t="n">
        <v>22.5</v>
      </c>
      <c r="D12" s="16">
        <f>Targets!C36</f>
        <v/>
      </c>
      <c r="E12" s="16">
        <f>C12-D12</f>
        <v/>
      </c>
      <c r="F12" s="17">
        <f>IF(ABS(E12)&lt;=Targets!D36,"ON PACE",IF(E12&lt;0,"TOO EARLY","TOO LATE"))</f>
        <v/>
      </c>
      <c r="G12" s="8" t="inlineStr">
        <is>
          <t>Gear</t>
        </is>
      </c>
      <c r="H12" s="9" t="inlineStr"/>
    </row>
    <row r="13">
      <c r="A13" s="11" t="n">
        <v>33.75</v>
      </c>
      <c r="B13" s="8" t="inlineStr">
        <is>
          <t>Adamant Blade</t>
        </is>
      </c>
      <c r="C13" s="11" t="n">
        <v>33.75</v>
      </c>
      <c r="D13" s="16">
        <f>Targets!C38</f>
        <v/>
      </c>
      <c r="E13" s="16">
        <f>C13-D13</f>
        <v/>
      </c>
      <c r="F13" s="17">
        <f>IF(ABS(E13)&lt;=Targets!D38,"ON PACE",IF(E13&lt;0,"TOO EARLY","TOO LATE"))</f>
        <v/>
      </c>
      <c r="G13" s="8" t="inlineStr">
        <is>
          <t>Gear</t>
        </is>
      </c>
      <c r="H13" s="9" t="inlineStr"/>
    </row>
    <row r="14">
      <c r="A14" s="11" t="n">
        <v>60</v>
      </c>
      <c r="B14" s="8" t="inlineStr">
        <is>
          <t>Rank 2: Tracker</t>
        </is>
      </c>
      <c r="C14" s="16">
        <f>Targets!C8*60</f>
        <v/>
      </c>
      <c r="D14" s="16">
        <f>Targets!C8*60</f>
        <v/>
      </c>
      <c r="E14" s="16">
        <f>C14-D14</f>
        <v/>
      </c>
      <c r="F14" s="17">
        <f>IF(ABS(E14)&lt;=Targets!D8*60,"ON PACE",IF(E14&lt;0,"TOO EARLY","TOO LATE"))</f>
        <v/>
      </c>
      <c r="G14" s="8" t="inlineStr">
        <is>
          <t>Rank</t>
        </is>
      </c>
      <c r="H14" s="9" t="inlineStr">
        <is>
          <t>Target hours × 60</t>
        </is>
      </c>
    </row>
    <row r="15">
      <c r="A15" s="11" t="n">
        <v>75.90000000000001</v>
      </c>
      <c r="B15" s="8" t="inlineStr">
        <is>
          <t>Dragon Blade</t>
        </is>
      </c>
      <c r="C15" s="11" t="n">
        <v>75.90000000000001</v>
      </c>
      <c r="D15" s="16">
        <f>Targets!C40</f>
        <v/>
      </c>
      <c r="E15" s="16">
        <f>C15-D15</f>
        <v/>
      </c>
      <c r="F15" s="17">
        <f>IF(ABS(E15)&lt;=Targets!D40,"ON PACE",IF(E15&lt;0,"TOO EARLY","TOO LATE"))</f>
        <v/>
      </c>
      <c r="G15" s="8" t="inlineStr">
        <is>
          <t>Gear</t>
        </is>
      </c>
      <c r="H15" s="9" t="inlineStr"/>
    </row>
    <row r="16">
      <c r="A16" s="11" t="n">
        <v>90</v>
      </c>
      <c r="B16" s="8" t="inlineStr">
        <is>
          <t>Hire Quill</t>
        </is>
      </c>
      <c r="C16" s="11" t="n">
        <v>90</v>
      </c>
      <c r="D16" s="16">
        <f>Targets!C37</f>
        <v/>
      </c>
      <c r="E16" s="16">
        <f>C16-D16</f>
        <v/>
      </c>
      <c r="F16" s="17">
        <f>IF(ABS(E16)&lt;=Targets!D37,"ON PACE",IF(E16&lt;0,"TOO EARLY","TOO LATE"))</f>
        <v/>
      </c>
      <c r="G16" s="8" t="inlineStr">
        <is>
          <t>Company</t>
        </is>
      </c>
      <c r="H16" s="9" t="inlineStr">
        <is>
          <t>Softens Banshee aim rage if earlier</t>
        </is>
      </c>
    </row>
    <row r="17">
      <c r="A17" s="11" t="n">
        <v>150</v>
      </c>
      <c r="B17" s="8" t="inlineStr">
        <is>
          <t>Rank 3: Hunter</t>
        </is>
      </c>
      <c r="C17" s="16">
        <f>Targets!C9*60</f>
        <v/>
      </c>
      <c r="D17" s="16">
        <f>Targets!C9*60</f>
        <v/>
      </c>
      <c r="E17" s="16">
        <f>C17-D17</f>
        <v/>
      </c>
      <c r="F17" s="17">
        <f>IF(ABS(E17)&lt;=Targets!D9*60,"ON PACE",IF(E17&lt;0,"TOO EARLY","TOO LATE"))</f>
        <v/>
      </c>
      <c r="G17" s="8" t="inlineStr">
        <is>
          <t>Rank</t>
        </is>
      </c>
      <c r="H17" s="9" t="inlineStr">
        <is>
          <t>Target hours × 60</t>
        </is>
      </c>
    </row>
    <row r="18">
      <c r="A18" s="11" t="n">
        <v>180</v>
      </c>
      <c r="B18" s="8" t="inlineStr">
        <is>
          <t>Hire Moss</t>
        </is>
      </c>
      <c r="C18" s="11" t="n">
        <v>180</v>
      </c>
      <c r="D18" s="16">
        <f>Targets!C39</f>
        <v/>
      </c>
      <c r="E18" s="16">
        <f>C18-D18</f>
        <v/>
      </c>
      <c r="F18" s="17">
        <f>IF(ABS(E18)&lt;=Targets!D39,"ON PACE",IF(E18&lt;0,"TOO EARLY","TOO LATE"))</f>
        <v/>
      </c>
      <c r="G18" s="8" t="inlineStr">
        <is>
          <t>Company</t>
        </is>
      </c>
      <c r="H18" s="9" t="inlineStr"/>
    </row>
    <row r="19">
      <c r="A19" s="11" t="n">
        <v>300</v>
      </c>
      <c r="B19" s="8" t="inlineStr">
        <is>
          <t>Hire Ember</t>
        </is>
      </c>
      <c r="C19" s="11" t="n">
        <v>300</v>
      </c>
      <c r="D19" s="16">
        <f>Targets!C41</f>
        <v/>
      </c>
      <c r="E19" s="16">
        <f>C19-D19</f>
        <v/>
      </c>
      <c r="F19" s="17">
        <f>IF(ABS(E19)&lt;=Targets!D41,"ON PACE",IF(E19&lt;0,"TOO EARLY","TOO LATE"))</f>
        <v/>
      </c>
      <c r="G19" s="8" t="inlineStr">
        <is>
          <t>Company</t>
        </is>
      </c>
      <c r="H19" s="9" t="inlineStr"/>
    </row>
    <row r="20">
      <c r="A20" s="11" t="n">
        <v>540</v>
      </c>
      <c r="B20" s="8" t="inlineStr">
        <is>
          <t>Rank 5: Warden</t>
        </is>
      </c>
      <c r="C20" s="16">
        <f>Targets!C11*60</f>
        <v/>
      </c>
      <c r="D20" s="16">
        <f>Targets!C11*60</f>
        <v/>
      </c>
      <c r="E20" s="16">
        <f>C20-D20</f>
        <v/>
      </c>
      <c r="F20" s="17">
        <f>IF(ABS(E20)&lt;=Targets!D11*60,"ON PACE",IF(E20&lt;0,"TOO EARLY","TOO LATE"))</f>
        <v/>
      </c>
      <c r="G20" s="8" t="inlineStr">
        <is>
          <t>Rank</t>
        </is>
      </c>
      <c r="H20" s="9" t="inlineStr">
        <is>
          <t>Target hours × 60</t>
        </is>
      </c>
    </row>
    <row r="21">
      <c r="A21" s="11" t="n">
        <v>1320</v>
      </c>
      <c r="B21" s="8" t="inlineStr">
        <is>
          <t>Rank 7: Marshal</t>
        </is>
      </c>
      <c r="C21" s="16">
        <f>Targets!C13*60</f>
        <v/>
      </c>
      <c r="D21" s="16">
        <f>Targets!C13*60</f>
        <v/>
      </c>
      <c r="E21" s="16">
        <f>C21-D21</f>
        <v/>
      </c>
      <c r="F21" s="17">
        <f>IF(ABS(E21)&lt;=Targets!D13*60,"ON PACE",IF(E21&lt;0,"TOO EARLY","TOO LATE"))</f>
        <v/>
      </c>
      <c r="G21" s="8" t="inlineStr">
        <is>
          <t>Rank</t>
        </is>
      </c>
      <c r="H21" s="9" t="inlineStr">
        <is>
          <t>Target hours × 60</t>
        </is>
      </c>
    </row>
    <row r="22">
      <c r="A22" s="11" t="n">
        <v>2700</v>
      </c>
      <c r="B22" s="8" t="inlineStr">
        <is>
          <t>Rank 9: Charter Lord</t>
        </is>
      </c>
      <c r="C22" s="16">
        <f>Targets!C15*60</f>
        <v/>
      </c>
      <c r="D22" s="16">
        <f>Targets!C15*60</f>
        <v/>
      </c>
      <c r="E22" s="16">
        <f>C22-D22</f>
        <v/>
      </c>
      <c r="F22" s="17">
        <f>IF(ABS(E22)&lt;=Targets!D15*60,"ON PACE",IF(E22&lt;0,"TOO EARLY","TOO LATE"))</f>
        <v/>
      </c>
      <c r="G22" s="8" t="inlineStr">
        <is>
          <t>Rank</t>
        </is>
      </c>
      <c r="H22" s="9" t="inlineStr">
        <is>
          <t>Target hours × 60</t>
        </is>
      </c>
    </row>
    <row r="24">
      <c r="A24" s="5" t="inlineStr">
        <is>
          <t>How to read: TOO EARLY = players get this power before you wanted (risk OP). TOO LATE = wall / boredom. Adjust Targets or the live gate (tell New Bot).</t>
        </is>
      </c>
    </row>
  </sheetData>
  <mergeCells count="2">
    <mergeCell ref="A24:H24"/>
    <mergeCell ref="A2:H2"/>
  </mergeCells>
  <conditionalFormatting sqref="F5:F22">
    <cfRule type="expression" priority="1" dxfId="0">
      <formula>F5="ON PACE"</formula>
    </cfRule>
    <cfRule type="expression" priority="2" dxfId="1">
      <formula>F5="TOO EARLY"</formula>
    </cfRule>
    <cfRule type="expression" priority="3" dxfId="2">
      <formula>F5="TOO LATE"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>
      <c r="A1" s="1" t="inlineStr">
        <is>
          <t>RANKS — XP curve vs target hours</t>
        </is>
      </c>
    </row>
    <row r="2">
      <c r="A2" s="5" t="inlineStr">
        <is>
          <t>Edit yellow XP thresholds (or curve knobs). Hours use Targets!B56 XP/hour. Status compares to Targets hours.</t>
        </is>
      </c>
    </row>
    <row r="4">
      <c r="A4" s="8" t="inlineStr">
        <is>
          <t>Curve XP 0→1</t>
        </is>
      </c>
      <c r="B4" s="14" t="n">
        <v>50</v>
      </c>
    </row>
    <row r="5">
      <c r="A5" s="8" t="inlineStr">
        <is>
          <t>Curve growth</t>
        </is>
      </c>
      <c r="B5" s="10" t="n">
        <v>1.45</v>
      </c>
      <c r="C5" s="5" t="inlineStr">
        <is>
          <t>Optional helper — paste =ROUND($B$4*$B$5^A8,0) into late ranks if you want a smooth curve.</t>
        </is>
      </c>
    </row>
    <row r="7" ht="34" customHeight="1">
      <c r="A7" s="7" t="inlineStr">
        <is>
          <t>Rank</t>
        </is>
      </c>
      <c r="B7" s="7" t="inlineStr">
        <is>
          <t>Name</t>
        </is>
      </c>
      <c r="C7" s="7" t="inlineStr">
        <is>
          <t>XP to reach</t>
        </is>
      </c>
      <c r="D7" s="7" t="inlineStr">
        <is>
          <t>XP this level-up</t>
        </is>
      </c>
      <c r="E7" s="7" t="inlineStr">
        <is>
          <t>Hours from start (calc)</t>
        </is>
      </c>
      <c r="F7" s="7" t="inlineStr">
        <is>
          <t>Target hours</t>
        </is>
      </c>
      <c r="G7" s="7" t="inlineStr">
        <is>
          <t>Delta hours</t>
        </is>
      </c>
      <c r="H7" s="7" t="inlineStr">
        <is>
          <t>Status</t>
        </is>
      </c>
      <c r="I7" s="7" t="inlineStr">
        <is>
          <t>Sessions @ target session</t>
        </is>
      </c>
      <c r="J7" s="7" t="inlineStr">
        <is>
          <t>Notes</t>
        </is>
      </c>
    </row>
    <row r="8">
      <c r="A8" s="8" t="n">
        <v>0</v>
      </c>
      <c r="B8" s="17">
        <f>Targets!B6</f>
        <v/>
      </c>
      <c r="C8" s="18" t="n">
        <v>0</v>
      </c>
      <c r="D8" s="19">
        <f>C9-C8</f>
        <v/>
      </c>
      <c r="E8" s="20">
        <f>IF(Targets!$B$56&lt;=0,0,C8/Targets!$B$56)</f>
        <v/>
      </c>
      <c r="F8" s="20">
        <f>Targets!C6</f>
        <v/>
      </c>
      <c r="G8" s="20">
        <f>E8-F8</f>
        <v/>
      </c>
      <c r="H8" s="17">
        <f>IF(ABS(G8)&lt;=Targets!D6,"ON PACE",IF(G8&lt;0,"TOO FAST","TOO SLOW"))</f>
        <v/>
      </c>
      <c r="I8" s="16">
        <f>IF(Targets!$B$57&lt;=0,0,E8*60/Targets!$B$57)</f>
        <v/>
      </c>
      <c r="J8" s="9" t="inlineStr"/>
    </row>
    <row r="9">
      <c r="A9" s="8" t="n">
        <v>1</v>
      </c>
      <c r="B9" s="17">
        <f>Targets!B7</f>
        <v/>
      </c>
      <c r="C9" s="18" t="n">
        <v>50</v>
      </c>
      <c r="D9" s="19">
        <f>C10-C9</f>
        <v/>
      </c>
      <c r="E9" s="20">
        <f>IF(Targets!$B$56&lt;=0,0,C9/Targets!$B$56)</f>
        <v/>
      </c>
      <c r="F9" s="20">
        <f>Targets!C7</f>
        <v/>
      </c>
      <c r="G9" s="20">
        <f>E9-F9</f>
        <v/>
      </c>
      <c r="H9" s="17">
        <f>IF(ABS(G9)&lt;=Targets!D7,"ON PACE",IF(G9&lt;0,"TOO FAST","TOO SLOW"))</f>
        <v/>
      </c>
      <c r="I9" s="16">
        <f>IF(Targets!$B$57&lt;=0,0,E9*60/Targets!$B$57)</f>
        <v/>
      </c>
      <c r="J9" s="9" t="inlineStr"/>
    </row>
    <row r="10">
      <c r="A10" s="8" t="n">
        <v>2</v>
      </c>
      <c r="B10" s="17">
        <f>Targets!B8</f>
        <v/>
      </c>
      <c r="C10" s="18" t="n">
        <v>150</v>
      </c>
      <c r="D10" s="19">
        <f>C11-C10</f>
        <v/>
      </c>
      <c r="E10" s="20">
        <f>IF(Targets!$B$56&lt;=0,0,C10/Targets!$B$56)</f>
        <v/>
      </c>
      <c r="F10" s="20">
        <f>Targets!C8</f>
        <v/>
      </c>
      <c r="G10" s="20">
        <f>E10-F10</f>
        <v/>
      </c>
      <c r="H10" s="17">
        <f>IF(ABS(G10)&lt;=Targets!D8,"ON PACE",IF(G10&lt;0,"TOO FAST","TOO SLOW"))</f>
        <v/>
      </c>
      <c r="I10" s="16">
        <f>IF(Targets!$B$57&lt;=0,0,E10*60/Targets!$B$57)</f>
        <v/>
      </c>
      <c r="J10" s="9" t="inlineStr"/>
    </row>
    <row r="11">
      <c r="A11" s="8" t="n">
        <v>3</v>
      </c>
      <c r="B11" s="17">
        <f>Targets!B9</f>
        <v/>
      </c>
      <c r="C11" s="18" t="n">
        <v>350</v>
      </c>
      <c r="D11" s="19">
        <f>C12-C11</f>
        <v/>
      </c>
      <c r="E11" s="20">
        <f>IF(Targets!$B$56&lt;=0,0,C11/Targets!$B$56)</f>
        <v/>
      </c>
      <c r="F11" s="20">
        <f>Targets!C9</f>
        <v/>
      </c>
      <c r="G11" s="20">
        <f>E11-F11</f>
        <v/>
      </c>
      <c r="H11" s="17">
        <f>IF(ABS(G11)&lt;=Targets!D9,"ON PACE",IF(G11&lt;0,"TOO FAST","TOO SLOW"))</f>
        <v/>
      </c>
      <c r="I11" s="16">
        <f>IF(Targets!$B$57&lt;=0,0,E11*60/Targets!$B$57)</f>
        <v/>
      </c>
      <c r="J11" s="9" t="inlineStr"/>
    </row>
    <row r="12">
      <c r="A12" s="8" t="n">
        <v>4</v>
      </c>
      <c r="B12" s="17">
        <f>Targets!B10</f>
        <v/>
      </c>
      <c r="C12" s="18" t="n">
        <v>700</v>
      </c>
      <c r="D12" s="19">
        <f>C13-C12</f>
        <v/>
      </c>
      <c r="E12" s="20">
        <f>IF(Targets!$B$56&lt;=0,0,C12/Targets!$B$56)</f>
        <v/>
      </c>
      <c r="F12" s="20">
        <f>Targets!C10</f>
        <v/>
      </c>
      <c r="G12" s="20">
        <f>E12-F12</f>
        <v/>
      </c>
      <c r="H12" s="17">
        <f>IF(ABS(G12)&lt;=Targets!D10,"ON PACE",IF(G12&lt;0,"TOO FAST","TOO SLOW"))</f>
        <v/>
      </c>
      <c r="I12" s="16">
        <f>IF(Targets!$B$57&lt;=0,0,E12*60/Targets!$B$57)</f>
        <v/>
      </c>
      <c r="J12" s="9" t="inlineStr"/>
    </row>
    <row r="13">
      <c r="A13" s="8" t="n">
        <v>5</v>
      </c>
      <c r="B13" s="17">
        <f>Targets!B11</f>
        <v/>
      </c>
      <c r="C13" s="18" t="n">
        <v>1300</v>
      </c>
      <c r="D13" s="19">
        <f>C14-C13</f>
        <v/>
      </c>
      <c r="E13" s="20">
        <f>IF(Targets!$B$56&lt;=0,0,C13/Targets!$B$56)</f>
        <v/>
      </c>
      <c r="F13" s="20">
        <f>Targets!C11</f>
        <v/>
      </c>
      <c r="G13" s="20">
        <f>E13-F13</f>
        <v/>
      </c>
      <c r="H13" s="17">
        <f>IF(ABS(G13)&lt;=Targets!D11,"ON PACE",IF(G13&lt;0,"TOO FAST","TOO SLOW"))</f>
        <v/>
      </c>
      <c r="I13" s="16">
        <f>IF(Targets!$B$57&lt;=0,0,E13*60/Targets!$B$57)</f>
        <v/>
      </c>
      <c r="J13" s="9" t="inlineStr"/>
    </row>
    <row r="14">
      <c r="A14" s="8" t="n">
        <v>6</v>
      </c>
      <c r="B14" s="17">
        <f>Targets!B12</f>
        <v/>
      </c>
      <c r="C14" s="18" t="n">
        <v>2200</v>
      </c>
      <c r="D14" s="19">
        <f>C15-C14</f>
        <v/>
      </c>
      <c r="E14" s="20">
        <f>IF(Targets!$B$56&lt;=0,0,C14/Targets!$B$56)</f>
        <v/>
      </c>
      <c r="F14" s="20">
        <f>Targets!C12</f>
        <v/>
      </c>
      <c r="G14" s="20">
        <f>E14-F14</f>
        <v/>
      </c>
      <c r="H14" s="17">
        <f>IF(ABS(G14)&lt;=Targets!D12,"ON PACE",IF(G14&lt;0,"TOO FAST","TOO SLOW"))</f>
        <v/>
      </c>
      <c r="I14" s="16">
        <f>IF(Targets!$B$57&lt;=0,0,E14*60/Targets!$B$57)</f>
        <v/>
      </c>
      <c r="J14" s="9" t="inlineStr"/>
    </row>
    <row r="15">
      <c r="A15" s="8" t="n">
        <v>7</v>
      </c>
      <c r="B15" s="17">
        <f>Targets!B13</f>
        <v/>
      </c>
      <c r="C15" s="18" t="n">
        <v>3600</v>
      </c>
      <c r="D15" s="19">
        <f>C16-C15</f>
        <v/>
      </c>
      <c r="E15" s="20">
        <f>IF(Targets!$B$56&lt;=0,0,C15/Targets!$B$56)</f>
        <v/>
      </c>
      <c r="F15" s="20">
        <f>Targets!C13</f>
        <v/>
      </c>
      <c r="G15" s="20">
        <f>E15-F15</f>
        <v/>
      </c>
      <c r="H15" s="17">
        <f>IF(ABS(G15)&lt;=Targets!D13,"ON PACE",IF(G15&lt;0,"TOO FAST","TOO SLOW"))</f>
        <v/>
      </c>
      <c r="I15" s="16">
        <f>IF(Targets!$B$57&lt;=0,0,E15*60/Targets!$B$57)</f>
        <v/>
      </c>
      <c r="J15" s="9" t="inlineStr"/>
    </row>
    <row r="16">
      <c r="A16" s="8" t="n">
        <v>8</v>
      </c>
      <c r="B16" s="17">
        <f>Targets!B14</f>
        <v/>
      </c>
      <c r="C16" s="18" t="n">
        <v>5500</v>
      </c>
      <c r="D16" s="19">
        <f>C17-C16</f>
        <v/>
      </c>
      <c r="E16" s="20">
        <f>IF(Targets!$B$56&lt;=0,0,C16/Targets!$B$56)</f>
        <v/>
      </c>
      <c r="F16" s="20">
        <f>Targets!C14</f>
        <v/>
      </c>
      <c r="G16" s="20">
        <f>E16-F16</f>
        <v/>
      </c>
      <c r="H16" s="17">
        <f>IF(ABS(G16)&lt;=Targets!D14,"ON PACE",IF(G16&lt;0,"TOO FAST","TOO SLOW"))</f>
        <v/>
      </c>
      <c r="I16" s="16">
        <f>IF(Targets!$B$57&lt;=0,0,E16*60/Targets!$B$57)</f>
        <v/>
      </c>
      <c r="J16" s="9" t="inlineStr"/>
    </row>
    <row r="17">
      <c r="A17" s="8" t="n">
        <v>9</v>
      </c>
      <c r="B17" s="17">
        <f>Targets!B15</f>
        <v/>
      </c>
      <c r="C17" s="18" t="n">
        <v>8000</v>
      </c>
      <c r="D17" s="19">
        <f>C18-C17</f>
        <v/>
      </c>
      <c r="E17" s="20">
        <f>IF(Targets!$B$56&lt;=0,0,C17/Targets!$B$56)</f>
        <v/>
      </c>
      <c r="F17" s="20">
        <f>Targets!C15</f>
        <v/>
      </c>
      <c r="G17" s="20">
        <f>E17-F17</f>
        <v/>
      </c>
      <c r="H17" s="17">
        <f>IF(ABS(G17)&lt;=Targets!D15,"ON PACE",IF(G17&lt;0,"TOO FAST","TOO SLOW"))</f>
        <v/>
      </c>
      <c r="I17" s="16">
        <f>IF(Targets!$B$57&lt;=0,0,E17*60/Targets!$B$57)</f>
        <v/>
      </c>
      <c r="J17" s="9" t="inlineStr"/>
    </row>
    <row r="18">
      <c r="A18" s="8" t="n">
        <v>10</v>
      </c>
      <c r="B18" s="17">
        <f>Targets!B16</f>
        <v/>
      </c>
      <c r="C18" s="18" t="n">
        <v>2054</v>
      </c>
      <c r="D18" s="19">
        <f>C19-C18</f>
        <v/>
      </c>
      <c r="E18" s="20">
        <f>IF(Targets!$B$56&lt;=0,0,C18/Targets!$B$56)</f>
        <v/>
      </c>
      <c r="F18" s="20">
        <f>Targets!C16</f>
        <v/>
      </c>
      <c r="G18" s="20">
        <f>E18-F18</f>
        <v/>
      </c>
      <c r="H18" s="17">
        <f>IF(ABS(G18)&lt;=Targets!D16,"ON PACE",IF(G18&lt;0,"TOO FAST","TOO SLOW"))</f>
        <v/>
      </c>
      <c r="I18" s="16">
        <f>IF(Targets!$B$57&lt;=0,0,E18*60/Targets!$B$57)</f>
        <v/>
      </c>
      <c r="J18" s="9" t="inlineStr"/>
    </row>
    <row r="19">
      <c r="A19" s="8" t="n">
        <v>11</v>
      </c>
      <c r="B19" s="17">
        <f>Targets!B17</f>
        <v/>
      </c>
      <c r="C19" s="18" t="n">
        <v>2979</v>
      </c>
      <c r="D19" s="19">
        <f>C20-C19</f>
        <v/>
      </c>
      <c r="E19" s="20">
        <f>IF(Targets!$B$56&lt;=0,0,C19/Targets!$B$56)</f>
        <v/>
      </c>
      <c r="F19" s="20">
        <f>Targets!C17</f>
        <v/>
      </c>
      <c r="G19" s="20">
        <f>E19-F19</f>
        <v/>
      </c>
      <c r="H19" s="17">
        <f>IF(ABS(G19)&lt;=Targets!D17,"ON PACE",IF(G19&lt;0,"TOO FAST","TOO SLOW"))</f>
        <v/>
      </c>
      <c r="I19" s="16">
        <f>IF(Targets!$B$57&lt;=0,0,E19*60/Targets!$B$57)</f>
        <v/>
      </c>
      <c r="J19" s="9" t="inlineStr"/>
    </row>
    <row r="20">
      <c r="A20" s="8" t="n">
        <v>12</v>
      </c>
      <c r="B20" s="17">
        <f>Targets!B18</f>
        <v/>
      </c>
      <c r="C20" s="18" t="n">
        <v>4319</v>
      </c>
      <c r="D20" s="19">
        <f>C21-C20</f>
        <v/>
      </c>
      <c r="E20" s="20">
        <f>IF(Targets!$B$56&lt;=0,0,C20/Targets!$B$56)</f>
        <v/>
      </c>
      <c r="F20" s="20">
        <f>Targets!C18</f>
        <v/>
      </c>
      <c r="G20" s="20">
        <f>E20-F20</f>
        <v/>
      </c>
      <c r="H20" s="17">
        <f>IF(ABS(G20)&lt;=Targets!D18,"ON PACE",IF(G20&lt;0,"TOO FAST","TOO SLOW"))</f>
        <v/>
      </c>
      <c r="I20" s="16">
        <f>IF(Targets!$B$57&lt;=0,0,E20*60/Targets!$B$57)</f>
        <v/>
      </c>
      <c r="J20" s="9" t="inlineStr"/>
    </row>
    <row r="21">
      <c r="A21" s="8" t="n">
        <v>13</v>
      </c>
      <c r="B21" s="17">
        <f>Targets!B19</f>
        <v/>
      </c>
      <c r="C21" s="18" t="n">
        <v>6263</v>
      </c>
      <c r="D21" s="19">
        <f>C22-C21</f>
        <v/>
      </c>
      <c r="E21" s="20">
        <f>IF(Targets!$B$56&lt;=0,0,C21/Targets!$B$56)</f>
        <v/>
      </c>
      <c r="F21" s="20">
        <f>Targets!C19</f>
        <v/>
      </c>
      <c r="G21" s="20">
        <f>E21-F21</f>
        <v/>
      </c>
      <c r="H21" s="17">
        <f>IF(ABS(G21)&lt;=Targets!D19,"ON PACE",IF(G21&lt;0,"TOO FAST","TOO SLOW"))</f>
        <v/>
      </c>
      <c r="I21" s="16">
        <f>IF(Targets!$B$57&lt;=0,0,E21*60/Targets!$B$57)</f>
        <v/>
      </c>
      <c r="J21" s="9" t="inlineStr"/>
    </row>
    <row r="22">
      <c r="A22" s="8" t="n">
        <v>14</v>
      </c>
      <c r="B22" s="17">
        <f>Targets!B20</f>
        <v/>
      </c>
      <c r="C22" s="18" t="n">
        <v>9081</v>
      </c>
      <c r="D22" s="19">
        <f>C23-C22</f>
        <v/>
      </c>
      <c r="E22" s="20">
        <f>IF(Targets!$B$56&lt;=0,0,C22/Targets!$B$56)</f>
        <v/>
      </c>
      <c r="F22" s="20">
        <f>Targets!C20</f>
        <v/>
      </c>
      <c r="G22" s="20">
        <f>E22-F22</f>
        <v/>
      </c>
      <c r="H22" s="17">
        <f>IF(ABS(G22)&lt;=Targets!D20,"ON PACE",IF(G22&lt;0,"TOO FAST","TOO SLOW"))</f>
        <v/>
      </c>
      <c r="I22" s="16">
        <f>IF(Targets!$B$57&lt;=0,0,E22*60/Targets!$B$57)</f>
        <v/>
      </c>
      <c r="J22" s="9" t="inlineStr"/>
    </row>
    <row r="23">
      <c r="A23" s="8" t="n">
        <v>15</v>
      </c>
      <c r="B23" s="17">
        <f>Targets!B21</f>
        <v/>
      </c>
      <c r="C23" s="18" t="n">
        <v>13167</v>
      </c>
      <c r="D23" s="19">
        <f>C24-C23</f>
        <v/>
      </c>
      <c r="E23" s="20">
        <f>IF(Targets!$B$56&lt;=0,0,C23/Targets!$B$56)</f>
        <v/>
      </c>
      <c r="F23" s="20">
        <f>Targets!C21</f>
        <v/>
      </c>
      <c r="G23" s="20">
        <f>E23-F23</f>
        <v/>
      </c>
      <c r="H23" s="17">
        <f>IF(ABS(G23)&lt;=Targets!D21,"ON PACE",IF(G23&lt;0,"TOO FAST","TOO SLOW"))</f>
        <v/>
      </c>
      <c r="I23" s="16">
        <f>IF(Targets!$B$57&lt;=0,0,E23*60/Targets!$B$57)</f>
        <v/>
      </c>
      <c r="J23" s="9" t="inlineStr"/>
    </row>
    <row r="24">
      <c r="A24" s="8" t="n">
        <v>16</v>
      </c>
      <c r="B24" s="17">
        <f>Targets!B22</f>
        <v/>
      </c>
      <c r="C24" s="18" t="n">
        <v>19092</v>
      </c>
      <c r="D24" s="19">
        <f>C25-C24</f>
        <v/>
      </c>
      <c r="E24" s="20">
        <f>IF(Targets!$B$56&lt;=0,0,C24/Targets!$B$56)</f>
        <v/>
      </c>
      <c r="F24" s="20">
        <f>Targets!C22</f>
        <v/>
      </c>
      <c r="G24" s="20">
        <f>E24-F24</f>
        <v/>
      </c>
      <c r="H24" s="17">
        <f>IF(ABS(G24)&lt;=Targets!D22,"ON PACE",IF(G24&lt;0,"TOO FAST","TOO SLOW"))</f>
        <v/>
      </c>
      <c r="I24" s="16">
        <f>IF(Targets!$B$57&lt;=0,0,E24*60/Targets!$B$57)</f>
        <v/>
      </c>
      <c r="J24" s="9" t="inlineStr"/>
    </row>
    <row r="25">
      <c r="A25" s="8" t="n">
        <v>17</v>
      </c>
      <c r="B25" s="17">
        <f>Targets!B23</f>
        <v/>
      </c>
      <c r="C25" s="18" t="n">
        <v>27684</v>
      </c>
      <c r="D25" s="19">
        <f>C26-C25</f>
        <v/>
      </c>
      <c r="E25" s="20">
        <f>IF(Targets!$B$56&lt;=0,0,C25/Targets!$B$56)</f>
        <v/>
      </c>
      <c r="F25" s="20">
        <f>Targets!C23</f>
        <v/>
      </c>
      <c r="G25" s="20">
        <f>E25-F25</f>
        <v/>
      </c>
      <c r="H25" s="17">
        <f>IF(ABS(G25)&lt;=Targets!D23,"ON PACE",IF(G25&lt;0,"TOO FAST","TOO SLOW"))</f>
        <v/>
      </c>
      <c r="I25" s="16">
        <f>IF(Targets!$B$57&lt;=0,0,E25*60/Targets!$B$57)</f>
        <v/>
      </c>
      <c r="J25" s="9" t="inlineStr"/>
    </row>
    <row r="26">
      <c r="A26" s="8" t="n">
        <v>18</v>
      </c>
      <c r="B26" s="17">
        <f>Targets!B24</f>
        <v/>
      </c>
      <c r="C26" s="18" t="n">
        <v>40142</v>
      </c>
      <c r="D26" s="19">
        <f>C27-C26</f>
        <v/>
      </c>
      <c r="E26" s="20">
        <f>IF(Targets!$B$56&lt;=0,0,C26/Targets!$B$56)</f>
        <v/>
      </c>
      <c r="F26" s="20">
        <f>Targets!C24</f>
        <v/>
      </c>
      <c r="G26" s="20">
        <f>E26-F26</f>
        <v/>
      </c>
      <c r="H26" s="17">
        <f>IF(ABS(G26)&lt;=Targets!D24,"ON PACE",IF(G26&lt;0,"TOO FAST","TOO SLOW"))</f>
        <v/>
      </c>
      <c r="I26" s="16">
        <f>IF(Targets!$B$57&lt;=0,0,E26*60/Targets!$B$57)</f>
        <v/>
      </c>
      <c r="J26" s="9" t="inlineStr"/>
    </row>
    <row r="27">
      <c r="A27" s="8" t="n">
        <v>19</v>
      </c>
      <c r="B27" s="17">
        <f>Targets!B25</f>
        <v/>
      </c>
      <c r="C27" s="18" t="n">
        <v>58205</v>
      </c>
      <c r="D27" s="19">
        <f>C28-C27</f>
        <v/>
      </c>
      <c r="E27" s="20">
        <f>IF(Targets!$B$56&lt;=0,0,C27/Targets!$B$56)</f>
        <v/>
      </c>
      <c r="F27" s="20">
        <f>Targets!C25</f>
        <v/>
      </c>
      <c r="G27" s="20">
        <f>E27-F27</f>
        <v/>
      </c>
      <c r="H27" s="17">
        <f>IF(ABS(G27)&lt;=Targets!D25,"ON PACE",IF(G27&lt;0,"TOO FAST","TOO SLOW"))</f>
        <v/>
      </c>
      <c r="I27" s="16">
        <f>IF(Targets!$B$57&lt;=0,0,E27*60/Targets!$B$57)</f>
        <v/>
      </c>
      <c r="J27" s="9" t="inlineStr"/>
    </row>
    <row r="28">
      <c r="A28" s="8" t="n">
        <v>20</v>
      </c>
      <c r="B28" s="17">
        <f>Targets!B26</f>
        <v/>
      </c>
      <c r="C28" s="18" t="n">
        <v>84398</v>
      </c>
      <c r="D28" s="19" t="n">
        <v>0</v>
      </c>
      <c r="E28" s="20">
        <f>IF(Targets!$B$56&lt;=0,0,C28/Targets!$B$56)</f>
        <v/>
      </c>
      <c r="F28" s="20">
        <f>Targets!C26</f>
        <v/>
      </c>
      <c r="G28" s="20">
        <f>E28-F28</f>
        <v/>
      </c>
      <c r="H28" s="17">
        <f>IF(ABS(G28)&lt;=Targets!D26,"ON PACE",IF(G28&lt;0,"TOO FAST","TOO SLOW"))</f>
        <v/>
      </c>
      <c r="I28" s="16">
        <f>IF(Targets!$B$57&lt;=0,0,E28*60/Targets!$B$57)</f>
        <v/>
      </c>
      <c r="J28" s="9" t="inlineStr"/>
    </row>
    <row r="30">
      <c r="A30" s="5" t="inlineStr">
        <is>
          <t>TOO FAST = players hit this rank sooner than you wanted (often because XP/hr is high or XP threshold is low). Raise XP in col C or lower farm rate.</t>
        </is>
      </c>
    </row>
  </sheetData>
  <mergeCells count="1">
    <mergeCell ref="A2:J2"/>
  </mergeCells>
  <conditionalFormatting sqref="H8:H28">
    <cfRule type="expression" priority="1" dxfId="0">
      <formula>H8="ON PACE"</formula>
    </cfRule>
    <cfRule type="expression" priority="2" dxfId="1">
      <formula>H8="TOO FAST"</formula>
    </cfRule>
    <cfRule type="expression" priority="3" dxfId="2">
      <formula>H8="TOO SLOW"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6" customWidth="1" min="9" max="9"/>
    <col width="12" customWidth="1" min="10" max="10"/>
    <col width="12" customWidth="1" min="11" max="11"/>
    <col width="14" customWidth="1" min="12" max="12"/>
    <col width="28" customWidth="1" min="13" max="13"/>
  </cols>
  <sheetData>
    <row r="1">
      <c r="A1" s="1" t="inlineStr">
        <is>
          <t>UPGRADES — power, cost, and timing (are they OP or UP?)</t>
        </is>
      </c>
    </row>
    <row r="2" ht="36" customHeight="1">
      <c r="A2" s="15" t="inlineStr">
        <is>
          <t>Power score is a design heuristic (not in-game). Budget comes from Targets §C. Per-level power = score / maxLevel. Flag: OK / TOO STRONG / TOO WEAK vs that track’s budget.</t>
        </is>
      </c>
    </row>
    <row r="4" ht="34" customHeight="1">
      <c r="A4" s="7" t="inlineStr">
        <is>
          <t>Track</t>
        </is>
      </c>
      <c r="B4" s="7" t="inlineStr">
        <is>
          <t>Upgrade</t>
        </is>
      </c>
      <c r="C4" s="7" t="inlineStr">
        <is>
          <t>Gate min (live)</t>
        </is>
      </c>
      <c r="D4" s="7" t="inlineStr">
        <is>
          <t>Your target min</t>
        </is>
      </c>
      <c r="E4" s="7" t="inlineStr">
        <is>
          <t>Delta</t>
        </is>
      </c>
      <c r="F4" s="7" t="inlineStr">
        <is>
          <t>Base cost</t>
        </is>
      </c>
      <c r="G4" s="7" t="inlineStr">
        <is>
          <t>Cost mult</t>
        </is>
      </c>
      <c r="H4" s="7" t="inlineStr">
        <is>
          <t>Max lv</t>
        </is>
      </c>
      <c r="I4" s="7" t="inlineStr">
        <is>
          <t>Effect / level</t>
        </is>
      </c>
      <c r="J4" s="7" t="inlineStr">
        <is>
          <t>Power score</t>
        </is>
      </c>
      <c r="K4" s="7" t="inlineStr">
        <is>
          <t>Power / level</t>
        </is>
      </c>
      <c r="L4" s="7" t="inlineStr">
        <is>
          <t>Flag</t>
        </is>
      </c>
      <c r="M4" s="7" t="inlineStr">
        <is>
          <t>Tune note</t>
        </is>
      </c>
    </row>
    <row r="5">
      <c r="A5" s="8" t="inlineStr">
        <is>
          <t>Combat</t>
        </is>
      </c>
      <c r="B5" s="9" t="inlineStr">
        <is>
          <t>Idle Power</t>
        </is>
      </c>
      <c r="C5" s="11" t="n">
        <v>0</v>
      </c>
      <c r="D5" s="12" t="n">
        <v>0</v>
      </c>
      <c r="E5" s="16">
        <f>C5-D5</f>
        <v/>
      </c>
      <c r="F5" s="18" t="n">
        <v>40</v>
      </c>
      <c r="G5" s="10" t="n">
        <v>1.55</v>
      </c>
      <c r="H5" s="14" t="n">
        <v>40</v>
      </c>
      <c r="I5" s="9" t="inlineStr">
        <is>
          <t>idlePower +12%/lv</t>
        </is>
      </c>
      <c r="J5" s="12" t="n">
        <v>192</v>
      </c>
      <c r="K5" s="16">
        <f>IF(H5&lt;=0,0,J5/H5)</f>
        <v/>
      </c>
      <c r="L5" s="17">
        <f>IF(K5&gt;Targets!$B$46*(1+Targets!$C$46),"TOO STRONG",IF(K5&lt;Targets!$B$46*(1-Targets!$D$46),"TOO WEAK","OK"))</f>
        <v/>
      </c>
      <c r="M5" s="9" t="inlineStr"/>
    </row>
    <row r="6">
      <c r="A6" s="8" t="inlineStr">
        <is>
          <t>Gear</t>
        </is>
      </c>
      <c r="B6" s="9" t="inlineStr">
        <is>
          <t>Bronze Blade</t>
        </is>
      </c>
      <c r="C6" s="11" t="n">
        <v>0</v>
      </c>
      <c r="D6" s="12" t="n">
        <v>0</v>
      </c>
      <c r="E6" s="16">
        <f>C6-D6</f>
        <v/>
      </c>
      <c r="F6" s="18" t="n">
        <v>0</v>
      </c>
      <c r="G6" s="10" t="n">
        <v>1</v>
      </c>
      <c r="H6" s="14" t="n">
        <v>1</v>
      </c>
      <c r="I6" s="9" t="inlineStr">
        <is>
          <t>idlePower +8%/lv</t>
        </is>
      </c>
      <c r="J6" s="12" t="n">
        <v>3.2</v>
      </c>
      <c r="K6" s="16">
        <f>IF(H6&lt;=0,0,J6/H6)</f>
        <v/>
      </c>
      <c r="L6" s="17">
        <f>IF(K6&gt;Targets!$B$47*(1+Targets!$C$47),"TOO STRONG",IF(K6&lt;Targets!$B$47*(1-Targets!$D$47),"TOO WEAK","OK"))</f>
        <v/>
      </c>
      <c r="M6" s="9" t="inlineStr"/>
    </row>
    <row r="7">
      <c r="A7" s="8" t="inlineStr">
        <is>
          <t>Gear</t>
        </is>
      </c>
      <c r="B7" s="9" t="inlineStr">
        <is>
          <t>Iron Blade</t>
        </is>
      </c>
      <c r="C7" s="11" t="n">
        <v>10</v>
      </c>
      <c r="D7" s="16">
        <f>Targets!C30</f>
        <v/>
      </c>
      <c r="E7" s="16">
        <f>C7-D7</f>
        <v/>
      </c>
      <c r="F7" s="18" t="n">
        <v>180</v>
      </c>
      <c r="G7" s="10" t="n">
        <v>1</v>
      </c>
      <c r="H7" s="14" t="n">
        <v>1</v>
      </c>
      <c r="I7" s="9" t="inlineStr">
        <is>
          <t>idlePower +12%/lv</t>
        </is>
      </c>
      <c r="J7" s="12" t="n">
        <v>4.8</v>
      </c>
      <c r="K7" s="16">
        <f>IF(H7&lt;=0,0,J7/H7)</f>
        <v/>
      </c>
      <c r="L7" s="17">
        <f>IF(K7&gt;Targets!$B$47*(1+Targets!$C$47),"TOO STRONG",IF(K7&lt;Targets!$B$47*(1-Targets!$D$47),"TOO WEAK","OK"))</f>
        <v/>
      </c>
      <c r="M7" s="9" t="inlineStr"/>
    </row>
    <row r="8">
      <c r="A8" s="8" t="inlineStr">
        <is>
          <t>Gear</t>
        </is>
      </c>
      <c r="B8" s="9" t="inlineStr">
        <is>
          <t>Steel Blade</t>
        </is>
      </c>
      <c r="C8" s="11" t="n">
        <v>15</v>
      </c>
      <c r="D8" s="16">
        <f>Targets!C31</f>
        <v/>
      </c>
      <c r="E8" s="16">
        <f>C8-D8</f>
        <v/>
      </c>
      <c r="F8" s="18" t="n">
        <v>450</v>
      </c>
      <c r="G8" s="10" t="n">
        <v>1</v>
      </c>
      <c r="H8" s="14" t="n">
        <v>1</v>
      </c>
      <c r="I8" s="9" t="inlineStr">
        <is>
          <t>idlePower +16%/lv</t>
        </is>
      </c>
      <c r="J8" s="12" t="n">
        <v>6.4</v>
      </c>
      <c r="K8" s="16">
        <f>IF(H8&lt;=0,0,J8/H8)</f>
        <v/>
      </c>
      <c r="L8" s="17">
        <f>IF(K8&gt;Targets!$B$47*(1+Targets!$C$47),"TOO STRONG",IF(K8&lt;Targets!$B$47*(1-Targets!$D$47),"TOO WEAK","OK"))</f>
        <v/>
      </c>
      <c r="M8" s="9" t="inlineStr"/>
    </row>
    <row r="9">
      <c r="A9" s="8" t="inlineStr">
        <is>
          <t>Gear</t>
        </is>
      </c>
      <c r="B9" s="9" t="inlineStr">
        <is>
          <t>Mithril Blade</t>
        </is>
      </c>
      <c r="C9" s="11" t="n">
        <v>22.5</v>
      </c>
      <c r="D9" s="16">
        <f>Targets!C36</f>
        <v/>
      </c>
      <c r="E9" s="16">
        <f>C9-D9</f>
        <v/>
      </c>
      <c r="F9" s="18" t="n">
        <v>320</v>
      </c>
      <c r="G9" s="10" t="n">
        <v>1</v>
      </c>
      <c r="H9" s="14" t="n">
        <v>1</v>
      </c>
      <c r="I9" s="9" t="inlineStr">
        <is>
          <t>idlePower +22%/lv</t>
        </is>
      </c>
      <c r="J9" s="12" t="n">
        <v>8.800000000000001</v>
      </c>
      <c r="K9" s="16">
        <f>IF(H9&lt;=0,0,J9/H9)</f>
        <v/>
      </c>
      <c r="L9" s="17">
        <f>IF(K9&gt;Targets!$B$47*(1+Targets!$C$47),"TOO STRONG",IF(K9&lt;Targets!$B$47*(1-Targets!$D$47),"TOO WEAK","OK"))</f>
        <v/>
      </c>
      <c r="M9" s="9" t="inlineStr"/>
    </row>
    <row r="10">
      <c r="A10" s="8" t="inlineStr">
        <is>
          <t>Gear</t>
        </is>
      </c>
      <c r="B10" s="9" t="inlineStr">
        <is>
          <t>Adamant Blade</t>
        </is>
      </c>
      <c r="C10" s="11" t="n">
        <v>33.75</v>
      </c>
      <c r="D10" s="16">
        <f>Targets!C38</f>
        <v/>
      </c>
      <c r="E10" s="16">
        <f>C10-D10</f>
        <v/>
      </c>
      <c r="F10" s="18" t="n">
        <v>700</v>
      </c>
      <c r="G10" s="10" t="n">
        <v>1</v>
      </c>
      <c r="H10" s="14" t="n">
        <v>1</v>
      </c>
      <c r="I10" s="9" t="inlineStr">
        <is>
          <t>idlePower +28%/lv</t>
        </is>
      </c>
      <c r="J10" s="12" t="n">
        <v>11.2</v>
      </c>
      <c r="K10" s="16">
        <f>IF(H10&lt;=0,0,J10/H10)</f>
        <v/>
      </c>
      <c r="L10" s="17">
        <f>IF(K10&gt;Targets!$B$47*(1+Targets!$C$47),"TOO STRONG",IF(K10&lt;Targets!$B$47*(1-Targets!$D$47),"TOO WEAK","OK"))</f>
        <v/>
      </c>
      <c r="M10" s="9" t="inlineStr"/>
    </row>
    <row r="11">
      <c r="A11" s="8" t="inlineStr">
        <is>
          <t>Gear</t>
        </is>
      </c>
      <c r="B11" s="9" t="inlineStr">
        <is>
          <t>Rune Blade</t>
        </is>
      </c>
      <c r="C11" s="11" t="n">
        <v>50.625</v>
      </c>
      <c r="D11" s="12" t="n">
        <v>50.625</v>
      </c>
      <c r="E11" s="16">
        <f>C11-D11</f>
        <v/>
      </c>
      <c r="F11" s="18" t="n">
        <v>1500</v>
      </c>
      <c r="G11" s="10" t="n">
        <v>1</v>
      </c>
      <c r="H11" s="14" t="n">
        <v>1</v>
      </c>
      <c r="I11" s="9" t="inlineStr">
        <is>
          <t>idlePower +35%/lv</t>
        </is>
      </c>
      <c r="J11" s="12" t="n">
        <v>14</v>
      </c>
      <c r="K11" s="16">
        <f>IF(H11&lt;=0,0,J11/H11)</f>
        <v/>
      </c>
      <c r="L11" s="17">
        <f>IF(K11&gt;Targets!$B$47*(1+Targets!$C$47),"TOO STRONG",IF(K11&lt;Targets!$B$47*(1-Targets!$D$47),"TOO WEAK","OK"))</f>
        <v/>
      </c>
      <c r="M11" s="9" t="inlineStr"/>
    </row>
    <row r="12">
      <c r="A12" s="8" t="inlineStr">
        <is>
          <t>Gear</t>
        </is>
      </c>
      <c r="B12" s="9" t="inlineStr">
        <is>
          <t>Dragon Blade</t>
        </is>
      </c>
      <c r="C12" s="11" t="n">
        <v>75.9375</v>
      </c>
      <c r="D12" s="16">
        <f>Targets!C40</f>
        <v/>
      </c>
      <c r="E12" s="16">
        <f>C12-D12</f>
        <v/>
      </c>
      <c r="F12" s="18" t="n">
        <v>3500</v>
      </c>
      <c r="G12" s="10" t="n">
        <v>1</v>
      </c>
      <c r="H12" s="14" t="n">
        <v>1</v>
      </c>
      <c r="I12" s="9" t="inlineStr">
        <is>
          <t>idlePower +50%/lv</t>
        </is>
      </c>
      <c r="J12" s="12" t="n">
        <v>20</v>
      </c>
      <c r="K12" s="16">
        <f>IF(H12&lt;=0,0,J12/H12)</f>
        <v/>
      </c>
      <c r="L12" s="17">
        <f>IF(K12&gt;Targets!$B$47*(1+Targets!$C$47),"TOO STRONG",IF(K12&lt;Targets!$B$47*(1-Targets!$D$47),"TOO WEAK","OK"))</f>
        <v/>
      </c>
      <c r="M12" s="9" t="inlineStr"/>
    </row>
    <row r="13">
      <c r="A13" s="8" t="inlineStr">
        <is>
          <t>Combat</t>
        </is>
      </c>
      <c r="B13" s="9" t="inlineStr">
        <is>
          <t>Unlock Crits</t>
        </is>
      </c>
      <c r="C13" s="11" t="n">
        <v>20</v>
      </c>
      <c r="D13" s="16">
        <f>Targets!C35</f>
        <v/>
      </c>
      <c r="E13" s="16">
        <f>C13-D13</f>
        <v/>
      </c>
      <c r="F13" s="18" t="n">
        <v>120</v>
      </c>
      <c r="G13" s="10" t="n">
        <v>1</v>
      </c>
      <c r="H13" s="14" t="n">
        <v>1</v>
      </c>
      <c r="I13" s="9" t="inlineStr">
        <is>
          <t>feature=crits</t>
        </is>
      </c>
      <c r="J13" s="12" t="n">
        <v>30</v>
      </c>
      <c r="K13" s="16">
        <f>IF(H13&lt;=0,0,J13/H13)</f>
        <v/>
      </c>
      <c r="L13" s="17">
        <f>IF(K13&gt;Targets!$B$46*(1+Targets!$C$46),"TOO STRONG",IF(K13&lt;Targets!$B$46*(1-Targets!$D$46),"TOO WEAK","OK"))</f>
        <v/>
      </c>
      <c r="M13" s="9" t="inlineStr"/>
    </row>
    <row r="14">
      <c r="A14" s="8" t="inlineStr">
        <is>
          <t>Combat</t>
        </is>
      </c>
      <c r="B14" s="9" t="inlineStr">
        <is>
          <t>Unlock Specials</t>
        </is>
      </c>
      <c r="C14" s="11" t="n">
        <v>25</v>
      </c>
      <c r="D14" s="12" t="n">
        <v>25</v>
      </c>
      <c r="E14" s="16">
        <f>C14-D14</f>
        <v/>
      </c>
      <c r="F14" s="18" t="n">
        <v>200</v>
      </c>
      <c r="G14" s="10" t="n">
        <v>1</v>
      </c>
      <c r="H14" s="14" t="n">
        <v>1</v>
      </c>
      <c r="I14" s="9" t="inlineStr">
        <is>
          <t>feature=specials</t>
        </is>
      </c>
      <c r="J14" s="12" t="n">
        <v>30</v>
      </c>
      <c r="K14" s="16">
        <f>IF(H14&lt;=0,0,J14/H14)</f>
        <v/>
      </c>
      <c r="L14" s="17">
        <f>IF(K14&gt;Targets!$B$46*(1+Targets!$C$46),"TOO STRONG",IF(K14&lt;Targets!$B$46*(1-Targets!$D$46),"TOO WEAK","OK"))</f>
        <v/>
      </c>
      <c r="M14" s="9" t="inlineStr"/>
    </row>
    <row r="15">
      <c r="A15" s="8" t="inlineStr">
        <is>
          <t>Combat</t>
        </is>
      </c>
      <c r="B15" s="9" t="inlineStr">
        <is>
          <t>Bolt Focus</t>
        </is>
      </c>
      <c r="C15" s="11" t="n">
        <v>8</v>
      </c>
      <c r="D15" s="16">
        <f>Targets!C32</f>
        <v/>
      </c>
      <c r="E15" s="16">
        <f>C15-D15</f>
        <v/>
      </c>
      <c r="F15" s="18" t="n">
        <v>90</v>
      </c>
      <c r="G15" s="10" t="n">
        <v>1.8</v>
      </c>
      <c r="H15" s="14" t="n">
        <v>3</v>
      </c>
      <c r="I15" s="9" t="inlineStr">
        <is>
          <t>beamFocus +1</t>
        </is>
      </c>
      <c r="J15" s="12" t="n">
        <v>0</v>
      </c>
      <c r="K15" s="16">
        <f>IF(H15&lt;=0,0,J15/H15)</f>
        <v/>
      </c>
      <c r="L15" s="17">
        <f>IF(K15&gt;Targets!$B$46*(1+Targets!$C$46),"TOO STRONG",IF(K15&lt;Targets!$B$46*(1-Targets!$D$46),"TOO WEAK","OK"))</f>
        <v/>
      </c>
      <c r="M15" s="9" t="inlineStr"/>
    </row>
    <row r="16">
      <c r="A16" s="8" t="inlineStr">
        <is>
          <t>Combat</t>
        </is>
      </c>
      <c r="B16" s="9" t="inlineStr">
        <is>
          <t>Crit Power</t>
        </is>
      </c>
      <c r="C16" s="11" t="n">
        <v>22</v>
      </c>
      <c r="D16" s="12" t="n">
        <v>22</v>
      </c>
      <c r="E16" s="16">
        <f>C16-D16</f>
        <v/>
      </c>
      <c r="F16" s="18" t="n">
        <v>150</v>
      </c>
      <c r="G16" s="10" t="n">
        <v>1.7</v>
      </c>
      <c r="H16" s="14" t="n">
        <v>10</v>
      </c>
      <c r="I16" s="9" t="inlineStr">
        <is>
          <t>critChance +4%/lv</t>
        </is>
      </c>
      <c r="J16" s="12" t="n">
        <v>24</v>
      </c>
      <c r="K16" s="16">
        <f>IF(H16&lt;=0,0,J16/H16)</f>
        <v/>
      </c>
      <c r="L16" s="17">
        <f>IF(K16&gt;Targets!$B$46*(1+Targets!$C$46),"TOO STRONG",IF(K16&lt;Targets!$B$46*(1-Targets!$D$46),"TOO WEAK","OK"))</f>
        <v/>
      </c>
      <c r="M16" s="9" t="inlineStr"/>
    </row>
    <row r="17">
      <c r="A17" s="8" t="inlineStr">
        <is>
          <t>Combat</t>
        </is>
      </c>
      <c r="B17" s="9" t="inlineStr">
        <is>
          <t>Special Cadence</t>
        </is>
      </c>
      <c r="C17" s="11" t="n">
        <v>30</v>
      </c>
      <c r="D17" s="12" t="n">
        <v>30</v>
      </c>
      <c r="E17" s="16">
        <f>C17-D17</f>
        <v/>
      </c>
      <c r="F17" s="18" t="n">
        <v>220</v>
      </c>
      <c r="G17" s="10" t="n">
        <v>1.75</v>
      </c>
      <c r="H17" s="14" t="n">
        <v>5</v>
      </c>
      <c r="I17" s="9" t="inlineStr">
        <is>
          <t>specialCadence +12%/lv</t>
        </is>
      </c>
      <c r="J17" s="12" t="n">
        <v>0</v>
      </c>
      <c r="K17" s="16">
        <f>IF(H17&lt;=0,0,J17/H17)</f>
        <v/>
      </c>
      <c r="L17" s="17">
        <f>IF(K17&gt;Targets!$B$46*(1+Targets!$C$46),"TOO STRONG",IF(K17&lt;Targets!$B$46*(1-Targets!$D$46),"TOO WEAK","OK"))</f>
        <v/>
      </c>
      <c r="M17" s="9" t="inlineStr"/>
    </row>
    <row r="18">
      <c r="A18" s="8" t="inlineStr">
        <is>
          <t>Combat</t>
        </is>
      </c>
      <c r="B18" s="9" t="inlineStr">
        <is>
          <t>Bolt Pierce</t>
        </is>
      </c>
      <c r="C18" s="11" t="n">
        <v>15</v>
      </c>
      <c r="D18" s="16">
        <f>Targets!C33</f>
        <v/>
      </c>
      <c r="E18" s="16">
        <f>C18-D18</f>
        <v/>
      </c>
      <c r="F18" s="18" t="n">
        <v>180</v>
      </c>
      <c r="G18" s="10" t="n">
        <v>2.2</v>
      </c>
      <c r="H18" s="14" t="n">
        <v>2</v>
      </c>
      <c r="I18" s="9" t="inlineStr">
        <is>
          <t>boltPierce +1</t>
        </is>
      </c>
      <c r="J18" s="12" t="n">
        <v>70</v>
      </c>
      <c r="K18" s="16">
        <f>IF(H18&lt;=0,0,J18/H18)</f>
        <v/>
      </c>
      <c r="L18" s="17">
        <f>IF(K18&gt;Targets!$B$46*(1+Targets!$C$46),"TOO STRONG",IF(K18&lt;Targets!$B$46*(1-Targets!$D$46),"TOO WEAK","OK"))</f>
        <v/>
      </c>
      <c r="M18" s="9" t="inlineStr"/>
    </row>
    <row r="19">
      <c r="A19" s="8" t="inlineStr">
        <is>
          <t>Combat</t>
        </is>
      </c>
      <c r="B19" s="9" t="inlineStr">
        <is>
          <t>Bolt Bounce</t>
        </is>
      </c>
      <c r="C19" s="11" t="n">
        <v>20</v>
      </c>
      <c r="D19" s="12" t="n">
        <v>20</v>
      </c>
      <c r="E19" s="16">
        <f>C19-D19</f>
        <v/>
      </c>
      <c r="F19" s="18" t="n">
        <v>200</v>
      </c>
      <c r="G19" s="10" t="n">
        <v>2.2</v>
      </c>
      <c r="H19" s="14" t="n">
        <v>2</v>
      </c>
      <c r="I19" s="9" t="inlineStr">
        <is>
          <t>boltBounce +1</t>
        </is>
      </c>
      <c r="J19" s="12" t="n">
        <v>60</v>
      </c>
      <c r="K19" s="16">
        <f>IF(H19&lt;=0,0,J19/H19)</f>
        <v/>
      </c>
      <c r="L19" s="17">
        <f>IF(K19&gt;Targets!$B$46*(1+Targets!$C$46),"TOO STRONG",IF(K19&lt;Targets!$B$46*(1-Targets!$D$46),"TOO WEAK","OK"))</f>
        <v/>
      </c>
      <c r="M19" s="9" t="inlineStr"/>
    </row>
    <row r="20">
      <c r="A20" s="8" t="inlineStr">
        <is>
          <t>Camp</t>
        </is>
      </c>
      <c r="B20" s="9" t="inlineStr">
        <is>
          <t>Offline Cap</t>
        </is>
      </c>
      <c r="C20" s="11" t="n">
        <v>0</v>
      </c>
      <c r="D20" s="12" t="n">
        <v>0</v>
      </c>
      <c r="E20" s="16">
        <f>C20-D20</f>
        <v/>
      </c>
      <c r="F20" s="18" t="n">
        <v>80</v>
      </c>
      <c r="G20" s="10" t="n">
        <v>1.7</v>
      </c>
      <c r="H20" s="14" t="n">
        <v>20</v>
      </c>
      <c r="I20" s="9" t="inlineStr">
        <is>
          <t>offlineCapMin +30</t>
        </is>
      </c>
      <c r="J20" s="12" t="n">
        <v>0</v>
      </c>
      <c r="K20" s="16">
        <f>IF(H20&lt;=0,0,J20/H20)</f>
        <v/>
      </c>
      <c r="L20" s="17">
        <f>IF(K20&gt;Targets!$B$49*(1+Targets!$C$49),"TOO STRONG",IF(K20&lt;Targets!$B$49*(1-Targets!$D$49),"TOO WEAK","OK"))</f>
        <v/>
      </c>
      <c r="M20" s="9" t="inlineStr"/>
    </row>
    <row r="21">
      <c r="A21" s="8" t="inlineStr">
        <is>
          <t>Camp</t>
        </is>
      </c>
      <c r="B21" s="9" t="inlineStr">
        <is>
          <t>Food Efficiency</t>
        </is>
      </c>
      <c r="C21" s="11" t="n">
        <v>0</v>
      </c>
      <c r="D21" s="12" t="n">
        <v>0</v>
      </c>
      <c r="E21" s="16">
        <f>C21-D21</f>
        <v/>
      </c>
      <c r="F21" s="18" t="n">
        <v>50</v>
      </c>
      <c r="G21" s="10" t="n">
        <v>1.6</v>
      </c>
      <c r="H21" s="14" t="n">
        <v>25</v>
      </c>
      <c r="I21" s="9" t="inlineStr">
        <is>
          <t>foodEff +8%/lv</t>
        </is>
      </c>
      <c r="J21" s="12" t="n">
        <v>30</v>
      </c>
      <c r="K21" s="16">
        <f>IF(H21&lt;=0,0,J21/H21)</f>
        <v/>
      </c>
      <c r="L21" s="17">
        <f>IF(K21&gt;Targets!$B$49*(1+Targets!$C$49),"TOO STRONG",IF(K21&lt;Targets!$B$49*(1-Targets!$D$49),"TOO WEAK","OK"))</f>
        <v/>
      </c>
      <c r="M21" s="9" t="inlineStr"/>
    </row>
    <row r="22">
      <c r="A22" s="8" t="inlineStr">
        <is>
          <t>Camp</t>
        </is>
      </c>
      <c r="B22" s="9" t="inlineStr">
        <is>
          <t>Bigger Food Stock</t>
        </is>
      </c>
      <c r="C22" s="11" t="n">
        <v>0</v>
      </c>
      <c r="D22" s="12" t="n">
        <v>0</v>
      </c>
      <c r="E22" s="16">
        <f>C22-D22</f>
        <v/>
      </c>
      <c r="F22" s="18" t="n">
        <v>35</v>
      </c>
      <c r="G22" s="10" t="n">
        <v>1.5</v>
      </c>
      <c r="H22" s="14" t="n">
        <v>30</v>
      </c>
      <c r="I22" s="9" t="inlineStr">
        <is>
          <t>foodCap +25, foodRegen +40%/lv</t>
        </is>
      </c>
      <c r="J22" s="12" t="n">
        <v>7500</v>
      </c>
      <c r="K22" s="16">
        <f>IF(H22&lt;=0,0,J22/H22)</f>
        <v/>
      </c>
      <c r="L22" s="17">
        <f>IF(K22&gt;Targets!$B$49*(1+Targets!$C$49),"TOO STRONG",IF(K22&lt;Targets!$B$49*(1-Targets!$D$49),"TOO WEAK","OK"))</f>
        <v/>
      </c>
      <c r="M22" s="9" t="inlineStr"/>
    </row>
    <row r="23">
      <c r="A23" s="8" t="inlineStr">
        <is>
          <t>Other</t>
        </is>
      </c>
      <c r="B23" s="9" t="inlineStr">
        <is>
          <t>Auto-Accept</t>
        </is>
      </c>
      <c r="C23" s="11" t="n">
        <v>0</v>
      </c>
      <c r="D23" s="12" t="n">
        <v>0</v>
      </c>
      <c r="E23" s="16">
        <f>C23-D23</f>
        <v/>
      </c>
      <c r="F23" s="18" t="n">
        <v>150</v>
      </c>
      <c r="G23" s="10" t="n">
        <v>1</v>
      </c>
      <c r="H23" s="14" t="n">
        <v>1</v>
      </c>
      <c r="I23" s="9" t="inlineStr">
        <is>
          <t>autoAccept=True</t>
        </is>
      </c>
      <c r="J23" s="12" t="n">
        <v>0</v>
      </c>
      <c r="K23" s="16">
        <f>IF(H23&lt;=0,0,J23/H23)</f>
        <v/>
      </c>
      <c r="L23" s="17">
        <f>IF(K23&gt;Targets!$B$46*(1+Targets!$C$46),"TOO STRONG",IF(K23&lt;Targets!$B$46*(1-Targets!$D$46),"TOO WEAK","OK"))</f>
        <v/>
      </c>
      <c r="M23" s="9" t="inlineStr"/>
    </row>
    <row r="24">
      <c r="A24" s="8" t="inlineStr">
        <is>
          <t>Company</t>
        </is>
      </c>
      <c r="B24" s="9" t="inlineStr">
        <is>
          <t>Hire Briar</t>
        </is>
      </c>
      <c r="C24" s="11" t="n">
        <v>15</v>
      </c>
      <c r="D24" s="16">
        <f>Targets!C34</f>
        <v/>
      </c>
      <c r="E24" s="16">
        <f>C24-D24</f>
        <v/>
      </c>
      <c r="F24" s="18" t="n">
        <v>80</v>
      </c>
      <c r="G24" s="10" t="n">
        <v>1</v>
      </c>
      <c r="H24" s="14" t="n">
        <v>1</v>
      </c>
      <c r="I24" s="9" t="inlineStr">
        <is>
          <t>unlockHunter=briar</t>
        </is>
      </c>
      <c r="J24" s="12" t="n">
        <v>30</v>
      </c>
      <c r="K24" s="16">
        <f>IF(H24&lt;=0,0,J24/H24)</f>
        <v/>
      </c>
      <c r="L24" s="17">
        <f>IF(K24&gt;Targets!$B$48*(1+Targets!$C$48),"TOO STRONG",IF(K24&lt;Targets!$B$48*(1-Targets!$D$48),"TOO WEAK","OK"))</f>
        <v/>
      </c>
      <c r="M24" s="9" t="inlineStr"/>
    </row>
    <row r="25">
      <c r="A25" s="8" t="inlineStr">
        <is>
          <t>Company</t>
        </is>
      </c>
      <c r="B25" s="9" t="inlineStr">
        <is>
          <t>Hire Quill</t>
        </is>
      </c>
      <c r="C25" s="11" t="n">
        <v>90</v>
      </c>
      <c r="D25" s="16">
        <f>Targets!C37</f>
        <v/>
      </c>
      <c r="E25" s="16">
        <f>C25-D25</f>
        <v/>
      </c>
      <c r="F25" s="18" t="n">
        <v>200</v>
      </c>
      <c r="G25" s="10" t="n">
        <v>1</v>
      </c>
      <c r="H25" s="14" t="n">
        <v>1</v>
      </c>
      <c r="I25" s="9" t="inlineStr">
        <is>
          <t>unlockHunter=quill</t>
        </is>
      </c>
      <c r="J25" s="12" t="n">
        <v>30</v>
      </c>
      <c r="K25" s="16">
        <f>IF(H25&lt;=0,0,J25/H25)</f>
        <v/>
      </c>
      <c r="L25" s="17">
        <f>IF(K25&gt;Targets!$B$48*(1+Targets!$C$48),"TOO STRONG",IF(K25&lt;Targets!$B$48*(1-Targets!$D$48),"TOO WEAK","OK"))</f>
        <v/>
      </c>
      <c r="M25" s="9" t="inlineStr"/>
    </row>
    <row r="26">
      <c r="A26" s="8" t="inlineStr">
        <is>
          <t>Company</t>
        </is>
      </c>
      <c r="B26" s="9" t="inlineStr">
        <is>
          <t>Hire Moss</t>
        </is>
      </c>
      <c r="C26" s="11" t="n">
        <v>180</v>
      </c>
      <c r="D26" s="16">
        <f>Targets!C39</f>
        <v/>
      </c>
      <c r="E26" s="16">
        <f>C26-D26</f>
        <v/>
      </c>
      <c r="F26" s="18" t="n">
        <v>400</v>
      </c>
      <c r="G26" s="10" t="n">
        <v>1</v>
      </c>
      <c r="H26" s="14" t="n">
        <v>1</v>
      </c>
      <c r="I26" s="9" t="inlineStr">
        <is>
          <t>unlockHunter=moss</t>
        </is>
      </c>
      <c r="J26" s="12" t="n">
        <v>30</v>
      </c>
      <c r="K26" s="16">
        <f>IF(H26&lt;=0,0,J26/H26)</f>
        <v/>
      </c>
      <c r="L26" s="17">
        <f>IF(K26&gt;Targets!$B$48*(1+Targets!$C$48),"TOO STRONG",IF(K26&lt;Targets!$B$48*(1-Targets!$D$48),"TOO WEAK","OK"))</f>
        <v/>
      </c>
      <c r="M26" s="9" t="inlineStr"/>
    </row>
    <row r="27">
      <c r="A27" s="8" t="inlineStr">
        <is>
          <t>Company</t>
        </is>
      </c>
      <c r="B27" s="9" t="inlineStr">
        <is>
          <t>Hire Ember</t>
        </is>
      </c>
      <c r="C27" s="11" t="n">
        <v>300</v>
      </c>
      <c r="D27" s="16">
        <f>Targets!C41</f>
        <v/>
      </c>
      <c r="E27" s="16">
        <f>C27-D27</f>
        <v/>
      </c>
      <c r="F27" s="18" t="n">
        <v>1200</v>
      </c>
      <c r="G27" s="10" t="n">
        <v>1</v>
      </c>
      <c r="H27" s="14" t="n">
        <v>1</v>
      </c>
      <c r="I27" s="9" t="inlineStr">
        <is>
          <t>unlockHunter=ember</t>
        </is>
      </c>
      <c r="J27" s="12" t="n">
        <v>30</v>
      </c>
      <c r="K27" s="16">
        <f>IF(H27&lt;=0,0,J27/H27)</f>
        <v/>
      </c>
      <c r="L27" s="17">
        <f>IF(K27&gt;Targets!$B$48*(1+Targets!$C$48),"TOO STRONG",IF(K27&lt;Targets!$B$48*(1-Targets!$D$48),"TOO WEAK","OK"))</f>
        <v/>
      </c>
      <c r="M27" s="9" t="inlineStr"/>
    </row>
    <row r="28">
      <c r="A28" s="8" t="inlineStr">
        <is>
          <t>Company</t>
        </is>
      </c>
      <c r="B28" s="9" t="inlineStr">
        <is>
          <t>Hunter Power</t>
        </is>
      </c>
      <c r="C28" s="11" t="n">
        <v>20</v>
      </c>
      <c r="D28" s="12" t="n">
        <v>20</v>
      </c>
      <c r="E28" s="16">
        <f>C28-D28</f>
        <v/>
      </c>
      <c r="F28" s="18" t="n">
        <v>100</v>
      </c>
      <c r="G28" s="10" t="n">
        <v>1.65</v>
      </c>
      <c r="H28" s="14" t="n">
        <v>20</v>
      </c>
      <c r="I28" s="9" t="inlineStr">
        <is>
          <t>hunterPower +30%/lv</t>
        </is>
      </c>
      <c r="J28" s="12" t="n">
        <v>300</v>
      </c>
      <c r="K28" s="16">
        <f>IF(H28&lt;=0,0,J28/H28)</f>
        <v/>
      </c>
      <c r="L28" s="17">
        <f>IF(K28&gt;Targets!$B$48*(1+Targets!$C$48),"TOO STRONG",IF(K28&lt;Targets!$B$48*(1-Targets!$D$48),"TOO WEAK","OK"))</f>
        <v/>
      </c>
      <c r="M28" s="9" t="inlineStr"/>
    </row>
    <row r="29">
      <c r="A29" s="8" t="inlineStr">
        <is>
          <t>Company</t>
        </is>
      </c>
      <c r="B29" s="9" t="inlineStr">
        <is>
          <t>Bigger Hits</t>
        </is>
      </c>
      <c r="C29" s="11" t="n">
        <v>22</v>
      </c>
      <c r="D29" s="12" t="n">
        <v>22</v>
      </c>
      <c r="E29" s="16">
        <f>C29-D29</f>
        <v/>
      </c>
      <c r="F29" s="18" t="n">
        <v>140</v>
      </c>
      <c r="G29" s="10" t="n">
        <v>1.7</v>
      </c>
      <c r="H29" s="14" t="n">
        <v>15</v>
      </c>
      <c r="I29" s="9" t="inlineStr">
        <is>
          <t>hunterDmg +40%/lv</t>
        </is>
      </c>
      <c r="J29" s="12" t="n">
        <v>270</v>
      </c>
      <c r="K29" s="16">
        <f>IF(H29&lt;=0,0,J29/H29)</f>
        <v/>
      </c>
      <c r="L29" s="17">
        <f>IF(K29&gt;Targets!$B$48*(1+Targets!$C$48),"TOO STRONG",IF(K29&lt;Targets!$B$48*(1-Targets!$D$48),"TOO WEAK","OK"))</f>
        <v/>
      </c>
      <c r="M29" s="9" t="inlineStr"/>
    </row>
    <row r="30">
      <c r="A30" s="8" t="inlineStr">
        <is>
          <t>Company</t>
        </is>
      </c>
      <c r="B30" s="9" t="inlineStr">
        <is>
          <t>Faster Attacks</t>
        </is>
      </c>
      <c r="C30" s="11" t="n">
        <v>24</v>
      </c>
      <c r="D30" s="12" t="n">
        <v>24</v>
      </c>
      <c r="E30" s="16">
        <f>C30-D30</f>
        <v/>
      </c>
      <c r="F30" s="18" t="n">
        <v>160</v>
      </c>
      <c r="G30" s="10" t="n">
        <v>1.75</v>
      </c>
      <c r="H30" s="14" t="n">
        <v>12</v>
      </c>
      <c r="I30" s="9" t="inlineStr">
        <is>
          <t>hunterAtkSpeed +30%/lv</t>
        </is>
      </c>
      <c r="J30" s="12" t="n">
        <v>162</v>
      </c>
      <c r="K30" s="16">
        <f>IF(H30&lt;=0,0,J30/H30)</f>
        <v/>
      </c>
      <c r="L30" s="17">
        <f>IF(K30&gt;Targets!$B$48*(1+Targets!$C$48),"TOO STRONG",IF(K30&lt;Targets!$B$48*(1-Targets!$D$48),"TOO WEAK","OK"))</f>
        <v/>
      </c>
      <c r="M30" s="9" t="inlineStr"/>
    </row>
    <row r="31">
      <c r="A31" s="8" t="inlineStr">
        <is>
          <t>Company</t>
        </is>
      </c>
      <c r="B31" s="9" t="inlineStr">
        <is>
          <t>Swift Walk</t>
        </is>
      </c>
      <c r="C31" s="11" t="n">
        <v>18</v>
      </c>
      <c r="D31" s="12" t="n">
        <v>18</v>
      </c>
      <c r="E31" s="16">
        <f>C31-D31</f>
        <v/>
      </c>
      <c r="F31" s="18" t="n">
        <v>120</v>
      </c>
      <c r="G31" s="10" t="n">
        <v>1</v>
      </c>
      <c r="H31" s="14" t="n">
        <v>1</v>
      </c>
      <c r="I31" s="9" t="inlineStr">
        <is>
          <t>hunterMoveSpeed +55%/lv</t>
        </is>
      </c>
      <c r="J31" s="12" t="n">
        <v>13.8</v>
      </c>
      <c r="K31" s="16">
        <f>IF(H31&lt;=0,0,J31/H31)</f>
        <v/>
      </c>
      <c r="L31" s="17">
        <f>IF(K31&gt;Targets!$B$48*(1+Targets!$C$48),"TOO STRONG",IF(K31&lt;Targets!$B$48*(1-Targets!$D$48),"TOO WEAK","OK"))</f>
        <v/>
      </c>
      <c r="M31" s="9" t="inlineStr"/>
    </row>
    <row r="32">
      <c r="A32" s="8" t="inlineStr">
        <is>
          <t>Company</t>
        </is>
      </c>
      <c r="B32" s="9" t="inlineStr">
        <is>
          <t>Faster Chase</t>
        </is>
      </c>
      <c r="C32" s="11" t="n">
        <v>25</v>
      </c>
      <c r="D32" s="12" t="n">
        <v>25</v>
      </c>
      <c r="E32" s="16">
        <f>C32-D32</f>
        <v/>
      </c>
      <c r="F32" s="18" t="n">
        <v>220</v>
      </c>
      <c r="G32" s="10" t="n">
        <v>1</v>
      </c>
      <c r="H32" s="14" t="n">
        <v>1</v>
      </c>
      <c r="I32" s="9" t="inlineStr">
        <is>
          <t>hunterMoveSpeed +70%/lv</t>
        </is>
      </c>
      <c r="J32" s="12" t="n">
        <v>17.5</v>
      </c>
      <c r="K32" s="16">
        <f>IF(H32&lt;=0,0,J32/H32)</f>
        <v/>
      </c>
      <c r="L32" s="17">
        <f>IF(K32&gt;Targets!$B$48*(1+Targets!$C$48),"TOO STRONG",IF(K32&lt;Targets!$B$48*(1-Targets!$D$48),"TOO WEAK","OK"))</f>
        <v/>
      </c>
      <c r="M32" s="9" t="inlineStr"/>
    </row>
    <row r="33">
      <c r="A33" s="8" t="inlineStr">
        <is>
          <t>Company</t>
        </is>
      </c>
      <c r="B33" s="9" t="inlineStr">
        <is>
          <t>Hard Charge</t>
        </is>
      </c>
      <c r="C33" s="11" t="n">
        <v>35</v>
      </c>
      <c r="D33" s="12" t="n">
        <v>35</v>
      </c>
      <c r="E33" s="16">
        <f>C33-D33</f>
        <v/>
      </c>
      <c r="F33" s="18" t="n">
        <v>400</v>
      </c>
      <c r="G33" s="10" t="n">
        <v>1</v>
      </c>
      <c r="H33" s="14" t="n">
        <v>1</v>
      </c>
      <c r="I33" s="9" t="inlineStr">
        <is>
          <t>hunterMoveSpeed +90%/lv</t>
        </is>
      </c>
      <c r="J33" s="12" t="n">
        <v>22.5</v>
      </c>
      <c r="K33" s="16">
        <f>IF(H33&lt;=0,0,J33/H33)</f>
        <v/>
      </c>
      <c r="L33" s="17">
        <f>IF(K33&gt;Targets!$B$48*(1+Targets!$C$48),"TOO STRONG",IF(K33&lt;Targets!$B$48*(1-Targets!$D$48),"TOO WEAK","OK"))</f>
        <v/>
      </c>
      <c r="M33" s="9" t="inlineStr"/>
    </row>
    <row r="34">
      <c r="A34" s="8" t="inlineStr">
        <is>
          <t>Camp</t>
        </is>
      </c>
      <c r="B34" s="9" t="inlineStr">
        <is>
          <t>Loot Luck</t>
        </is>
      </c>
      <c r="C34" s="11" t="n">
        <v>0</v>
      </c>
      <c r="D34" s="12" t="n">
        <v>0</v>
      </c>
      <c r="E34" s="16">
        <f>C34-D34</f>
        <v/>
      </c>
      <c r="F34" s="18" t="n">
        <v>70</v>
      </c>
      <c r="G34" s="10" t="n">
        <v>1.65</v>
      </c>
      <c r="H34" s="14" t="n">
        <v>20</v>
      </c>
      <c r="I34" s="9" t="inlineStr">
        <is>
          <t>lootLuck +10%/lv</t>
        </is>
      </c>
      <c r="J34" s="12" t="n">
        <v>40</v>
      </c>
      <c r="K34" s="16">
        <f>IF(H34&lt;=0,0,J34/H34)</f>
        <v/>
      </c>
      <c r="L34" s="17">
        <f>IF(K34&gt;Targets!$B$49*(1+Targets!$C$49),"TOO STRONG",IF(K34&lt;Targets!$B$49*(1-Targets!$D$49),"TOO WEAK","OK"))</f>
        <v/>
      </c>
      <c r="M34" s="9" t="inlineStr"/>
    </row>
    <row r="35">
      <c r="A35" s="8" t="inlineStr">
        <is>
          <t>Other</t>
        </is>
      </c>
      <c r="B35" s="9" t="inlineStr">
        <is>
          <t>Area Boss Focus</t>
        </is>
      </c>
      <c r="C35" s="11" t="n">
        <v>0</v>
      </c>
      <c r="D35" s="12" t="n">
        <v>0</v>
      </c>
      <c r="E35" s="16">
        <f>C35-D35</f>
        <v/>
      </c>
      <c r="F35" s="18" t="n">
        <v>100</v>
      </c>
      <c r="G35" s="10" t="n">
        <v>1.75</v>
      </c>
      <c r="H35" s="14" t="n">
        <v>15</v>
      </c>
      <c r="I35" s="9" t="inlineStr">
        <is>
          <t>preyChip +15%/lv</t>
        </is>
      </c>
      <c r="J35" s="12" t="n">
        <v>0</v>
      </c>
      <c r="K35" s="16">
        <f>IF(H35&lt;=0,0,J35/H35)</f>
        <v/>
      </c>
      <c r="L35" s="17">
        <f>IF(K35&gt;Targets!$B$46*(1+Targets!$C$46),"TOO STRONG",IF(K35&lt;Targets!$B$46*(1-Targets!$D$46),"TOO WEAK","OK"))</f>
        <v/>
      </c>
      <c r="M35" s="9" t="inlineStr"/>
    </row>
    <row r="37">
      <c r="A37" s="5" t="inlineStr">
        <is>
          <t>Company tip: Hunter Power (+30%/lv) × Bigger Hits (+40%/lv) multiplies — if both flag TOO STRONG, cut one. Pierce should not flag TOO LATE vs Mages unlock (see Journey).</t>
        </is>
      </c>
    </row>
  </sheetData>
  <mergeCells count="2">
    <mergeCell ref="A2:M2"/>
    <mergeCell ref="A37:M37"/>
  </mergeCells>
  <conditionalFormatting sqref="L5:L35">
    <cfRule type="expression" priority="1" dxfId="0">
      <formula>L5="OK"</formula>
    </cfRule>
    <cfRule type="expression" priority="2" dxfId="1">
      <formula>L5="TOO STRONG"</formula>
    </cfRule>
    <cfRule type="expression" priority="3" dxfId="2">
      <formula>L5="TOO WEAK"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32" customWidth="1" min="14" max="14"/>
  </cols>
  <sheetData>
    <row r="1">
      <c r="A1" s="1" t="inlineStr">
        <is>
          <t>MONSTERS — earnings &amp; fight length (relative balance)</t>
        </is>
      </c>
    </row>
    <row r="2">
      <c r="A2" s="5" t="inlineStr">
        <is>
          <t>Uses Targets DPS + base HP. Gold/hr and Rank XP/hr should stair-step up by area — if a weaker monster beats a stronger one, fix yellow numbers.</t>
        </is>
      </c>
    </row>
    <row r="4" ht="34" customHeight="1">
      <c r="A4" s="7" t="inlineStr">
        <is>
          <t>Monster</t>
        </is>
      </c>
      <c r="B4" s="7" t="inlineStr">
        <is>
          <t>Area</t>
        </is>
      </c>
      <c r="C4" s="7" t="inlineStr">
        <is>
          <t>HP mult</t>
        </is>
      </c>
      <c r="D4" s="7" t="inlineStr">
        <is>
          <t>Eff HP</t>
        </is>
      </c>
      <c r="E4" s="7" t="inlineStr">
        <is>
          <t>TTK sec</t>
        </is>
      </c>
      <c r="F4" s="7" t="inlineStr">
        <is>
          <t>Kills/min</t>
        </is>
      </c>
      <c r="G4" s="7" t="inlineStr">
        <is>
          <t>Avg gold</t>
        </is>
      </c>
      <c r="H4" s="7" t="inlineStr">
        <is>
          <t>Quota</t>
        </is>
      </c>
      <c r="I4" s="7" t="inlineStr">
        <is>
          <t>Finish</t>
        </is>
      </c>
      <c r="J4" s="7" t="inlineStr">
        <is>
          <t>Gold/hr</t>
        </is>
      </c>
      <c r="K4" s="7" t="inlineStr">
        <is>
          <t>Rank XP/hr</t>
        </is>
      </c>
      <c r="L4" s="7" t="inlineStr">
        <is>
          <t>Min/task</t>
        </is>
      </c>
      <c r="M4" s="7" t="inlineStr">
        <is>
          <t>vs area median gold/hr</t>
        </is>
      </c>
      <c r="N4" s="7" t="inlineStr">
        <is>
          <t>Feel / note</t>
        </is>
      </c>
    </row>
    <row r="5">
      <c r="A5" s="9" t="inlineStr">
        <is>
          <t>Crawling Hands</t>
        </is>
      </c>
      <c r="B5" s="9" t="inlineStr">
        <is>
          <t>Undercroft</t>
        </is>
      </c>
      <c r="C5" s="10" t="n">
        <v>1.4</v>
      </c>
      <c r="D5" s="16">
        <f>C5*Targets!$B$55</f>
        <v/>
      </c>
      <c r="E5" s="20">
        <f>IF(Targets!$B$54&lt;=0,0,D5/Targets!$B$54)</f>
        <v/>
      </c>
      <c r="F5" s="20">
        <f>IF(E5&lt;=0,0,60/E5)</f>
        <v/>
      </c>
      <c r="G5" s="10" t="n">
        <v>1.5</v>
      </c>
      <c r="H5" s="14" t="n">
        <v>25</v>
      </c>
      <c r="I5" s="14" t="n">
        <v>15</v>
      </c>
      <c r="J5" s="21">
        <f>F5*60*G5</f>
        <v/>
      </c>
      <c r="K5" s="16">
        <f>IF(H5&lt;=0,0,(F5*60/H5)*FLOOR(H5*0.5+I5*0.3,1))</f>
        <v/>
      </c>
      <c r="L5" s="20">
        <f>IF(F5&lt;=0,0,H5/F5)</f>
        <v/>
      </c>
      <c r="M5" s="20">
        <f>IF(J5=0,"",J5/AVERAGEIF($B$5:$B$14,B5,$J$5:$J$14))</f>
        <v/>
      </c>
      <c r="N5" s="9" t="inlineStr">
        <is>
          <t>Tanky scrap-crawlers that lumber in slow and soak bolts.</t>
        </is>
      </c>
    </row>
    <row r="6">
      <c r="A6" s="9" t="inlineStr">
        <is>
          <t>Banshees</t>
        </is>
      </c>
      <c r="B6" s="9" t="inlineStr">
        <is>
          <t>Undercroft</t>
        </is>
      </c>
      <c r="C6" s="10" t="n">
        <v>0.7</v>
      </c>
      <c r="D6" s="16">
        <f>C6*Targets!$B$55</f>
        <v/>
      </c>
      <c r="E6" s="20">
        <f>IF(Targets!$B$54&lt;=0,0,D6/Targets!$B$54)</f>
        <v/>
      </c>
      <c r="F6" s="20">
        <f>IF(E6&lt;=0,0,60/E6)</f>
        <v/>
      </c>
      <c r="G6" s="10" t="n">
        <v>3</v>
      </c>
      <c r="H6" s="14" t="n">
        <v>60</v>
      </c>
      <c r="I6" s="14" t="n">
        <v>35</v>
      </c>
      <c r="J6" s="21">
        <f>F6*60*G6</f>
        <v/>
      </c>
      <c r="K6" s="16">
        <f>IF(H6&lt;=0,0,(F6*60/H6)*FLOOR(H6*0.5+I6*0.3,1))</f>
        <v/>
      </c>
      <c r="L6" s="20">
        <f>IF(F6&lt;=0,0,H6/F6)</f>
        <v/>
      </c>
      <c r="M6" s="20">
        <f>IF(J6=0,"",J6/AVERAGEIF($B$5:$B$14,B6,$J$5:$J$14))</f>
        <v/>
      </c>
      <c r="N6" s="9" t="inlineStr">
        <is>
          <t>Frail shriekers that dart fast and slip past lazy aim.</t>
        </is>
      </c>
    </row>
    <row r="7">
      <c r="A7" s="9" t="inlineStr">
        <is>
          <t>Infernal Mages</t>
        </is>
      </c>
      <c r="B7" s="9" t="inlineStr">
        <is>
          <t>Undercroft</t>
        </is>
      </c>
      <c r="C7" s="10" t="n">
        <v>1</v>
      </c>
      <c r="D7" s="16">
        <f>C7*Targets!$B$55</f>
        <v/>
      </c>
      <c r="E7" s="20">
        <f>IF(Targets!$B$54&lt;=0,0,D7/Targets!$B$54)</f>
        <v/>
      </c>
      <c r="F7" s="20">
        <f>IF(E7&lt;=0,0,60/E7)</f>
        <v/>
      </c>
      <c r="G7" s="10" t="n">
        <v>6.5</v>
      </c>
      <c r="H7" s="14" t="n">
        <v>100</v>
      </c>
      <c r="I7" s="14" t="n">
        <v>60</v>
      </c>
      <c r="J7" s="21">
        <f>F7*60*G7</f>
        <v/>
      </c>
      <c r="K7" s="16">
        <f>IF(H7&lt;=0,0,(F7*60/H7)*FLOOR(H7*0.5+I7*0.3,1))</f>
        <v/>
      </c>
      <c r="L7" s="20">
        <f>IF(F7&lt;=0,0,H7/F7)</f>
        <v/>
      </c>
      <c r="M7" s="20">
        <f>IF(J7=0,"",J7/AVERAGEIF($B$5:$B$14,B7,$J$5:$J$14))</f>
        <v/>
      </c>
      <c r="N7" s="9" t="inlineStr">
        <is>
          <t>Clumped casters with a shield until Pierce; gold and ember loot.</t>
        </is>
      </c>
    </row>
    <row r="8">
      <c r="A8" s="9" t="inlineStr">
        <is>
          <t>Dust Devils</t>
        </is>
      </c>
      <c r="B8" s="9" t="inlineStr">
        <is>
          <t>Fenwatch</t>
        </is>
      </c>
      <c r="C8" s="10" t="n">
        <v>1</v>
      </c>
      <c r="D8" s="16">
        <f>C8*Targets!$B$55</f>
        <v/>
      </c>
      <c r="E8" s="20">
        <f>IF(Targets!$B$54&lt;=0,0,D8/Targets!$B$54)</f>
        <v/>
      </c>
      <c r="F8" s="20">
        <f>IF(E8&lt;=0,0,60/E8)</f>
        <v/>
      </c>
      <c r="G8" s="10" t="n">
        <v>7</v>
      </c>
      <c r="H8" s="14" t="n">
        <v>80</v>
      </c>
      <c r="I8" s="14" t="n">
        <v>80</v>
      </c>
      <c r="J8" s="21">
        <f>F8*60*G8</f>
        <v/>
      </c>
      <c r="K8" s="16">
        <f>IF(H8&lt;=0,0,(F8*60/H8)*FLOOR(H8*0.5+I8*0.3,1))</f>
        <v/>
      </c>
      <c r="L8" s="20">
        <f>IF(F8&lt;=0,0,H8/F8)</f>
        <v/>
      </c>
      <c r="M8" s="20">
        <f>IF(J8=0,"",J8/AVERAGEIF($B$5:$B$14,B8,$J$5:$J$14))</f>
        <v/>
      </c>
      <c r="N8" s="9" t="inlineStr">
        <is>
          <t>Spinning grit whirlwinds that chip away at careless hunters.</t>
        </is>
      </c>
    </row>
    <row r="9">
      <c r="A9" s="9" t="inlineStr">
        <is>
          <t>Gargoyles</t>
        </is>
      </c>
      <c r="B9" s="9" t="inlineStr">
        <is>
          <t>Fenwatch</t>
        </is>
      </c>
      <c r="C9" s="10" t="n">
        <v>1</v>
      </c>
      <c r="D9" s="16">
        <f>C9*Targets!$B$55</f>
        <v/>
      </c>
      <c r="E9" s="20">
        <f>IF(Targets!$B$54&lt;=0,0,D9/Targets!$B$54)</f>
        <v/>
      </c>
      <c r="F9" s="20">
        <f>IF(E9&lt;=0,0,60/E9)</f>
        <v/>
      </c>
      <c r="G9" s="10" t="n">
        <v>10</v>
      </c>
      <c r="H9" s="14" t="n">
        <v>120</v>
      </c>
      <c r="I9" s="14" t="n">
        <v>120</v>
      </c>
      <c r="J9" s="21">
        <f>F9*60*G9</f>
        <v/>
      </c>
      <c r="K9" s="16">
        <f>IF(H9&lt;=0,0,(F9*60/H9)*FLOOR(H9*0.5+I9*0.3,1))</f>
        <v/>
      </c>
      <c r="L9" s="20">
        <f>IF(F9&lt;=0,0,H9/F9)</f>
        <v/>
      </c>
      <c r="M9" s="20">
        <f>IF(J9=0,"",J9/AVERAGEIF($B$5:$B$14,B9,$J$5:$J$14))</f>
        <v/>
      </c>
      <c r="N9" s="9" t="inlineStr">
        <is>
          <t>Stone-skinned perchers that shrug off light bolts.</t>
        </is>
      </c>
    </row>
    <row r="10">
      <c r="A10" s="9" t="inlineStr">
        <is>
          <t>Aberrant Spectres</t>
        </is>
      </c>
      <c r="B10" s="9" t="inlineStr">
        <is>
          <t>Fenwatch</t>
        </is>
      </c>
      <c r="C10" s="10" t="n">
        <v>1</v>
      </c>
      <c r="D10" s="16">
        <f>C10*Targets!$B$55</f>
        <v/>
      </c>
      <c r="E10" s="20">
        <f>IF(Targets!$B$54&lt;=0,0,D10/Targets!$B$54)</f>
        <v/>
      </c>
      <c r="F10" s="20">
        <f>IF(E10&lt;=0,0,60/E10)</f>
        <v/>
      </c>
      <c r="G10" s="10" t="n">
        <v>13</v>
      </c>
      <c r="H10" s="14" t="n">
        <v>150</v>
      </c>
      <c r="I10" s="14" t="n">
        <v>160</v>
      </c>
      <c r="J10" s="21">
        <f>F10*60*G10</f>
        <v/>
      </c>
      <c r="K10" s="16">
        <f>IF(H10&lt;=0,0,(F10*60/H10)*FLOOR(H10*0.5+I10*0.3,1))</f>
        <v/>
      </c>
      <c r="L10" s="20">
        <f>IF(F10&lt;=0,0,H10/F10)</f>
        <v/>
      </c>
      <c r="M10" s="20">
        <f>IF(J10=0,"",J10/AVERAGEIF($B$5:$B$14,B10,$J$5:$J$14))</f>
        <v/>
      </c>
      <c r="N10" s="9" t="inlineStr">
        <is>
          <t>Violet ghosts that warp sideways when you line up a shot.</t>
        </is>
      </c>
    </row>
    <row r="11">
      <c r="A11" s="9" t="inlineStr">
        <is>
          <t>Kurasks</t>
        </is>
      </c>
      <c r="B11" s="9" t="inlineStr">
        <is>
          <t>Bonevault</t>
        </is>
      </c>
      <c r="C11" s="10" t="n">
        <v>1</v>
      </c>
      <c r="D11" s="16">
        <f>C11*Targets!$B$55</f>
        <v/>
      </c>
      <c r="E11" s="20">
        <f>IF(Targets!$B$54&lt;=0,0,D11/Targets!$B$54)</f>
        <v/>
      </c>
      <c r="F11" s="20">
        <f>IF(E11&lt;=0,0,60/E11)</f>
        <v/>
      </c>
      <c r="G11" s="10" t="n">
        <v>16</v>
      </c>
      <c r="H11" s="14" t="n">
        <v>140</v>
      </c>
      <c r="I11" s="14" t="n">
        <v>200</v>
      </c>
      <c r="J11" s="21">
        <f>F11*60*G11</f>
        <v/>
      </c>
      <c r="K11" s="16">
        <f>IF(H11&lt;=0,0,(F11*60/H11)*FLOOR(H11*0.5+I11*0.3,1))</f>
        <v/>
      </c>
      <c r="L11" s="20">
        <f>IF(F11&lt;=0,0,H11/F11)</f>
        <v/>
      </c>
      <c r="M11" s="20">
        <f>IF(J11=0,"",J11/AVERAGEIF($B$5:$B$14,B11,$J$5:$J$14))</f>
        <v/>
      </c>
      <c r="N11" s="9" t="inlineStr">
        <is>
          <t>Heavy crypt beasts with thick hides and mean horns.</t>
        </is>
      </c>
    </row>
    <row r="12">
      <c r="A12" s="9" t="inlineStr">
        <is>
          <t>Gargantuan Boneguards</t>
        </is>
      </c>
      <c r="B12" s="9" t="inlineStr">
        <is>
          <t>Bonevault</t>
        </is>
      </c>
      <c r="C12" s="10" t="n">
        <v>1</v>
      </c>
      <c r="D12" s="16">
        <f>C12*Targets!$B$55</f>
        <v/>
      </c>
      <c r="E12" s="20">
        <f>IF(Targets!$B$54&lt;=0,0,D12/Targets!$B$54)</f>
        <v/>
      </c>
      <c r="F12" s="20">
        <f>IF(E12&lt;=0,0,60/E12)</f>
        <v/>
      </c>
      <c r="G12" s="10" t="n">
        <v>21</v>
      </c>
      <c r="H12" s="14" t="n">
        <v>200</v>
      </c>
      <c r="I12" s="14" t="n">
        <v>280</v>
      </c>
      <c r="J12" s="21">
        <f>F12*60*G12</f>
        <v/>
      </c>
      <c r="K12" s="16">
        <f>IF(H12&lt;=0,0,(F12*60/H12)*FLOOR(H12*0.5+I12*0.3,1))</f>
        <v/>
      </c>
      <c r="L12" s="20">
        <f>IF(F12&lt;=0,0,H12/F12)</f>
        <v/>
      </c>
      <c r="M12" s="20">
        <f>IF(J12=0,"",J12/AVERAGEIF($B$5:$B$14,B12,$J$5:$J$14))</f>
        <v/>
      </c>
      <c r="N12" s="9" t="inlineStr">
        <is>
          <t>Towering bone sentries that rattle the vault floors.</t>
        </is>
      </c>
    </row>
    <row r="13">
      <c r="A13" s="9" t="inlineStr">
        <is>
          <t>Nechryarch Kin</t>
        </is>
      </c>
      <c r="B13" s="9" t="inlineStr">
        <is>
          <t>Ash Warrens</t>
        </is>
      </c>
      <c r="C13" s="10" t="n">
        <v>1</v>
      </c>
      <c r="D13" s="16">
        <f>C13*Targets!$B$55</f>
        <v/>
      </c>
      <c r="E13" s="20">
        <f>IF(Targets!$B$54&lt;=0,0,D13/Targets!$B$54)</f>
        <v/>
      </c>
      <c r="F13" s="20">
        <f>IF(E13&lt;=0,0,60/E13)</f>
        <v/>
      </c>
      <c r="G13" s="10" t="n">
        <v>27</v>
      </c>
      <c r="H13" s="14" t="n">
        <v>180</v>
      </c>
      <c r="I13" s="14" t="n">
        <v>350</v>
      </c>
      <c r="J13" s="21">
        <f>F13*60*G13</f>
        <v/>
      </c>
      <c r="K13" s="16">
        <f>IF(H13&lt;=0,0,(F13*60/H13)*FLOOR(H13*0.5+I13*0.3,1))</f>
        <v/>
      </c>
      <c r="L13" s="20">
        <f>IF(F13&lt;=0,0,H13/F13)</f>
        <v/>
      </c>
      <c r="M13" s="20">
        <f>IF(J13=0,"",J13/AVERAGEIF($B$5:$B$14,B13,$J$5:$J$14))</f>
        <v/>
      </c>
      <c r="N13" s="9" t="inlineStr">
        <is>
          <t>Ash-born kin that swarm in packs from the warrens.</t>
        </is>
      </c>
    </row>
    <row r="14">
      <c r="A14" s="9" t="inlineStr">
        <is>
          <t>Abyssal Demons</t>
        </is>
      </c>
      <c r="B14" s="9" t="inlineStr">
        <is>
          <t>Ash Warrens</t>
        </is>
      </c>
      <c r="C14" s="10" t="n">
        <v>1</v>
      </c>
      <c r="D14" s="16">
        <f>C14*Targets!$B$55</f>
        <v/>
      </c>
      <c r="E14" s="20">
        <f>IF(Targets!$B$54&lt;=0,0,D14/Targets!$B$54)</f>
        <v/>
      </c>
      <c r="F14" s="20">
        <f>IF(E14&lt;=0,0,60/E14)</f>
        <v/>
      </c>
      <c r="G14" s="10" t="n">
        <v>33.5</v>
      </c>
      <c r="H14" s="14" t="n">
        <v>250</v>
      </c>
      <c r="I14" s="14" t="n">
        <v>450</v>
      </c>
      <c r="J14" s="21">
        <f>F14*60*G14</f>
        <v/>
      </c>
      <c r="K14" s="16">
        <f>IF(H14&lt;=0,0,(F14*60/H14)*FLOOR(H14*0.5+I14*0.3,1))</f>
        <v/>
      </c>
      <c r="L14" s="20">
        <f>IF(F14&lt;=0,0,H14/F14)</f>
        <v/>
      </c>
      <c r="M14" s="20">
        <f>IF(J14=0,"",J14/AVERAGEIF($B$5:$B$14,B14,$J$5:$J$14))</f>
        <v/>
      </c>
      <c r="N14" s="9" t="inlineStr">
        <is>
          <t>Deep-abyss brutes that burn through Food and patience.</t>
        </is>
      </c>
    </row>
    <row r="16">
      <c r="A16" s="5" t="inlineStr">
        <is>
          <t>Col M ≈ 1.0 means on-par with other monsters in that area for gold/hr. &gt;&gt;1 = printer; &lt;&lt;1 = poor.</t>
        </is>
      </c>
    </row>
  </sheetData>
  <mergeCells count="1">
    <mergeCell ref="A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28" customWidth="1" min="10" max="10"/>
  </cols>
  <sheetData>
    <row r="1">
      <c r="A1" s="1" t="inlineStr">
        <is>
          <t>MASTERY — perks at 3 / 6 / 10 (specialty without breaking the game)</t>
        </is>
      </c>
    </row>
    <row r="2">
      <c r="A2" s="5" t="inlineStr">
        <is>
          <t>Each monster’s mastery should reinforce its fantasy (Hands=scraps, Banshees=points/offline, Mages=food/bolts). Flag uses Mastery perk budget on Targets.</t>
        </is>
      </c>
    </row>
    <row r="4" ht="34" customHeight="1">
      <c r="A4" s="7" t="inlineStr">
        <is>
          <t>Monster</t>
        </is>
      </c>
      <c r="B4" s="7" t="inlineStr">
        <is>
          <t>At</t>
        </is>
      </c>
      <c r="C4" s="7" t="inlineStr">
        <is>
          <t>Perk text</t>
        </is>
      </c>
      <c r="D4" s="7" t="inlineStr">
        <is>
          <t>scrap+</t>
        </is>
      </c>
      <c r="E4" s="7" t="inlineStr">
        <is>
          <t>points+</t>
        </is>
      </c>
      <c r="F4" s="7" t="inlineStr">
        <is>
          <t>offline min</t>
        </is>
      </c>
      <c r="G4" s="7" t="inlineStr">
        <is>
          <t>foodEff+</t>
        </is>
      </c>
      <c r="H4" s="7" t="inlineStr">
        <is>
          <t>killMult+</t>
        </is>
      </c>
      <c r="I4" s="7" t="inlineStr">
        <is>
          <t>Power score</t>
        </is>
      </c>
      <c r="J4" s="7" t="inlineStr">
        <is>
          <t>Flag</t>
        </is>
      </c>
    </row>
    <row r="5">
      <c r="A5" s="8" t="inlineStr">
        <is>
          <t>Crawling Hands</t>
        </is>
      </c>
      <c r="B5" s="14" t="n">
        <v>3</v>
      </c>
      <c r="C5" s="9" t="inlineStr">
        <is>
          <t>+5% global scrap chance</t>
        </is>
      </c>
      <c r="D5" s="22" t="n">
        <v>0.05</v>
      </c>
      <c r="E5" s="22" t="inlineStr"/>
      <c r="F5" s="14" t="inlineStr"/>
      <c r="G5" s="22" t="inlineStr"/>
      <c r="H5" s="22" t="inlineStr"/>
      <c r="I5" s="12" t="n">
        <v>4</v>
      </c>
      <c r="J5" s="17">
        <f>IF(I5&gt;Targets!$B$50*(1+Targets!$C$50),"TOO STRONG",IF(I5&lt;Targets!$B$50*(1-Targets!$D$50),"TOO WEAK","OK"))</f>
        <v/>
      </c>
    </row>
    <row r="6">
      <c r="A6" s="8" t="inlineStr">
        <is>
          <t>Crawling Hands</t>
        </is>
      </c>
      <c r="B6" s="14" t="n">
        <v>6</v>
      </c>
      <c r="C6" s="9" t="inlineStr">
        <is>
          <t>+8% global scrap chance</t>
        </is>
      </c>
      <c r="D6" s="22" t="n">
        <v>0.08</v>
      </c>
      <c r="E6" s="22" t="inlineStr"/>
      <c r="F6" s="14" t="inlineStr"/>
      <c r="G6" s="22" t="inlineStr"/>
      <c r="H6" s="22" t="inlineStr"/>
      <c r="I6" s="12" t="n">
        <v>6.4</v>
      </c>
      <c r="J6" s="17">
        <f>IF(I6&gt;Targets!$B$50*(1+Targets!$C$50),"TOO STRONG",IF(I6&lt;Targets!$B$50*(1-Targets!$D$50),"TOO WEAK","OK"))</f>
        <v/>
      </c>
    </row>
    <row r="7">
      <c r="A7" s="8" t="inlineStr">
        <is>
          <t>Crawling Hands</t>
        </is>
      </c>
      <c r="B7" s="14" t="n">
        <v>10</v>
      </c>
      <c r="C7" s="9" t="inlineStr">
        <is>
          <t>+12% global scrap chance</t>
        </is>
      </c>
      <c r="D7" s="22" t="n">
        <v>0.12</v>
      </c>
      <c r="E7" s="22" t="inlineStr"/>
      <c r="F7" s="14" t="inlineStr"/>
      <c r="G7" s="22" t="inlineStr"/>
      <c r="H7" s="22" t="inlineStr"/>
      <c r="I7" s="12" t="n">
        <v>9.6</v>
      </c>
      <c r="J7" s="17">
        <f>IF(I7&gt;Targets!$B$50*(1+Targets!$C$50),"TOO STRONG",IF(I7&lt;Targets!$B$50*(1-Targets!$D$50),"TOO WEAK","OK"))</f>
        <v/>
      </c>
    </row>
    <row r="8">
      <c r="A8" s="8" t="inlineStr">
        <is>
          <t>Banshees</t>
        </is>
      </c>
      <c r="B8" s="14" t="n">
        <v>3</v>
      </c>
      <c r="C8" s="9" t="inlineStr">
        <is>
          <t>+4% contract points</t>
        </is>
      </c>
      <c r="D8" s="22" t="inlineStr"/>
      <c r="E8" s="22" t="n">
        <v>0.04</v>
      </c>
      <c r="F8" s="14" t="inlineStr"/>
      <c r="G8" s="22" t="inlineStr"/>
      <c r="H8" s="22" t="inlineStr"/>
      <c r="I8" s="12" t="n">
        <v>4</v>
      </c>
      <c r="J8" s="17">
        <f>IF(I8&gt;Targets!$B$50*(1+Targets!$C$50),"TOO STRONG",IF(I8&lt;Targets!$B$50*(1-Targets!$D$50),"TOO WEAK","OK"))</f>
        <v/>
      </c>
    </row>
    <row r="9">
      <c r="A9" s="8" t="inlineStr">
        <is>
          <t>Banshees</t>
        </is>
      </c>
      <c r="B9" s="14" t="n">
        <v>6</v>
      </c>
      <c r="C9" s="9" t="inlineStr">
        <is>
          <t>+15 min offline cap</t>
        </is>
      </c>
      <c r="D9" s="22" t="inlineStr"/>
      <c r="E9" s="22" t="inlineStr"/>
      <c r="F9" s="14" t="n">
        <v>15</v>
      </c>
      <c r="G9" s="22" t="inlineStr"/>
      <c r="H9" s="22" t="inlineStr"/>
      <c r="I9" s="12" t="n">
        <v>6</v>
      </c>
      <c r="J9" s="17">
        <f>IF(I9&gt;Targets!$B$50*(1+Targets!$C$50),"TOO STRONG",IF(I9&lt;Targets!$B$50*(1-Targets!$D$50),"TOO WEAK","OK"))</f>
        <v/>
      </c>
    </row>
    <row r="10">
      <c r="A10" s="8" t="inlineStr">
        <is>
          <t>Banshees</t>
        </is>
      </c>
      <c r="B10" s="14" t="n">
        <v>10</v>
      </c>
      <c r="C10" s="9" t="inlineStr">
        <is>
          <t>+8% points · +20 min offline cap</t>
        </is>
      </c>
      <c r="D10" s="22" t="inlineStr"/>
      <c r="E10" s="22" t="n">
        <v>0.08</v>
      </c>
      <c r="F10" s="14" t="n">
        <v>20</v>
      </c>
      <c r="G10" s="22" t="inlineStr"/>
      <c r="H10" s="22" t="inlineStr"/>
      <c r="I10" s="12" t="n">
        <v>16</v>
      </c>
      <c r="J10" s="17">
        <f>IF(I10&gt;Targets!$B$50*(1+Targets!$C$50),"TOO STRONG",IF(I10&lt;Targets!$B$50*(1-Targets!$D$50),"TOO WEAK","OK"))</f>
        <v/>
      </c>
    </row>
    <row r="11">
      <c r="A11" s="8" t="inlineStr">
        <is>
          <t>Infernal Mages</t>
        </is>
      </c>
      <c r="B11" s="14" t="n">
        <v>3</v>
      </c>
      <c r="C11" s="9" t="inlineStr">
        <is>
          <t>+5% food efficiency</t>
        </is>
      </c>
      <c r="D11" s="22" t="inlineStr"/>
      <c r="E11" s="22" t="inlineStr"/>
      <c r="F11" s="14" t="inlineStr"/>
      <c r="G11" s="22" t="n">
        <v>0.05</v>
      </c>
      <c r="H11" s="22" t="inlineStr"/>
      <c r="I11" s="12" t="n">
        <v>3</v>
      </c>
      <c r="J11" s="17">
        <f>IF(I11&gt;Targets!$B$50*(1+Targets!$C$50),"TOO STRONG",IF(I11&lt;Targets!$B$50*(1-Targets!$D$50),"TOO WEAK","OK"))</f>
        <v/>
      </c>
    </row>
    <row r="12">
      <c r="A12" s="8" t="inlineStr">
        <is>
          <t>Infernal Mages</t>
        </is>
      </c>
      <c r="B12" s="14" t="n">
        <v>6</v>
      </c>
      <c r="C12" s="9" t="inlineStr">
        <is>
          <t>+4% bolt focus feel</t>
        </is>
      </c>
      <c r="D12" s="22" t="inlineStr"/>
      <c r="E12" s="22" t="inlineStr"/>
      <c r="F12" s="14" t="inlineStr"/>
      <c r="G12" s="22" t="inlineStr"/>
      <c r="H12" s="22" t="n">
        <v>0.04</v>
      </c>
      <c r="I12" s="12" t="n">
        <v>4</v>
      </c>
      <c r="J12" s="17">
        <f>IF(I12&gt;Targets!$B$50*(1+Targets!$C$50),"TOO STRONG",IF(I12&lt;Targets!$B$50*(1-Targets!$D$50),"TOO WEAK","OK"))</f>
        <v/>
      </c>
    </row>
    <row r="13">
      <c r="A13" s="8" t="inlineStr">
        <is>
          <t>Infernal Mages</t>
        </is>
      </c>
      <c r="B13" s="14" t="n">
        <v>10</v>
      </c>
      <c r="C13" s="9" t="inlineStr">
        <is>
          <t>+8% food efficiency · +6% bolt focus</t>
        </is>
      </c>
      <c r="D13" s="22" t="inlineStr"/>
      <c r="E13" s="22" t="inlineStr"/>
      <c r="F13" s="14" t="inlineStr"/>
      <c r="G13" s="22" t="n">
        <v>0.08</v>
      </c>
      <c r="H13" s="22" t="n">
        <v>0.06</v>
      </c>
      <c r="I13" s="12" t="n">
        <v>10.8</v>
      </c>
      <c r="J13" s="17">
        <f>IF(I13&gt;Targets!$B$50*(1+Targets!$C$50),"TOO STRONG",IF(I13&lt;Targets!$B$50*(1-Targets!$D$50),"TOO WEAK","OK"))</f>
        <v/>
      </c>
    </row>
    <row r="15">
      <c r="A15" s="5" t="inlineStr">
        <is>
          <t>Monsters without mastery rows (later areas) still need an identity pass — blank is a TODO, not “balanced.”</t>
        </is>
      </c>
    </row>
  </sheetData>
  <mergeCells count="1">
    <mergeCell ref="A2:J2"/>
  </mergeCells>
  <conditionalFormatting sqref="J5:J13">
    <cfRule type="expression" priority="1" dxfId="0">
      <formula>J5="OK"</formula>
    </cfRule>
    <cfRule type="expression" priority="2" dxfId="1">
      <formula>J5="TOO STRONG"</formula>
    </cfRule>
    <cfRule type="expression" priority="3" dxfId="2">
      <formula>J5="TOO WEAK"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2026-09-24T03:23:50Z</dcterms:created>
  <dcterms:modified xsi:type="dcterms:W3CDTF">2026-09-24T03:23:50Z</dcterms:modified>
</cp:coreProperties>
</file>