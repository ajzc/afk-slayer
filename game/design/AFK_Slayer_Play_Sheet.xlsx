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lay" sheetId="2" state="visible" r:id="rId2"/>
    <sheet name="Monsters" sheetId="3" state="visible" r:id="rId3"/>
    <sheet name="Upgrades" sheetId="4" state="visible" r:id="rId4"/>
    <sheet name="Rules &amp; Formulas" sheetId="5" state="visible" r:id="rId5"/>
    <sheet name="Boss Check" sheetId="6" state="visible" r:id="rId6"/>
    <sheet name="Notes" sheetId="7" state="visible" r:id="rId7"/>
    <sheet name="List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FFFFFF"/>
      <sz val="11"/>
    </font>
    <font>
      <b val="1"/>
      <color rgb="001F2937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2"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91B1B"/>
      </font>
      <fill>
        <patternFill patternType="solid">
          <fgColor rgb="00FEE2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AFK Slayer — Play Sheet</t>
        </is>
      </c>
    </row>
    <row r="2" ht="36" customHeight="1">
      <c r="A2" s="2" t="inlineStr">
        <is>
          <t>A spreadsheet you can play like the game. Yellow cells are inputs; blue cells recalculate. Built from the live game code (not design docs).</t>
        </is>
      </c>
    </row>
    <row r="4">
      <c r="A4" s="3" t="inlineStr">
        <is>
          <t>What the game is</t>
        </is>
      </c>
    </row>
    <row r="5" ht="56" customHeight="1">
      <c r="A5" s="2" t="inlineStr">
        <is>
          <t>AFK Slayer is an idle hunt game. You take a Task (a kill quota) on a monster, fire bolts while you play, and hire hunters who keep fighting when you step away. Kills earn gold, Slayer points, scraps, and signature mats. Slayer points fill a boss meter. When it is full you Fight the Level boss. Win and the next Level unlocks.</t>
        </is>
      </c>
    </row>
    <row r="7">
      <c r="A7" s="3" t="inlineStr">
        <is>
          <t>The loop (7 steps)</t>
        </is>
      </c>
    </row>
    <row r="8">
      <c r="A8" t="inlineStr">
        <is>
          <t>1. Take a Task on a Level 1 hunt monster (start with Bristle Cub).</t>
        </is>
      </c>
    </row>
    <row r="9">
      <c r="A9" t="inlineStr">
        <is>
          <t>2. Hunt — hold to fire bolts. Kills give gold + Slayer points + sometimes scraps/mats.</t>
        </is>
      </c>
    </row>
    <row r="10">
      <c r="A10" t="inlineStr">
        <is>
          <t>3. Spend gold (and later Slayer points / scraps / mats) on Progress upgrades: Combat, Gear, Company, Camp.</t>
        </is>
      </c>
    </row>
    <row r="11">
      <c r="A11" t="inlineStr">
        <is>
          <t>4. Hire Briar when you can — hunters add their own damage, separate from your bolts.</t>
        </is>
      </c>
    </row>
    <row r="12">
      <c r="A12" t="inlineStr">
        <is>
          <t>5. Fill the Level boss meter with Slayer points (Level 1 needs 120).</t>
        </is>
      </c>
    </row>
    <row r="13">
      <c r="A13" t="inlineStr">
        <is>
          <t>6. Tap Fight boss. Beat Elder Thornpelt to unlock Level 2 (then Ashfang Alpha → Level 3 → Nightweave).</t>
        </is>
      </c>
    </row>
    <row r="14">
      <c r="A14" t="inlineStr">
        <is>
          <t>7. Go AFK when you leave — offline progress runs on the AFK kill rate up to your away cap, and stops if food runs out.</t>
        </is>
      </c>
    </row>
    <row r="16">
      <c r="A16" s="3" t="inlineStr">
        <is>
          <t>Currencies</t>
        </is>
      </c>
    </row>
    <row r="17">
      <c r="A17" s="4" t="inlineStr">
        <is>
          <t>Currency</t>
        </is>
      </c>
      <c r="B17" s="4" t="inlineStr">
        <is>
          <t>What it does</t>
        </is>
      </c>
    </row>
    <row r="18">
      <c r="A18" t="inlineStr">
        <is>
          <t>Gold</t>
        </is>
      </c>
      <c r="B18" s="2" t="inlineStr">
        <is>
          <t>Buy most upgrades, gear, and Briar/Quill. Earned every kill.</t>
        </is>
      </c>
    </row>
    <row r="19">
      <c r="A19" t="inlineStr">
        <is>
          <t>Slayer points</t>
        </is>
      </c>
      <c r="B19" s="2" t="inlineStr">
        <is>
          <t>Fill the boss meter; also buy some late upgrades (Mithril+, Moss/Ember).</t>
        </is>
      </c>
    </row>
    <row r="20">
      <c r="A20" t="inlineStr">
        <is>
          <t>Scraps</t>
        </is>
      </c>
      <c r="B20" s="2" t="inlineStr">
        <is>
          <t>Camp Scrapwork side path. Chance drop on kills.</t>
        </is>
      </c>
    </row>
    <row r="21">
      <c r="A21" t="inlineStr">
        <is>
          <t>Signature mats</t>
        </is>
      </c>
      <c r="B21" s="2" t="inlineStr">
        <is>
          <t>Per-family drops (Pelt Scrap, Dire Claw, …). Spend at the Forge.</t>
        </is>
      </c>
    </row>
    <row r="22">
      <c r="A22" t="inlineStr">
        <is>
          <t>Food</t>
        </is>
      </c>
      <c r="B22" s="2" t="inlineStr">
        <is>
          <t>Hunters eat food while AFK. Empty food stops offline kills. Buy more for 10 gold → +40 food.</t>
        </is>
      </c>
    </row>
    <row r="24">
      <c r="A24" s="3" t="inlineStr">
        <is>
          <t>Active play vs AFK</t>
        </is>
      </c>
    </row>
    <row r="25" ht="40" customHeight="1">
      <c r="A25" s="2" t="inlineStr">
        <is>
          <t>Active Hunt: you hold to fire. Kill rate gets the active hold bonus (×1.4). Boss fights only happen while you play.</t>
        </is>
      </c>
    </row>
    <row r="26" ht="40" customHeight="1">
      <c r="A26" s="2" t="inlineStr">
        <is>
          <t>Go AFK: uses the idle kill-rate formula with NO active bonus. Progress only counts up to your away cap (starts at 6 hours = 360 minutes; Camp Offline Cap, Scrapwork Wick Wire, and Forge Fang Charm add more).</t>
        </is>
      </c>
    </row>
    <row r="27" ht="40" customHeight="1">
      <c r="A27" s="2" t="inlineStr">
        <is>
          <t>Anything beyond the away cap is lost. Food regenerates during the counted window, then kills spend food — if food runs out, hunting stops even if cap time remains.</t>
        </is>
      </c>
    </row>
    <row r="28" ht="40" customHeight="1">
      <c r="A28" s="2" t="inlineStr">
        <is>
          <t>In the Play tab, set Action = Go AFK and put hours in the Min or Hrs column. The sheet shows how many hours actually counted.</t>
        </is>
      </c>
    </row>
    <row r="30">
      <c r="A30" s="3" t="inlineStr">
        <is>
          <t>How to use the Play tab</t>
        </is>
      </c>
    </row>
    <row r="31" ht="28" customHeight="1">
      <c r="A31" s="2" t="inlineStr">
        <is>
          <t>Each row is one step. Yellow cells are your inputs: Action, Target, Min or Hrs (minutes for Hunt, hours for Go AFK).</t>
        </is>
      </c>
    </row>
    <row r="32" ht="28" customHeight="1">
      <c r="A32" s="2" t="inlineStr">
        <is>
          <t>Pick Action from the dropdown, Target from the list (monster / upgrade / hunter / boss name).</t>
        </is>
      </c>
    </row>
    <row r="33" ht="28" customHeight="1">
      <c r="A33" s="2" t="inlineStr">
        <is>
          <t>Blue cells are the running game state after that step: gold, meter, scraps, mats, food, DPS, kills, boss result.</t>
        </is>
      </c>
    </row>
    <row r="34" ht="28" customHeight="1">
      <c r="A34" s="2" t="inlineStr">
        <is>
          <t>Green Status = OK (applied). Red Status = Can’t — the step did not spend or earn (read the Message).</t>
        </is>
      </c>
    </row>
    <row r="35" ht="28" customHeight="1">
      <c r="A35" s="2" t="inlineStr">
        <is>
          <t>About 20 example rows are prefilled to a first Elder Thornpelt fight (including one 8-hour AFK). Keep playing in the empty rows below.</t>
        </is>
      </c>
    </row>
    <row r="36" ht="28" customHeight="1">
      <c r="A36" s="2" t="inlineStr">
        <is>
          <t>Edit Aim uptime and Boss patience on the Rules &amp; Formulas tab if you want different fight fairness assumptions.</t>
        </is>
      </c>
    </row>
  </sheetData>
  <mergeCells count="19">
    <mergeCell ref="A11:B11"/>
    <mergeCell ref="A36:B36"/>
    <mergeCell ref="A25:B25"/>
    <mergeCell ref="A27:B27"/>
    <mergeCell ref="A12:B12"/>
    <mergeCell ref="A26:B26"/>
    <mergeCell ref="A2:B2"/>
    <mergeCell ref="A33:B33"/>
    <mergeCell ref="A5:B5"/>
    <mergeCell ref="A32:B32"/>
    <mergeCell ref="A14:B14"/>
    <mergeCell ref="A8:B8"/>
    <mergeCell ref="A35:B35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8" customWidth="1" min="5" max="5"/>
    <col width="48" customWidth="1" min="6" max="6"/>
    <col width="8" customWidth="1" min="7" max="7"/>
    <col width="9" customWidth="1" min="8" max="8"/>
    <col width="9" customWidth="1" min="9" max="9"/>
    <col width="8" customWidth="1" min="10" max="10"/>
    <col width="7" customWidth="1" min="11" max="11"/>
    <col width="8" customWidth="1" min="12" max="12"/>
    <col width="7" customWidth="1" min="13" max="13"/>
    <col width="9" customWidth="1" min="14" max="14"/>
    <col width="10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9" customWidth="1" min="21" max="21"/>
    <col width="10" customWidth="1" min="22" max="22"/>
    <col width="9" customWidth="1" min="23" max="23"/>
    <col width="10" customWidth="1" min="24" max="24"/>
    <col width="10" customWidth="1" min="25" max="25"/>
    <col width="9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>
      <c r="A1" s="5" t="inlineStr">
        <is>
          <t>PLAY — each row is a step. Yellow=inputs. Blue=calculated. Prefill=new-player path to Elder (includes Go AFK 8h). Min or Hrs = minutes for Hunt, hours for Go AFK.</t>
        </is>
      </c>
    </row>
    <row r="2" ht="34" customHeight="1">
      <c r="A2" s="4" t="inlineStr">
        <is>
          <t>Step</t>
        </is>
      </c>
      <c r="B2" s="4" t="inlineStr">
        <is>
          <t>Action</t>
        </is>
      </c>
      <c r="C2" s="4" t="inlineStr">
        <is>
          <t>Target</t>
        </is>
      </c>
      <c r="D2" s="4" t="inlineStr">
        <is>
          <t>Min or Hrs</t>
        </is>
      </c>
      <c r="E2" s="4" t="inlineStr">
        <is>
          <t>Status</t>
        </is>
      </c>
      <c r="F2" s="4" t="inlineStr">
        <is>
          <t>Message</t>
        </is>
      </c>
      <c r="G2" s="4" t="inlineStr">
        <is>
          <t>Level</t>
        </is>
      </c>
      <c r="H2" s="4" t="inlineStr">
        <is>
          <t>Gold</t>
        </is>
      </c>
      <c r="I2" s="4" t="inlineStr">
        <is>
          <t>Meter Sp</t>
        </is>
      </c>
      <c r="J2" s="4" t="inlineStr">
        <is>
          <t>Scraps</t>
        </is>
      </c>
      <c r="K2" s="4" t="inlineStr">
        <is>
          <t>Pelt</t>
        </is>
      </c>
      <c r="L2" s="4" t="inlineStr">
        <is>
          <t>DireClaw</t>
        </is>
      </c>
      <c r="M2" s="4" t="inlineStr">
        <is>
          <t>Food</t>
        </is>
      </c>
      <c r="N2" s="4" t="inlineStr">
        <is>
          <t>IdlePower</t>
        </is>
      </c>
      <c r="O2" s="4" t="inlineStr">
        <is>
          <t>HunterLabor</t>
        </is>
      </c>
      <c r="P2" s="4" t="inlineStr">
        <is>
          <t>Rate Active</t>
        </is>
      </c>
      <c r="Q2" s="4" t="inlineStr">
        <is>
          <t>Rate AFK</t>
        </is>
      </c>
      <c r="R2" s="4" t="inlineStr">
        <is>
          <t>Kills</t>
        </is>
      </c>
      <c r="S2" s="4" t="inlineStr">
        <is>
          <t>PlayerDPS</t>
        </is>
      </c>
      <c r="T2" s="4" t="inlineStr">
        <is>
          <t>HunterDPS</t>
        </is>
      </c>
      <c r="U2" s="4" t="inlineStr">
        <is>
          <t>TotalDPS</t>
        </is>
      </c>
      <c r="V2" s="4" t="inlineStr">
        <is>
          <t>Boss ready?</t>
        </is>
      </c>
      <c r="W2" s="4" t="inlineStr">
        <is>
          <t>Boss TTK s</t>
        </is>
      </c>
      <c r="X2" s="4" t="inlineStr">
        <is>
          <t>Boss result</t>
        </is>
      </c>
      <c r="Y2" s="4" t="inlineStr">
        <is>
          <t>AFK counted h</t>
        </is>
      </c>
      <c r="Z2" s="4" t="inlineStr">
        <is>
          <t>OffCap min</t>
        </is>
      </c>
      <c r="AA2" s="4" t="inlineStr">
        <is>
          <t>OwnIdle</t>
        </is>
      </c>
      <c r="AB2" s="4" t="inlineStr">
        <is>
          <t>OwnIron</t>
        </is>
      </c>
      <c r="AC2" s="4" t="inlineStr">
        <is>
          <t>OwnSteel</t>
        </is>
      </c>
      <c r="AD2" s="4" t="inlineStr">
        <is>
          <t>OwnBriar</t>
        </is>
      </c>
      <c r="AE2" s="4" t="inlineStr">
        <is>
          <t>OwnHuntPwr</t>
        </is>
      </c>
      <c r="AF2" s="4" t="inlineStr">
        <is>
          <t>OwnBigger</t>
        </is>
      </c>
      <c r="AG2" s="4" t="inlineStr">
        <is>
          <t>OwnSwift</t>
        </is>
      </c>
      <c r="AH2" s="4" t="inlineStr">
        <is>
          <t>OwnLoot</t>
        </is>
      </c>
      <c r="AI2" s="4" t="inlineStr">
        <is>
          <t>OwnOffCap</t>
        </is>
      </c>
      <c r="AJ2" s="4" t="inlineStr">
        <is>
          <t>OwnFoodStock</t>
        </is>
      </c>
      <c r="AK2" s="4" t="inlineStr">
        <is>
          <t>OwnFoodEff</t>
        </is>
      </c>
    </row>
    <row r="3">
      <c r="A3" t="n">
        <v>1</v>
      </c>
      <c r="B3" s="6" t="inlineStr">
        <is>
          <t>Hunt</t>
        </is>
      </c>
      <c r="C3" s="6" t="inlineStr">
        <is>
          <t>Bristle Cub</t>
        </is>
      </c>
      <c r="D3" s="6" t="n">
        <v>28</v>
      </c>
      <c r="E3" s="7">
        <f>IF(B3="","",IF(OR(B3="Hunt",B3="Go AFK"),IF(C3="","Can't","OK"),IF(B3="Fight boss",IF(0&lt;IF((IFERROR(VLOOKUP(C3,Monsters!$T$4:$AH$15,15,FALSE),0))=0,120,IFERROR(VLOOKUP(C3,Monsters!$T$4:$AH$15,15,FALSE),0)),"Can't","OK"),IF(B3="Hire hunter",IF(AND(C3="Briar",0&gt;=1),"Can't",IF('Rules &amp; Formulas'!B16&lt;IF(C3="Briar",140,IF(C3="Quill",3650,IF(C3="Moss",4850,IF(C3="Ember",12200,0)))),"Can't","OK")),IF(OR(B3="Buy upgrade",B3="Forge/Scrapwork buy"),IF(IFERROR(VLOOKUP(C3,Upgrades!$N$4:$T$47,2,FALSE),0)="points","Can't",IF(IFERROR(VLOOKUP(C3,Upgrades!$N$4:$T$47,2,FALSE),0)="gold",IF('Rules &amp; Formulas'!B16&lt;IFERROR(FLOOR(IFERROR(VLOOKUP(C3,Upgrades!$N$4:$T$47,3,FALSE),0)*(IFERROR(VLOOKUP(C3,Upgrades!$N$4:$T$47,4,FALSE),0)^(0)),1),0),"Can't","OK"),IF(IFERROR(VLOOKUP(C3,Upgrades!$N$4:$T$47,2,FALSE),0)="scraps",IF(0&lt;IFERROR(FLOOR(IFERROR(VLOOKUP(C3,Upgrades!$N$4:$T$47,3,FALSE),0)*(IFERROR(VLOOKUP(C3,Upgrades!$N$4:$T$47,4,FALSE),0)^(0)),1),0),"Can't","OK"),IF(IFERROR(VLOOKUP(C3,Upgrades!$N$4:$T$47,2,FALSE),0)="mats","Can't","OK")))),"Check")))))</f>
        <v/>
      </c>
      <c r="F3" s="7">
        <f>IF(B3="","",IF(AND(B3="Fight boss",0&lt;IF((IFERROR(VLOOKUP(C3,Monsters!$T$4:$AH$15,15,FALSE),0))=0,120,IFERROR(VLOOKUP(C3,Monsters!$T$4:$AH$15,15,FALSE),0))),"Can't — need "&amp;TEXT(IF((IFERROR(VLOOKUP(C3,Monsters!$T$4:$AH$15,15,FALSE),0))=0,120,IFERROR(VLOOKUP(C3,Monsters!$T$4:$AH$15,15,FALSE),0))-0,"0.0")&amp;" more Slayer points on the meter",IF(AND(B3="Hire hunter",C3="Briar",0&gt;=1),"Can't — already hired",IF(AND(B3="Hire hunter",'Rules &amp; Formulas'!B16&lt;IF(C3="Briar",140,IF(C3="Quill",3650,IF(C3="Moss",4850,IF(C3="Ember",12200,0))))),"Can't — need "&amp;TEXT(IF(C3="Briar",140,IF(C3="Quill",3650,IF(C3="Moss",4850,IF(C3="Ember",12200,0))))-'Rules &amp; Formulas'!B16,"0")&amp;" more gold",IF(AND(OR(B3="Buy upgrade",B3="Forge/Scrapwork buy"),IFERROR(VLOOKUP(C3,Upgrades!$N$4:$T$47,2,FALSE),0)="points"),"Can't — Sp-wallet spends not tracked here",IF(AND(OR(B3="Buy upgrade",B3="Forge/Scrapwork buy"),IFERROR(VLOOKUP(C3,Upgrades!$N$4:$T$47,2,FALSE),0)="gold",'Rules &amp; Formulas'!B16&lt;IFERROR(FLOOR(IFERROR(VLOOKUP(C3,Upgrades!$N$4:$T$47,3,FALSE),0)*(IFERROR(VLOOKUP(C3,Upgrades!$N$4:$T$47,4,FALSE),0)^(0)),1),0)),"Can't — need "&amp;TEXT(IFERROR(FLOOR(IFERROR(VLOOKUP(C3,Upgrades!$N$4:$T$47,3,FALSE),0)*(IFERROR(VLOOKUP(C3,Upgrades!$N$4:$T$47,4,FALSE),0)^(0)),1),0)-'Rules &amp; Formulas'!B16,"0")&amp;" more gold",IF(AND(OR(B3="Buy upgrade",B3="Forge/Scrapwork buy"),IFERROR(VLOOKUP(C3,Upgrades!$N$4:$T$47,2,FALSE),0)="scraps",0&lt;IFERROR(FLOOR(IFERROR(VLOOKUP(C3,Upgrades!$N$4:$T$47,3,FALSE),0)*(IFERROR(VLOOKUP(C3,Upgrades!$N$4:$T$47,4,FALSE),0)^(0)),1),0)),"Can't — need "&amp;TEXT(IFERROR(FLOOR(IFERROR(VLOOKUP(C3,Upgrades!$N$4:$T$47,3,FALSE),0)*(IFERROR(VLOOKUP(C3,Upgrades!$N$4:$T$47,4,FALSE),0)^(0)),1),0)-0,"0")&amp;" more scraps",IF(AND(B3="Fight boss",E3="OK",(IF((((105/'Rules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Formulas'!B12)),"WIN — boss down, next Level unlocks",IF(AND(B3="Fight boss",E3="OK"),"LOSE — TTK "&amp;TEXT(IF((((105/'Rules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Formulas'!B20*SQRT(1+0.55*(0&gt;=1))),0)))),"0")&amp;"s &gt; patience "&amp;TEXT('Rules &amp; Formulas'!B12,"0")&amp;"s (leave resets HP)",IF(B3="Go AFK","AFK resolved (see AFK counted h)","Applied")))))))))</f>
        <v/>
      </c>
      <c r="G3" s="7">
        <f>IF(AND((E3="OK"),B3="Fight boss",(IF((((105/'Rules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Formulas'!B12),C3="Elder Thornpelt"),2,IF(AND((E3="OK"),B3="Fight boss",(IF((((105/'Rules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Formulas'!B12),C3="Ashfang Alpha"),3,1))</f>
        <v/>
      </c>
      <c r="H3" s="7">
        <f>MAX(0,'Rules &amp; Formulas'!B16+IF(AND((E3="OK"),B3="Hunt"),(IF(B3="Hunt",(('Rules &amp; Formulas'!B4*(1+0.08)*('Rules &amp; Formulas'!B5+0)*IFERROR(VLOOKUP(C3,Monsters!$T$4:$AH$15,10,FALSE),0)*IFERROR(VLOOKUP(C3,Monsters!$T$4:$AH$15,9,FALSE),0))*'Rules &amp; Formulas'!B6)*IF(D3="",0,D3),0))*(IFERROR(VLOOKUP(C3,Monsters!$T$4:$AH$15,3,FALSE),0))*1+(IF(OR(B3&lt;&gt;"Hunt",IFERROR(VLOOKUP(C3,Monsters!$T$4:$AH$15,6,FALSE),0)=0),0,FLOOR((IF(B3="Hunt",(('Rules &amp; Formulas'!B4*(1+0.08)*('Rules &amp; Formulas'!B5+0)*IFERROR(VLOOKUP(C3,Monsters!$T$4:$AH$15,10,FALSE),0)*IFERROR(VLOOKUP(C3,Monsters!$T$4:$AH$15,9,FALSE),0))*'Rules &amp; Formulas'!B6)*IF(D3="",0,D3),0))/MAX(1,IFERROR(VLOOKUP(C3,Monsters!$T$4:$AH$15,6,FALSE),0)),1)))*(IFERROR(VLOOKUP(C3,Monsters!$T$4:$AH$15,7,FALSE),0))*0.5*1,0)+IF(AND((E3="OK"),B3="Go AFK"),(IF(B3="Go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Formulas'!B13/60)*60)),0))*(IFERROR(VLOOKUP(C3,Monsters!$T$4:$AH$15,3,FALSE),0))*1+(IF(OR(B3&lt;&gt;"Go AFK",IFERROR(VLOOKUP(C3,Monsters!$T$4:$AH$15,6,FALSE),0)=0),0,FLOOR((IF(B3="Go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Formulas'!B13/60)*60)),0))/MAX(1,IFERROR(VLOOKUP(C3,Monsters!$T$4:$AH$15,6,FALSE),0)),1)))*(IFERROR(VLOOKUP(C3,Monsters!$T$4:$AH$15,7,FALSE),0))*0.5*1,0)+IF(AND((E3="OK"),B3="Fight boss",(IF((((105/'Rules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Formulas'!B12)),IFERROR(VLOOKUP(C3,Monsters!$T$4:$AH$15,3,FALSE),0),0)-IF(AND((E3="OK"),OR(B3="Buy upgrade",B3="Forge/Scrapwork buy"),IFERROR(VLOOKUP(C3,Upgrades!$N$4:$T$47,2,FALSE),0)="gold"),IFERROR(FLOOR(IFERROR(VLOOKUP(C3,Upgrades!$N$4:$T$47,3,FALSE),0)*(IFERROR(VLOOKUP(C3,Upgrades!$N$4:$T$47,4,FALSE),0)^(0)),1),0),0)-IF(AND((E3="OK"),B3="Hire hunter"),IF(C3="Briar",140,IF(C3="Quill",3650,IF(C3="Moss",4850,IF(C3="Ember",12200,0)))),0))</f>
        <v/>
      </c>
      <c r="I3" s="7">
        <f>IF(AND((E3="OK"),B3="Fight boss",(IF((((105/'Rules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Formulas'!B12)),0,MIN(IF(1&lt;=1,120,IF(1=2,280,600)),0+IF(AND((E3="OK"),B3="Hunt"),((IF(B3="Hunt",(('Rules &amp; Formulas'!B4*(1+0.08)*('Rules &amp; Formulas'!B5+0)*IFERROR(VLOOKUP(C3,Monsters!$T$4:$AH$15,10,FALSE),0)*IFERROR(VLOOKUP(C3,Monsters!$T$4:$AH$15,9,FALSE),0))*'Rules &amp; Formulas'!B6)*IF(D3="",0,D3),0))*(IFERROR(VLOOKUP(C3,Monsters!$T$4:$AH$15,4,FALSE),0))+(IF(OR(B3&lt;&gt;"Hunt",IFERROR(VLOOKUP(C3,Monsters!$T$4:$AH$15,6,FALSE),0)=0),0,FLOOR((IF(B3="Hunt",(('Rules &amp; Formulas'!B4*(1+0.08)*('Rules &amp; Formulas'!B5+0)*IFERROR(VLOOKUP(C3,Monsters!$T$4:$AH$15,10,FALSE),0)*IFERROR(VLOOKUP(C3,Monsters!$T$4:$AH$15,9,FALSE),0))*'Rules &amp; Formulas'!B6)*IF(D3="",0,D3),0))/MAX(1,IFERROR(VLOOKUP(C3,Monsters!$T$4:$AH$15,6,FALSE),0)),1)))*(IFERROR(VLOOKUP(C3,Monsters!$T$4:$AH$15,7,FALSE),0))),0)+IF(AND((E3="OK"),B3="Go AFK"),((IF(B3="Go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Formulas'!B13/60)*60)),0))*(IFERROR(VLOOKUP(C3,Monsters!$T$4:$AH$15,4,FALSE),0))+(IF(OR(B3&lt;&gt;"Go AFK",IFERROR(VLOOKUP(C3,Monsters!$T$4:$AH$15,6,FALSE),0)=0),0,FLOOR((IF(B3="Go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Formulas'!B13/60)*60)),0))/MAX(1,IFERROR(VLOOKUP(C3,Monsters!$T$4:$AH$15,6,FALSE),0)),1)))*(IFERROR(VLOOKUP(C3,Monsters!$T$4:$AH$15,7,FALSE),0))),0)))</f>
        <v/>
      </c>
      <c r="J3" s="7">
        <f>MAX(0,0+IF(AND((E3="OK"),B3="Hunt"),(IF(B3="Hunt",(('Rules &amp; Formulas'!B4*(1+0.08)*('Rules &amp; Formulas'!B5+0)*IFERROR(VLOOKUP(C3,Monsters!$T$4:$AH$15,10,FALSE),0)*IFERROR(VLOOKUP(C3,Monsters!$T$4:$AH$15,9,FALSE),0))*'Rules &amp; Formulas'!B6)*IF(D3="",0,D3),0))*(IFERROR(VLOOKUP(C3,Monsters!$T$4:$AH$15,5,FALSE),0)),0)+IF(AND((E3="OK"),B3="Go AFK"),(IF(B3="Go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Formulas'!B13/60)*60)),0))*(IFERROR(VLOOKUP(C3,Monsters!$T$4:$AH$15,5,FALSE),0)),0)-IF(AND((E3="OK"),OR(B3="Buy upgrade",B3="Forge/Scrapwork buy"),IFERROR(VLOOKUP(C3,Upgrades!$N$4:$T$47,2,FALSE),0)="scraps"),IFERROR(FLOOR(IFERROR(VLOOKUP(C3,Upgrades!$N$4:$T$47,3,FALSE),0)*(IFERROR(VLOOKUP(C3,Upgrades!$N$4:$T$47,4,FALSE),0)^(0)),1),0),0))</f>
        <v/>
      </c>
      <c r="K3" s="7">
        <f>MAX(0,0+IF(AND((E3="OK"),B3="Hunt"),IF(C3="Thornpelt Bear",(IF(B3="Hunt",(('Rules &amp; Formulas'!B4*(1+0.08)*('Rules &amp; Formulas'!B5+0)*IFERROR(VLOOKUP(C3,Monsters!$T$4:$AH$15,10,FALSE),0)*IFERROR(VLOOKUP(C3,Monsters!$T$4:$AH$15,9,FALSE),0))*'Rules &amp; Formulas'!B6)*IF(D3="",0,D3),0))*0.12,0),0)+IF(AND((E3="OK"),B3="Go AFK"),IF(C3="Thornpelt Bear",(IF(B3="Go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Formulas'!B13/60)*60)),0))*0.12,0),0))</f>
        <v/>
      </c>
      <c r="L3" s="7">
        <f>MAX(0,0+IF(AND((E3="OK"),B3="Hunt"),IF(C3="Dire Thornpelt",(IF(B3="Hunt",(('Rules &amp; Formulas'!B4*(1+0.08)*('Rules &amp; Formulas'!B5+0)*IFERROR(VLOOKUP(C3,Monsters!$T$4:$AH$15,10,FALSE),0)*IFERROR(VLOOKUP(C3,Monsters!$T$4:$AH$15,9,FALSE),0))*'Rules &amp; Formulas'!B6)*IF(D3="",0,D3),0))*0.1,0),0)+IF(AND((E3="OK"),B3="Go AFK"),IF(C3="Dire Thornpelt",(IF(B3="Go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Formulas'!B13/60)*60)),0))*0.1,0),0))</f>
        <v/>
      </c>
      <c r="M3" s="7">
        <f>IF(AND((E3="OK"),B3="Go AFK"),MAX(0,MIN('Rules &amp; Formulas'!B15,'Rules &amp; Formulas'!B17+'Rules &amp; Formulas'!B14*(MIN(IF(B3="Go AFK",IF(D3="",0,D3),0),'Rules &amp; Formulas'!B13/60)*60))-(IF(B3="Go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Formulas'!B13/60)*60)),0))*(IF((IFERROR(VLOOKUP(C3,Monsters!$T$4:$AH$15,8,FALSE),0))=0,0.35,IFERROR(VLOOKUP(C3,Monsters!$T$4:$AH$15,8,FALSE),0))/1)),MIN(('Rules &amp; Formulas'!B15+25*AJ3),'Rules &amp; Formulas'!B17))</f>
        <v/>
      </c>
      <c r="N3" s="7">
        <f>(1+0.08+0.12*AA3+0.12*AB3+0.16*AC3)</f>
        <v/>
      </c>
      <c r="O3" s="7">
        <f>((AD3&gt;=1)*1*(1+0.3*AE3))</f>
        <v/>
      </c>
      <c r="P3" s="7">
        <f>IF(OR(B3="Hunt",B3="Go AFK"),(('Rules &amp; Formulas'!B4*(1+0.08)*('Rules &amp; Formulas'!B5+0)*IFERROR(VLOOKUP(C3,Monsters!$T$4:$AH$15,10,FALSE),0)*IFERROR(VLOOKUP(C3,Monsters!$T$4:$AH$15,9,FALSE),0))*'Rules &amp; Formulas'!B6),"")</f>
        <v/>
      </c>
      <c r="Q3" s="7">
        <f>IF(OR(B3="Hunt",B3="Go AFK"),('Rules &amp; Formulas'!B4*(1+0.08)*('Rules &amp; Formulas'!B5+0)*IFERROR(VLOOKUP(C3,Monsters!$T$4:$AH$15,10,FALSE),0)*IFERROR(VLOOKUP(C3,Monsters!$T$4:$AH$15,9,FALSE),0)),"")</f>
        <v/>
      </c>
      <c r="R3" s="7">
        <f>IF(AND((E3="OK"),B3="Hunt"),IF(B3="Hunt",(('Rules &amp; Formulas'!B4*(1+0.08)*('Rules &amp; Formulas'!B5+0)*IFERROR(VLOOKUP(C3,Monsters!$T$4:$AH$15,10,FALSE),0)*IFERROR(VLOOKUP(C3,Monsters!$T$4:$AH$15,9,FALSE),0))*'Rules &amp; Formulas'!B6)*IF(D3="",0,D3),0),IF(AND((E3="OK"),B3="Go AFK"),IF(B3="Go AFK",MIN(IF((IF((IFERROR(VLOOKUP(C3,Monsters!$T$4:$AH$15,8,FALSE),0))=0,0.35,IFERROR(VLOOKUP(C3,Monsters!$T$4:$AH$15,8,FALSE),0))/1)&lt;=0,999999,FLOOR(MIN('Rules &amp; Formulas'!B15,'Rules &amp; Formulas'!B17+'Rules &amp; Formulas'!B14*(MIN(IF(B3="Go AFK",IF(D3="",0,D3),0),'Rules &amp; Formulas'!B13/60)*60))/(IF((IFERROR(VLOOKUP(C3,Monsters!$T$4:$AH$15,8,FALSE),0))=0,0.35,IFERROR(VLOOKUP(C3,Monsters!$T$4:$AH$15,8,FALSE),0))/1),1)),('Rules &amp; Formulas'!B4*(1+0.08)*('Rules &amp; Formulas'!B5+0)*IFERROR(VLOOKUP(C3,Monsters!$T$4:$AH$15,10,FALSE),0)*IFERROR(VLOOKUP(C3,Monsters!$T$4:$AH$15,9,FALSE),0))*(MIN(IF(B3="Go AFK",IF(D3="",0,D3),0),'Rules &amp; Formulas'!B13/60)*60)),0),0))</f>
        <v/>
      </c>
      <c r="S3" s="7">
        <f>(105/'Rules &amp; Formulas'!B10)*'Rules &amp; Formulas'!B11</f>
        <v/>
      </c>
      <c r="T3" s="7">
        <f>IF(0&gt;=1,(MAX(1,ROUND('Rules &amp; Formulas'!B18*(1+0.3*0)*(1+0.4*0),0)))*(1000/'Rules &amp; Formulas'!B19)*MIN(0.95,'Rules &amp; Formulas'!B20*SQRT(1+0.55*(0&gt;=1))),0)</f>
        <v/>
      </c>
      <c r="U3" s="7">
        <f>S3+T3</f>
        <v/>
      </c>
      <c r="V3" s="7">
        <f>IF(0&gt;=IF((IFERROR(VLOOKUP(C3,Monsters!$T$4:$AH$15,15,FALSE),0))=0,120,IFERROR(VLOOKUP(C3,Monsters!$T$4:$AH$15,15,FALSE),0)),"YES","no")</f>
        <v/>
      </c>
      <c r="W3" s="7">
        <f>IF(AND(B3="Fight boss",E3="OK"),IF((((105/'Rules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Formulas'!B20*SQRT(1+0.55*(0&gt;=1))),0)))),"")</f>
        <v/>
      </c>
      <c r="X3" s="7">
        <f>IF(AND(B3="Fight boss",E3="OK"),IF((IF((((105/'Rules &amp; Formulas'!B10)*'Rules &amp; Formulas'!B11+IF(0&gt;=1,(MAX(1,ROUND('Rules &amp; Formulas'!B18*(1+0.3*0)*(1+0.4*0),0)))*(1000/'Rules &amp; Formulas'!B19)*MIN(0.95,'Rules &amp; Formulas'!B20*SQRT(1+0.55*(0&gt;=1))),0)))&lt;=0,9999,(IFERROR(VLOOKUP(C3,Monsters!$T$4:$AH$15,2,FALSE),0))/(((105/'Rules &amp; Formulas'!B10)*'Rules &amp; Formulas'!B11+IF(0&gt;=1,(MAX(1,ROUND('Rules &amp; Formulas'!B18*(1+0.3*0)*(1+0.4*0),0)))*(1000/'Rules &amp; Formulas'!B19)*MIN(0.95,'Rules &amp; Formulas'!B20*SQRT(1+0.55*(0&gt;=1))),0))))&lt;='Rules &amp; Formulas'!B12),"WIN","LOSE"),"")</f>
        <v/>
      </c>
      <c r="Y3" s="7">
        <f>IF(B3="Go AFK",MIN(IF(B3="Go AFK",IF(D3="",0,D3),0),'Rules &amp; Formulas'!B13/60),"")</f>
        <v/>
      </c>
      <c r="Z3" s="7">
        <f>('Rules &amp; Formulas'!B13+30*AI3)</f>
        <v/>
      </c>
      <c r="AA3">
        <f>COUNTIFS($B$3:$B3,"Buy upgrade",$C$3:$C3,"Idle Power")</f>
        <v/>
      </c>
      <c r="AB3">
        <f>COUNTIFS($B$3:$B3,"Buy upgrade",$C$3:$C3,"Iron Blade")</f>
        <v/>
      </c>
      <c r="AC3">
        <f>COUNTIFS($B$3:$B3,"Buy upgrade",$C$3:$C3,"Steel Blade")</f>
        <v/>
      </c>
      <c r="AD3">
        <f>COUNTIFS($B$3:$B3,"Hire hunter",$C$3:$C3,"Briar")+COUNTIFS($B$3:$B3,"Buy upgrade",$C$3:$C3,"Hire Briar")</f>
        <v/>
      </c>
      <c r="AE3">
        <f>COUNTIFS($B$3:$B3,"Buy upgrade",$C$3:$C3,"Hunter Power")</f>
        <v/>
      </c>
      <c r="AF3">
        <f>COUNTIFS($B$3:$B3,"Buy upgrade",$C$3:$C3,"Bigger Hits")</f>
        <v/>
      </c>
      <c r="AG3">
        <f>COUNTIFS($B$3:$B3,"Buy upgrade",$C$3:$C3,"Swift Walk")</f>
        <v/>
      </c>
      <c r="AH3">
        <f>COUNTIFS($B$3:$B3,"Buy upgrade",$C$3:$C3,"Loot Luck")</f>
        <v/>
      </c>
      <c r="AI3">
        <f>COUNTIFS($B$3:$B3,"Buy upgrade",$C$3:$C3,"Offline Cap")</f>
        <v/>
      </c>
      <c r="AJ3">
        <f>COUNTIFS($B$3:$B3,"Buy upgrade",$C$3:$C3,"Bigger Food Stock")</f>
        <v/>
      </c>
      <c r="AK3">
        <f>COUNTIFS($B$3:$B3,"Buy upgrade",$C$3:$C3,"Food Efficiency")</f>
        <v/>
      </c>
    </row>
    <row r="4">
      <c r="A4" t="n">
        <v>2</v>
      </c>
      <c r="B4" s="6" t="inlineStr">
        <is>
          <t>Buy upgrade</t>
        </is>
      </c>
      <c r="C4" s="6" t="inlineStr">
        <is>
          <t>Iron Blade</t>
        </is>
      </c>
      <c r="D4" s="6" t="n"/>
      <c r="E4" s="7">
        <f>IF(B4="","",IF(OR(B4="Hunt",B4="Go AFK"),IF(C4="","Can't","OK"),IF(B4="Fight boss",IF(I3&lt;IF((IFERROR(VLOOKUP(C4,Monsters!$T$4:$AH$15,15,FALSE),0))=0,120,IFERROR(VLOOKUP(C4,Monsters!$T$4:$AH$15,15,FALSE),0)),"Can't","OK"),IF(B4="Hire hunter",IF(AND(C4="Briar",AD3&gt;=1),"Can't",IF(H3&lt;IF(C4="Briar",140,IF(C4="Quill",3650,IF(C4="Moss",4850,IF(C4="Ember",12200,0)))),"Can't","OK")),IF(OR(B4="Buy upgrade",B4="Forge/Scrapwork buy"),IF(IFERROR(VLOOKUP(C4,Upgrades!$N$4:$T$47,2,FALSE),0)="points","Can't",IF(IFERROR(VLOOKUP(C4,Upgrades!$N$4:$T$47,2,FALSE),0)="gold",IF(H3&lt;IFERROR(FLOOR(IFERROR(VLOOKUP(C4,Upgrades!$N$4:$T$47,3,FALSE),0)*(IFERROR(VLOOKUP(C4,Upgrades!$N$4:$T$47,4,FALSE),0)^(COUNTIFS($B$3:$B3,"Buy upgrade",$C$3:$C3,C4)+COUNTIFS($B$3:$B3,"Hire hunter",$C$3:$C3,C4)+COUNTIFS($B$3:$B3,"Forge/Scrapwork buy",$C$3:$C3,C4))),1),0),"Can't","OK"),IF(IFERROR(VLOOKUP(C4,Upgrades!$N$4:$T$47,2,FALSE),0)="scraps",IF(J3&lt;IFERROR(FLOOR(IFERROR(VLOOKUP(C4,Upgrades!$N$4:$T$47,3,FALSE),0)*(IFERROR(VLOOKUP(C4,Upgrades!$N$4:$T$47,4,FALSE),0)^(COUNTIFS($B$3:$B3,"Buy upgrade",$C$3:$C3,C4)+COUNTIFS($B$3:$B3,"Hire hunter",$C$3:$C3,C4)+COUNTIFS($B$3:$B3,"Forge/Scrapwork buy",$C$3:$C3,C4))),1),0),"Can't","OK"),IF(IFERROR(VLOOKUP(C4,Upgrades!$N$4:$T$47,2,FALSE),0)="mats","Can't","OK")))),"Check")))))</f>
        <v/>
      </c>
      <c r="F4" s="7">
        <f>IF(B4="","",IF(AND(B4="Fight boss",I3&lt;IF((IFERROR(VLOOKUP(C4,Monsters!$T$4:$AH$15,15,FALSE),0))=0,120,IFERROR(VLOOKUP(C4,Monsters!$T$4:$AH$15,15,FALSE),0))),"Can't — need "&amp;TEXT(IF((IFERROR(VLOOKUP(C4,Monsters!$T$4:$AH$15,15,FALSE),0))=0,120,IFERROR(VLOOKUP(C4,Monsters!$T$4:$AH$15,15,FALSE),0))-I3,"0.0")&amp;" more Slayer points on the meter",IF(AND(B4="Hire hunter",C4="Briar",AD3&gt;=1),"Can't — already hired",IF(AND(B4="Hire hunter",H3&lt;IF(C4="Briar",140,IF(C4="Quill",3650,IF(C4="Moss",4850,IF(C4="Ember",12200,0))))),"Can't — need "&amp;TEXT(IF(C4="Briar",140,IF(C4="Quill",3650,IF(C4="Moss",4850,IF(C4="Ember",12200,0))))-H3,"0")&amp;" more gold",IF(AND(OR(B4="Buy upgrade",B4="Forge/Scrapwork buy"),IFERROR(VLOOKUP(C4,Upgrades!$N$4:$T$47,2,FALSE),0)="points"),"Can't — Sp-wallet spends not tracked here",IF(AND(OR(B4="Buy upgrade",B4="Forge/Scrapwork buy"),IFERROR(VLOOKUP(C4,Upgrades!$N$4:$T$47,2,FALSE),0)="gold",H3&lt;IFERROR(FLOOR(IFERROR(VLOOKUP(C4,Upgrades!$N$4:$T$47,3,FALSE),0)*(IFERROR(VLOOKUP(C4,Upgrades!$N$4:$T$47,4,FALSE),0)^(COUNTIFS($B$3:$B3,"Buy upgrade",$C$3:$C3,C4)+COUNTIFS($B$3:$B3,"Hire hunter",$C$3:$C3,C4)+COUNTIFS($B$3:$B3,"Forge/Scrapwork buy",$C$3:$C3,C4))),1),0)),"Can't — need "&amp;TEXT(IFERROR(FLOOR(IFERROR(VLOOKUP(C4,Upgrades!$N$4:$T$47,3,FALSE),0)*(IFERROR(VLOOKUP(C4,Upgrades!$N$4:$T$47,4,FALSE),0)^(COUNTIFS($B$3:$B3,"Buy upgrade",$C$3:$C3,C4)+COUNTIFS($B$3:$B3,"Hire hunter",$C$3:$C3,C4)+COUNTIFS($B$3:$B3,"Forge/Scrapwork buy",$C$3:$C3,C4))),1),0)-H3,"0")&amp;" more gold",IF(AND(OR(B4="Buy upgrade",B4="Forge/Scrapwork buy"),IFERROR(VLOOKUP(C4,Upgrades!$N$4:$T$47,2,FALSE),0)="scraps",J3&lt;IFERROR(FLOOR(IFERROR(VLOOKUP(C4,Upgrades!$N$4:$T$47,3,FALSE),0)*(IFERROR(VLOOKUP(C4,Upgrades!$N$4:$T$47,4,FALSE),0)^(COUNTIFS($B$3:$B3,"Buy upgrade",$C$3:$C3,C4)+COUNTIFS($B$3:$B3,"Hire hunter",$C$3:$C3,C4)+COUNTIFS($B$3:$B3,"Forge/Scrapwork buy",$C$3:$C3,C4))),1),0)),"Can't — need "&amp;TEXT(IFERROR(FLOOR(IFERROR(VLOOKUP(C4,Upgrades!$N$4:$T$47,3,FALSE),0)*(IFERROR(VLOOKUP(C4,Upgrades!$N$4:$T$47,4,FALSE),0)^(COUNTIFS($B$3:$B3,"Buy upgrade",$C$3:$C3,C4)+COUNTIFS($B$3:$B3,"Hire hunter",$C$3:$C3,C4)+COUNTIFS($B$3:$B3,"Forge/Scrapwork buy",$C$3:$C3,C4))),1),0)-J3,"0")&amp;" more scraps",IF(AND(B4="Fight boss",E4="OK",(IF((((105/'Rules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Formulas'!B12)),"WIN — boss down, next Level unlocks",IF(AND(B4="Fight boss",E4="OK"),"LOSE — TTK "&amp;TEXT(IF((((105/'Rules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Formulas'!B20*SQRT(1+0.55*(AG3&gt;=1))),0)))),"0")&amp;"s &gt; patience "&amp;TEXT('Rules &amp; Formulas'!B12,"0")&amp;"s (leave resets HP)",IF(B4="Go AFK","AFK resolved (see AFK counted h)","Applied")))))))))</f>
        <v/>
      </c>
      <c r="G4" s="7">
        <f>IF(AND((E4="OK"),B4="Fight boss",(IF((((105/'Rules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Formulas'!B12),C4="Elder Thornpelt"),2,IF(AND((E4="OK"),B4="Fight boss",(IF((((105/'Rules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Formulas'!B12),C4="Ashfang Alpha"),3,G3))</f>
        <v/>
      </c>
      <c r="H4" s="7">
        <f>MAX(0,H3+IF(AND((E4="OK"),B4="Hunt"),(IF(B4="Hunt",(('Rules &amp; Formulas'!B4*N3*('Rules &amp; Formulas'!B5+O3)*IFERROR(VLOOKUP(C4,Monsters!$T$4:$AH$15,10,FALSE),0)*IFERROR(VLOOKUP(C4,Monsters!$T$4:$AH$15,9,FALSE),0))*'Rules &amp; Formulas'!B6)*IF(D4="",0,D4),0))*(IFERROR(VLOOKUP(C4,Monsters!$T$4:$AH$15,3,FALSE),0))*(1+0.1*AH3)+(IF(OR(B4&lt;&gt;"Hunt",IFERROR(VLOOKUP(C4,Monsters!$T$4:$AH$15,6,FALSE),0)=0),0,FLOOR((IF(B4="Hunt",(('Rules &amp; Formulas'!B4*N3*('Rules &amp; Formulas'!B5+O3)*IFERROR(VLOOKUP(C4,Monsters!$T$4:$AH$15,10,FALSE),0)*IFERROR(VLOOKUP(C4,Monsters!$T$4:$AH$15,9,FALSE),0))*'Rules &amp; Formulas'!B6)*IF(D4="",0,D4),0))/MAX(1,IFERROR(VLOOKUP(C4,Monsters!$T$4:$AH$15,6,FALSE),0)),1)))*(IFERROR(VLOOKUP(C4,Monsters!$T$4:$AH$15,7,FALSE),0))*0.5*(1+0.1*AH3),0)+IF(AND((E4="OK"),B4="Go AFK"),(IF(B4="Go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AFK",IF(D4="",0,D4),0),Z3/60)*60)),0))*(IFERROR(VLOOKUP(C4,Monsters!$T$4:$AH$15,3,FALSE),0))*(1+0.1*AH3)+(IF(OR(B4&lt;&gt;"Go AFK",IFERROR(VLOOKUP(C4,Monsters!$T$4:$AH$15,6,FALSE),0)=0),0,FLOOR((IF(B4="Go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AFK",IF(D4="",0,D4),0),Z3/60)*60)),0))/MAX(1,IFERROR(VLOOKUP(C4,Monsters!$T$4:$AH$15,6,FALSE),0)),1)))*(IFERROR(VLOOKUP(C4,Monsters!$T$4:$AH$15,7,FALSE),0))*0.5*(1+0.1*AH3),0)+IF(AND((E4="OK"),B4="Fight boss",(IF((((105/'Rules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Formulas'!B12)),IFERROR(VLOOKUP(C4,Monsters!$T$4:$AH$15,3,FALSE),0),0)-IF(AND((E4="OK"),OR(B4="Buy upgrade",B4="Forge/Scrapwork buy"),IFERROR(VLOOKUP(C4,Upgrades!$N$4:$T$47,2,FALSE),0)="gold"),IFERROR(FLOOR(IFERROR(VLOOKUP(C4,Upgrades!$N$4:$T$47,3,FALSE),0)*(IFERROR(VLOOKUP(C4,Upgrades!$N$4:$T$47,4,FALSE),0)^(COUNTIFS($B$3:$B3,"Buy upgrade",$C$3:$C3,C4)+COUNTIFS($B$3:$B3,"Hire hunter",$C$3:$C3,C4)+COUNTIFS($B$3:$B3,"Forge/Scrapwork buy",$C$3:$C3,C4))),1),0),0)-IF(AND((E4="OK"),B4="Hire hunter"),IF(C4="Briar",140,IF(C4="Quill",3650,IF(C4="Moss",4850,IF(C4="Ember",12200,0)))),0))</f>
        <v/>
      </c>
      <c r="I4" s="7">
        <f>IF(AND((E4="OK"),B4="Fight boss",(IF((((105/'Rules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Formulas'!B12)),0,MIN(IF(G3&lt;=1,120,IF(G3=2,280,600)),I3+IF(AND((E4="OK"),B4="Hunt"),((IF(B4="Hunt",(('Rules &amp; Formulas'!B4*N3*('Rules &amp; Formulas'!B5+O3)*IFERROR(VLOOKUP(C4,Monsters!$T$4:$AH$15,10,FALSE),0)*IFERROR(VLOOKUP(C4,Monsters!$T$4:$AH$15,9,FALSE),0))*'Rules &amp; Formulas'!B6)*IF(D4="",0,D4),0))*(IFERROR(VLOOKUP(C4,Monsters!$T$4:$AH$15,4,FALSE),0))+(IF(OR(B4&lt;&gt;"Hunt",IFERROR(VLOOKUP(C4,Monsters!$T$4:$AH$15,6,FALSE),0)=0),0,FLOOR((IF(B4="Hunt",(('Rules &amp; Formulas'!B4*N3*('Rules &amp; Formulas'!B5+O3)*IFERROR(VLOOKUP(C4,Monsters!$T$4:$AH$15,10,FALSE),0)*IFERROR(VLOOKUP(C4,Monsters!$T$4:$AH$15,9,FALSE),0))*'Rules &amp; Formulas'!B6)*IF(D4="",0,D4),0))/MAX(1,IFERROR(VLOOKUP(C4,Monsters!$T$4:$AH$15,6,FALSE),0)),1)))*(IFERROR(VLOOKUP(C4,Monsters!$T$4:$AH$15,7,FALSE),0))),0)+IF(AND((E4="OK"),B4="Go AFK"),((IF(B4="Go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AFK",IF(D4="",0,D4),0),Z3/60)*60)),0))*(IFERROR(VLOOKUP(C4,Monsters!$T$4:$AH$15,4,FALSE),0))+(IF(OR(B4&lt;&gt;"Go AFK",IFERROR(VLOOKUP(C4,Monsters!$T$4:$AH$15,6,FALSE),0)=0),0,FLOOR((IF(B4="Go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AFK",IF(D4="",0,D4),0),Z3/60)*60)),0))/MAX(1,IFERROR(VLOOKUP(C4,Monsters!$T$4:$AH$15,6,FALSE),0)),1)))*(IFERROR(VLOOKUP(C4,Monsters!$T$4:$AH$15,7,FALSE),0))),0)))</f>
        <v/>
      </c>
      <c r="J4" s="7">
        <f>MAX(0,J3+IF(AND((E4="OK"),B4="Hunt"),(IF(B4="Hunt",(('Rules &amp; Formulas'!B4*N3*('Rules &amp; Formulas'!B5+O3)*IFERROR(VLOOKUP(C4,Monsters!$T$4:$AH$15,10,FALSE),0)*IFERROR(VLOOKUP(C4,Monsters!$T$4:$AH$15,9,FALSE),0))*'Rules &amp; Formulas'!B6)*IF(D4="",0,D4),0))*(IFERROR(VLOOKUP(C4,Monsters!$T$4:$AH$15,5,FALSE),0)),0)+IF(AND((E4="OK"),B4="Go AFK"),(IF(B4="Go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AFK",IF(D4="",0,D4),0),Z3/60)*60)),0))*(IFERROR(VLOOKUP(C4,Monsters!$T$4:$AH$15,5,FALSE),0)),0)-IF(AND((E4="OK"),OR(B4="Buy upgrade",B4="Forge/Scrapwork buy"),IFERROR(VLOOKUP(C4,Upgrades!$N$4:$T$47,2,FALSE),0)="scraps"),IFERROR(FLOOR(IFERROR(VLOOKUP(C4,Upgrades!$N$4:$T$47,3,FALSE),0)*(IFERROR(VLOOKUP(C4,Upgrades!$N$4:$T$47,4,FALSE),0)^(COUNTIFS($B$3:$B3,"Buy upgrade",$C$3:$C3,C4)+COUNTIFS($B$3:$B3,"Hire hunter",$C$3:$C3,C4)+COUNTIFS($B$3:$B3,"Forge/Scrapwork buy",$C$3:$C3,C4))),1),0),0))</f>
        <v/>
      </c>
      <c r="K4" s="7">
        <f>MAX(0,K3+IF(AND((E4="OK"),B4="Hunt"),IF(C4="Thornpelt Bear",(IF(B4="Hunt",(('Rules &amp; Formulas'!B4*N3*('Rules &amp; Formulas'!B5+O3)*IFERROR(VLOOKUP(C4,Monsters!$T$4:$AH$15,10,FALSE),0)*IFERROR(VLOOKUP(C4,Monsters!$T$4:$AH$15,9,FALSE),0))*'Rules &amp; Formulas'!B6)*IF(D4="",0,D4),0))*0.12,0),0)+IF(AND((E4="OK"),B4="Go AFK"),IF(C4="Thornpelt Bear",(IF(B4="Go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AFK",IF(D4="",0,D4),0),Z3/60)*60)),0))*0.12,0),0))</f>
        <v/>
      </c>
      <c r="L4" s="7">
        <f>MAX(0,L3+IF(AND((E4="OK"),B4="Hunt"),IF(C4="Dire Thornpelt",(IF(B4="Hunt",(('Rules &amp; Formulas'!B4*N3*('Rules &amp; Formulas'!B5+O3)*IFERROR(VLOOKUP(C4,Monsters!$T$4:$AH$15,10,FALSE),0)*IFERROR(VLOOKUP(C4,Monsters!$T$4:$AH$15,9,FALSE),0))*'Rules &amp; Formulas'!B6)*IF(D4="",0,D4),0))*0.1,0),0)+IF(AND((E4="OK"),B4="Go AFK"),IF(C4="Dire Thornpelt",(IF(B4="Go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AFK",IF(D4="",0,D4),0),Z3/60)*60)),0))*0.1,0),0))</f>
        <v/>
      </c>
      <c r="M4" s="7">
        <f>IF(AND((E4="OK"),B4="Go AFK"),MAX(0,MIN(('Rules &amp; Formulas'!B15+25*AJ3),M3+('Rules &amp; Formulas'!B14+0.4*AJ3)*(MIN(IF(B4="Go AFK",IF(D4="",0,D4),0),Z3/60)*60))-(IF(B4="Go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AFK",IF(D4="",0,D4),0),Z3/60)*60)),0))*(IF((IFERROR(VLOOKUP(C4,Monsters!$T$4:$AH$15,8,FALSE),0))=0,0.35,IFERROR(VLOOKUP(C4,Monsters!$T$4:$AH$15,8,FALSE),0))/(1+0.08*AK3))),MIN(('Rules &amp; Formulas'!B15+25*AJ4),M3))</f>
        <v/>
      </c>
      <c r="N4" s="7">
        <f>(1+0.08+0.12*AA4+0.12*AB4+0.16*AC4)</f>
        <v/>
      </c>
      <c r="O4" s="7">
        <f>((AD4&gt;=1)*1*(1+0.3*AE4))</f>
        <v/>
      </c>
      <c r="P4" s="7">
        <f>IF(OR(B4="Hunt",B4="Go AFK"),(('Rules &amp; Formulas'!B4*N3*('Rules &amp; Formulas'!B5+O3)*IFERROR(VLOOKUP(C4,Monsters!$T$4:$AH$15,10,FALSE),0)*IFERROR(VLOOKUP(C4,Monsters!$T$4:$AH$15,9,FALSE),0))*'Rules &amp; Formulas'!B6),"")</f>
        <v/>
      </c>
      <c r="Q4" s="7">
        <f>IF(OR(B4="Hunt",B4="Go AFK"),('Rules &amp; Formulas'!B4*N3*('Rules &amp; Formulas'!B5+O3)*IFERROR(VLOOKUP(C4,Monsters!$T$4:$AH$15,10,FALSE),0)*IFERROR(VLOOKUP(C4,Monsters!$T$4:$AH$15,9,FALSE),0)),"")</f>
        <v/>
      </c>
      <c r="R4" s="7">
        <f>IF(AND((E4="OK"),B4="Hunt"),IF(B4="Hunt",(('Rules &amp; Formulas'!B4*N3*('Rules &amp; Formulas'!B5+O3)*IFERROR(VLOOKUP(C4,Monsters!$T$4:$AH$15,10,FALSE),0)*IFERROR(VLOOKUP(C4,Monsters!$T$4:$AH$15,9,FALSE),0))*'Rules &amp; Formulas'!B6)*IF(D4="",0,D4),0),IF(AND((E4="OK"),B4="Go AFK"),IF(B4="Go AFK",MIN(IF((IF((IFERROR(VLOOKUP(C4,Monsters!$T$4:$AH$15,8,FALSE),0))=0,0.35,IFERROR(VLOOKUP(C4,Monsters!$T$4:$AH$15,8,FALSE),0))/(1+0.08*AK3))&lt;=0,999999,FLOOR(MIN(('Rules &amp; Formulas'!B15+25*AJ3),M3+('Rules &amp; Formulas'!B14+0.4*AJ3)*(MIN(IF(B4="Go AFK",IF(D4="",0,D4),0),Z3/60)*60))/(IF((IFERROR(VLOOKUP(C4,Monsters!$T$4:$AH$15,8,FALSE),0))=0,0.35,IFERROR(VLOOKUP(C4,Monsters!$T$4:$AH$15,8,FALSE),0))/(1+0.08*AK3)),1)),('Rules &amp; Formulas'!B4*N3*('Rules &amp; Formulas'!B5+O3)*IFERROR(VLOOKUP(C4,Monsters!$T$4:$AH$15,10,FALSE),0)*IFERROR(VLOOKUP(C4,Monsters!$T$4:$AH$15,9,FALSE),0))*(MIN(IF(B4="Go AFK",IF(D4="",0,D4),0),Z3/60)*60)),0),0))</f>
        <v/>
      </c>
      <c r="S4" s="7">
        <f>(105/'Rules &amp; Formulas'!B10)*'Rules &amp; Formulas'!B11</f>
        <v/>
      </c>
      <c r="T4" s="7">
        <f>IF(AD3&gt;=1,(MAX(1,ROUND('Rules &amp; Formulas'!B18*(1+0.3*AE3)*(1+0.4*AF3),0)))*(1000/'Rules &amp; Formulas'!B19)*MIN(0.95,'Rules &amp; Formulas'!B20*SQRT(1+0.55*(AG3&gt;=1))),0)</f>
        <v/>
      </c>
      <c r="U4" s="7">
        <f>S4+T4</f>
        <v/>
      </c>
      <c r="V4" s="7">
        <f>IF(I3&gt;=IF((IFERROR(VLOOKUP(C4,Monsters!$T$4:$AH$15,15,FALSE),0))=0,120,IFERROR(VLOOKUP(C4,Monsters!$T$4:$AH$15,15,FALSE),0)),"YES","no")</f>
        <v/>
      </c>
      <c r="W4" s="7">
        <f>IF(AND(B4="Fight boss",E4="OK"),IF((((105/'Rules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Formulas'!B20*SQRT(1+0.55*(AG3&gt;=1))),0)))),"")</f>
        <v/>
      </c>
      <c r="X4" s="7">
        <f>IF(AND(B4="Fight boss",E4="OK"),IF((IF((((105/'Rules &amp; Formulas'!B10)*'Rules &amp; Formulas'!B11+IF(AD3&gt;=1,(MAX(1,ROUND('Rules &amp; Formulas'!B18*(1+0.3*AE3)*(1+0.4*AF3),0)))*(1000/'Rules &amp; Formulas'!B19)*MIN(0.95,'Rules &amp; Formulas'!B20*SQRT(1+0.55*(AG3&gt;=1))),0)))&lt;=0,9999,(IFERROR(VLOOKUP(C4,Monsters!$T$4:$AH$15,2,FALSE),0))/(((105/'Rules &amp; Formulas'!B10)*'Rules &amp; Formulas'!B11+IF(AD3&gt;=1,(MAX(1,ROUND('Rules &amp; Formulas'!B18*(1+0.3*AE3)*(1+0.4*AF3),0)))*(1000/'Rules &amp; Formulas'!B19)*MIN(0.95,'Rules &amp; Formulas'!B20*SQRT(1+0.55*(AG3&gt;=1))),0))))&lt;='Rules &amp; Formulas'!B12),"WIN","LOSE"),"")</f>
        <v/>
      </c>
      <c r="Y4" s="7">
        <f>IF(B4="Go AFK",MIN(IF(B4="Go AFK",IF(D4="",0,D4),0),Z3/60),"")</f>
        <v/>
      </c>
      <c r="Z4" s="7">
        <f>('Rules &amp; Formulas'!B13+30*AI4)</f>
        <v/>
      </c>
      <c r="AA4">
        <f>COUNTIFS($B$3:$B4,"Buy upgrade",$C$3:$C4,"Idle Power")</f>
        <v/>
      </c>
      <c r="AB4">
        <f>COUNTIFS($B$3:$B4,"Buy upgrade",$C$3:$C4,"Iron Blade")</f>
        <v/>
      </c>
      <c r="AC4">
        <f>COUNTIFS($B$3:$B4,"Buy upgrade",$C$3:$C4,"Steel Blade")</f>
        <v/>
      </c>
      <c r="AD4">
        <f>COUNTIFS($B$3:$B4,"Hire hunter",$C$3:$C4,"Briar")+COUNTIFS($B$3:$B4,"Buy upgrade",$C$3:$C4,"Hire Briar")</f>
        <v/>
      </c>
      <c r="AE4">
        <f>COUNTIFS($B$3:$B4,"Buy upgrade",$C$3:$C4,"Hunter Power")</f>
        <v/>
      </c>
      <c r="AF4">
        <f>COUNTIFS($B$3:$B4,"Buy upgrade",$C$3:$C4,"Bigger Hits")</f>
        <v/>
      </c>
      <c r="AG4">
        <f>COUNTIFS($B$3:$B4,"Buy upgrade",$C$3:$C4,"Swift Walk")</f>
        <v/>
      </c>
      <c r="AH4">
        <f>COUNTIFS($B$3:$B4,"Buy upgrade",$C$3:$C4,"Loot Luck")</f>
        <v/>
      </c>
      <c r="AI4">
        <f>COUNTIFS($B$3:$B4,"Buy upgrade",$C$3:$C4,"Offline Cap")</f>
        <v/>
      </c>
      <c r="AJ4">
        <f>COUNTIFS($B$3:$B4,"Buy upgrade",$C$3:$C4,"Bigger Food Stock")</f>
        <v/>
      </c>
      <c r="AK4">
        <f>COUNTIFS($B$3:$B4,"Buy upgrade",$C$3:$C4,"Food Efficiency")</f>
        <v/>
      </c>
    </row>
    <row r="5">
      <c r="A5" t="n">
        <v>3</v>
      </c>
      <c r="B5" s="6" t="inlineStr">
        <is>
          <t>Go AFK</t>
        </is>
      </c>
      <c r="C5" s="6" t="inlineStr">
        <is>
          <t>Bristle Cub</t>
        </is>
      </c>
      <c r="D5" s="6" t="n">
        <v>8</v>
      </c>
      <c r="E5" s="7">
        <f>IF(B5="","",IF(OR(B5="Hunt",B5="Go AFK"),IF(C5="","Can't","OK"),IF(B5="Fight boss",IF(I4&lt;IF((IFERROR(VLOOKUP(C5,Monsters!$T$4:$AH$15,15,FALSE),0))=0,120,IFERROR(VLOOKUP(C5,Monsters!$T$4:$AH$15,15,FALSE),0)),"Can't","OK"),IF(B5="Hire hunter",IF(AND(C5="Briar",AD4&gt;=1),"Can't",IF(H4&lt;IF(C5="Briar",140,IF(C5="Quill",3650,IF(C5="Moss",4850,IF(C5="Ember",12200,0)))),"Can't","OK")),IF(OR(B5="Buy upgrade",B5="Forge/Scrapwork buy"),IF(IFERROR(VLOOKUP(C5,Upgrades!$N$4:$T$47,2,FALSE),0)="points","Can't",IF(IFERROR(VLOOKUP(C5,Upgrades!$N$4:$T$47,2,FALSE),0)="gold",IF(H4&lt;IFERROR(FLOOR(IFERROR(VLOOKUP(C5,Upgrades!$N$4:$T$47,3,FALSE),0)*(IFERROR(VLOOKUP(C5,Upgrades!$N$4:$T$47,4,FALSE),0)^(COUNTIFS($B$3:$B4,"Buy upgrade",$C$3:$C4,C5)+COUNTIFS($B$3:$B4,"Hire hunter",$C$3:$C4,C5)+COUNTIFS($B$3:$B4,"Forge/Scrapwork buy",$C$3:$C4,C5))),1),0),"Can't","OK"),IF(IFERROR(VLOOKUP(C5,Upgrades!$N$4:$T$47,2,FALSE),0)="scraps",IF(J4&lt;IFERROR(FLOOR(IFERROR(VLOOKUP(C5,Upgrades!$N$4:$T$47,3,FALSE),0)*(IFERROR(VLOOKUP(C5,Upgrades!$N$4:$T$47,4,FALSE),0)^(COUNTIFS($B$3:$B4,"Buy upgrade",$C$3:$C4,C5)+COUNTIFS($B$3:$B4,"Hire hunter",$C$3:$C4,C5)+COUNTIFS($B$3:$B4,"Forge/Scrapwork buy",$C$3:$C4,C5))),1),0),"Can't","OK"),IF(IFERROR(VLOOKUP(C5,Upgrades!$N$4:$T$47,2,FALSE),0)="mats","Can't","OK")))),"Check")))))</f>
        <v/>
      </c>
      <c r="F5" s="7">
        <f>IF(B5="","",IF(AND(B5="Fight boss",I4&lt;IF((IFERROR(VLOOKUP(C5,Monsters!$T$4:$AH$15,15,FALSE),0))=0,120,IFERROR(VLOOKUP(C5,Monsters!$T$4:$AH$15,15,FALSE),0))),"Can't — need "&amp;TEXT(IF((IFERROR(VLOOKUP(C5,Monsters!$T$4:$AH$15,15,FALSE),0))=0,120,IFERROR(VLOOKUP(C5,Monsters!$T$4:$AH$15,15,FALSE),0))-I4,"0.0")&amp;" more Slayer points on the meter",IF(AND(B5="Hire hunter",C5="Briar",AD4&gt;=1),"Can't — already hired",IF(AND(B5="Hire hunter",H4&lt;IF(C5="Briar",140,IF(C5="Quill",3650,IF(C5="Moss",4850,IF(C5="Ember",12200,0))))),"Can't — need "&amp;TEXT(IF(C5="Briar",140,IF(C5="Quill",3650,IF(C5="Moss",4850,IF(C5="Ember",12200,0))))-H4,"0")&amp;" more gold",IF(AND(OR(B5="Buy upgrade",B5="Forge/Scrapwork buy"),IFERROR(VLOOKUP(C5,Upgrades!$N$4:$T$47,2,FALSE),0)="points"),"Can't — Sp-wallet spends not tracked here",IF(AND(OR(B5="Buy upgrade",B5="Forge/Scrapwork buy"),IFERROR(VLOOKUP(C5,Upgrades!$N$4:$T$47,2,FALSE),0)="gold",H4&lt;IFERROR(FLOOR(IFERROR(VLOOKUP(C5,Upgrades!$N$4:$T$47,3,FALSE),0)*(IFERROR(VLOOKUP(C5,Upgrades!$N$4:$T$47,4,FALSE),0)^(COUNTIFS($B$3:$B4,"Buy upgrade",$C$3:$C4,C5)+COUNTIFS($B$3:$B4,"Hire hunter",$C$3:$C4,C5)+COUNTIFS($B$3:$B4,"Forge/Scrapwork buy",$C$3:$C4,C5))),1),0)),"Can't — need "&amp;TEXT(IFERROR(FLOOR(IFERROR(VLOOKUP(C5,Upgrades!$N$4:$T$47,3,FALSE),0)*(IFERROR(VLOOKUP(C5,Upgrades!$N$4:$T$47,4,FALSE),0)^(COUNTIFS($B$3:$B4,"Buy upgrade",$C$3:$C4,C5)+COUNTIFS($B$3:$B4,"Hire hunter",$C$3:$C4,C5)+COUNTIFS($B$3:$B4,"Forge/Scrapwork buy",$C$3:$C4,C5))),1),0)-H4,"0")&amp;" more gold",IF(AND(OR(B5="Buy upgrade",B5="Forge/Scrapwork buy"),IFERROR(VLOOKUP(C5,Upgrades!$N$4:$T$47,2,FALSE),0)="scraps",J4&lt;IFERROR(FLOOR(IFERROR(VLOOKUP(C5,Upgrades!$N$4:$T$47,3,FALSE),0)*(IFERROR(VLOOKUP(C5,Upgrades!$N$4:$T$47,4,FALSE),0)^(COUNTIFS($B$3:$B4,"Buy upgrade",$C$3:$C4,C5)+COUNTIFS($B$3:$B4,"Hire hunter",$C$3:$C4,C5)+COUNTIFS($B$3:$B4,"Forge/Scrapwork buy",$C$3:$C4,C5))),1),0)),"Can't — need "&amp;TEXT(IFERROR(FLOOR(IFERROR(VLOOKUP(C5,Upgrades!$N$4:$T$47,3,FALSE),0)*(IFERROR(VLOOKUP(C5,Upgrades!$N$4:$T$47,4,FALSE),0)^(COUNTIFS($B$3:$B4,"Buy upgrade",$C$3:$C4,C5)+COUNTIFS($B$3:$B4,"Hire hunter",$C$3:$C4,C5)+COUNTIFS($B$3:$B4,"Forge/Scrapwork buy",$C$3:$C4,C5))),1),0)-J4,"0")&amp;" more scraps",IF(AND(B5="Fight boss",E5="OK",(IF((((105/'Rules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Formulas'!B12)),"WIN — boss down, next Level unlocks",IF(AND(B5="Fight boss",E5="OK"),"LOSE — TTK "&amp;TEXT(IF((((105/'Rules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Formulas'!B20*SQRT(1+0.55*(AG4&gt;=1))),0)))),"0")&amp;"s &gt; patience "&amp;TEXT('Rules &amp; Formulas'!B12,"0")&amp;"s (leave resets HP)",IF(B5="Go AFK","AFK resolved (see AFK counted h)","Applied")))))))))</f>
        <v/>
      </c>
      <c r="G5" s="7">
        <f>IF(AND((E5="OK"),B5="Fight boss",(IF((((105/'Rules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Formulas'!B12),C5="Elder Thornpelt"),2,IF(AND((E5="OK"),B5="Fight boss",(IF((((105/'Rules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Formulas'!B12),C5="Ashfang Alpha"),3,G4))</f>
        <v/>
      </c>
      <c r="H5" s="7">
        <f>MAX(0,H4+IF(AND((E5="OK"),B5="Hunt"),(IF(B5="Hunt",(('Rules &amp; Formulas'!B4*N4*('Rules &amp; Formulas'!B5+O4)*IFERROR(VLOOKUP(C5,Monsters!$T$4:$AH$15,10,FALSE),0)*IFERROR(VLOOKUP(C5,Monsters!$T$4:$AH$15,9,FALSE),0))*'Rules &amp; Formulas'!B6)*IF(D5="",0,D5),0))*(IFERROR(VLOOKUP(C5,Monsters!$T$4:$AH$15,3,FALSE),0))*(1+0.1*AH4)+(IF(OR(B5&lt;&gt;"Hunt",IFERROR(VLOOKUP(C5,Monsters!$T$4:$AH$15,6,FALSE),0)=0),0,FLOOR((IF(B5="Hunt",(('Rules &amp; Formulas'!B4*N4*('Rules &amp; Formulas'!B5+O4)*IFERROR(VLOOKUP(C5,Monsters!$T$4:$AH$15,10,FALSE),0)*IFERROR(VLOOKUP(C5,Monsters!$T$4:$AH$15,9,FALSE),0))*'Rules &amp; Formulas'!B6)*IF(D5="",0,D5),0))/MAX(1,IFERROR(VLOOKUP(C5,Monsters!$T$4:$AH$15,6,FALSE),0)),1)))*(IFERROR(VLOOKUP(C5,Monsters!$T$4:$AH$15,7,FALSE),0))*0.5*(1+0.1*AH4),0)+IF(AND((E5="OK"),B5="Go AFK"),(IF(B5="Go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AFK",IF(D5="",0,D5),0),Z4/60)*60)),0))*(IFERROR(VLOOKUP(C5,Monsters!$T$4:$AH$15,3,FALSE),0))*(1+0.1*AH4)+(IF(OR(B5&lt;&gt;"Go AFK",IFERROR(VLOOKUP(C5,Monsters!$T$4:$AH$15,6,FALSE),0)=0),0,FLOOR((IF(B5="Go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AFK",IF(D5="",0,D5),0),Z4/60)*60)),0))/MAX(1,IFERROR(VLOOKUP(C5,Monsters!$T$4:$AH$15,6,FALSE),0)),1)))*(IFERROR(VLOOKUP(C5,Monsters!$T$4:$AH$15,7,FALSE),0))*0.5*(1+0.1*AH4),0)+IF(AND((E5="OK"),B5="Fight boss",(IF((((105/'Rules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Formulas'!B12)),IFERROR(VLOOKUP(C5,Monsters!$T$4:$AH$15,3,FALSE),0),0)-IF(AND((E5="OK"),OR(B5="Buy upgrade",B5="Forge/Scrapwork buy"),IFERROR(VLOOKUP(C5,Upgrades!$N$4:$T$47,2,FALSE),0)="gold"),IFERROR(FLOOR(IFERROR(VLOOKUP(C5,Upgrades!$N$4:$T$47,3,FALSE),0)*(IFERROR(VLOOKUP(C5,Upgrades!$N$4:$T$47,4,FALSE),0)^(COUNTIFS($B$3:$B4,"Buy upgrade",$C$3:$C4,C5)+COUNTIFS($B$3:$B4,"Hire hunter",$C$3:$C4,C5)+COUNTIFS($B$3:$B4,"Forge/Scrapwork buy",$C$3:$C4,C5))),1),0),0)-IF(AND((E5="OK"),B5="Hire hunter"),IF(C5="Briar",140,IF(C5="Quill",3650,IF(C5="Moss",4850,IF(C5="Ember",12200,0)))),0))</f>
        <v/>
      </c>
      <c r="I5" s="7">
        <f>IF(AND((E5="OK"),B5="Fight boss",(IF((((105/'Rules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Formulas'!B12)),0,MIN(IF(G4&lt;=1,120,IF(G4=2,280,600)),I4+IF(AND((E5="OK"),B5="Hunt"),((IF(B5="Hunt",(('Rules &amp; Formulas'!B4*N4*('Rules &amp; Formulas'!B5+O4)*IFERROR(VLOOKUP(C5,Monsters!$T$4:$AH$15,10,FALSE),0)*IFERROR(VLOOKUP(C5,Monsters!$T$4:$AH$15,9,FALSE),0))*'Rules &amp; Formulas'!B6)*IF(D5="",0,D5),0))*(IFERROR(VLOOKUP(C5,Monsters!$T$4:$AH$15,4,FALSE),0))+(IF(OR(B5&lt;&gt;"Hunt",IFERROR(VLOOKUP(C5,Monsters!$T$4:$AH$15,6,FALSE),0)=0),0,FLOOR((IF(B5="Hunt",(('Rules &amp; Formulas'!B4*N4*('Rules &amp; Formulas'!B5+O4)*IFERROR(VLOOKUP(C5,Monsters!$T$4:$AH$15,10,FALSE),0)*IFERROR(VLOOKUP(C5,Monsters!$T$4:$AH$15,9,FALSE),0))*'Rules &amp; Formulas'!B6)*IF(D5="",0,D5),0))/MAX(1,IFERROR(VLOOKUP(C5,Monsters!$T$4:$AH$15,6,FALSE),0)),1)))*(IFERROR(VLOOKUP(C5,Monsters!$T$4:$AH$15,7,FALSE),0))),0)+IF(AND((E5="OK"),B5="Go AFK"),((IF(B5="Go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AFK",IF(D5="",0,D5),0),Z4/60)*60)),0))*(IFERROR(VLOOKUP(C5,Monsters!$T$4:$AH$15,4,FALSE),0))+(IF(OR(B5&lt;&gt;"Go AFK",IFERROR(VLOOKUP(C5,Monsters!$T$4:$AH$15,6,FALSE),0)=0),0,FLOOR((IF(B5="Go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AFK",IF(D5="",0,D5),0),Z4/60)*60)),0))/MAX(1,IFERROR(VLOOKUP(C5,Monsters!$T$4:$AH$15,6,FALSE),0)),1)))*(IFERROR(VLOOKUP(C5,Monsters!$T$4:$AH$15,7,FALSE),0))),0)))</f>
        <v/>
      </c>
      <c r="J5" s="7">
        <f>MAX(0,J4+IF(AND((E5="OK"),B5="Hunt"),(IF(B5="Hunt",(('Rules &amp; Formulas'!B4*N4*('Rules &amp; Formulas'!B5+O4)*IFERROR(VLOOKUP(C5,Monsters!$T$4:$AH$15,10,FALSE),0)*IFERROR(VLOOKUP(C5,Monsters!$T$4:$AH$15,9,FALSE),0))*'Rules &amp; Formulas'!B6)*IF(D5="",0,D5),0))*(IFERROR(VLOOKUP(C5,Monsters!$T$4:$AH$15,5,FALSE),0)),0)+IF(AND((E5="OK"),B5="Go AFK"),(IF(B5="Go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AFK",IF(D5="",0,D5),0),Z4/60)*60)),0))*(IFERROR(VLOOKUP(C5,Monsters!$T$4:$AH$15,5,FALSE),0)),0)-IF(AND((E5="OK"),OR(B5="Buy upgrade",B5="Forge/Scrapwork buy"),IFERROR(VLOOKUP(C5,Upgrades!$N$4:$T$47,2,FALSE),0)="scraps"),IFERROR(FLOOR(IFERROR(VLOOKUP(C5,Upgrades!$N$4:$T$47,3,FALSE),0)*(IFERROR(VLOOKUP(C5,Upgrades!$N$4:$T$47,4,FALSE),0)^(COUNTIFS($B$3:$B4,"Buy upgrade",$C$3:$C4,C5)+COUNTIFS($B$3:$B4,"Hire hunter",$C$3:$C4,C5)+COUNTIFS($B$3:$B4,"Forge/Scrapwork buy",$C$3:$C4,C5))),1),0),0))</f>
        <v/>
      </c>
      <c r="K5" s="7">
        <f>MAX(0,K4+IF(AND((E5="OK"),B5="Hunt"),IF(C5="Thornpelt Bear",(IF(B5="Hunt",(('Rules &amp; Formulas'!B4*N4*('Rules &amp; Formulas'!B5+O4)*IFERROR(VLOOKUP(C5,Monsters!$T$4:$AH$15,10,FALSE),0)*IFERROR(VLOOKUP(C5,Monsters!$T$4:$AH$15,9,FALSE),0))*'Rules &amp; Formulas'!B6)*IF(D5="",0,D5),0))*0.12,0),0)+IF(AND((E5="OK"),B5="Go AFK"),IF(C5="Thornpelt Bear",(IF(B5="Go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AFK",IF(D5="",0,D5),0),Z4/60)*60)),0))*0.12,0),0))</f>
        <v/>
      </c>
      <c r="L5" s="7">
        <f>MAX(0,L4+IF(AND((E5="OK"),B5="Hunt"),IF(C5="Dire Thornpelt",(IF(B5="Hunt",(('Rules &amp; Formulas'!B4*N4*('Rules &amp; Formulas'!B5+O4)*IFERROR(VLOOKUP(C5,Monsters!$T$4:$AH$15,10,FALSE),0)*IFERROR(VLOOKUP(C5,Monsters!$T$4:$AH$15,9,FALSE),0))*'Rules &amp; Formulas'!B6)*IF(D5="",0,D5),0))*0.1,0),0)+IF(AND((E5="OK"),B5="Go AFK"),IF(C5="Dire Thornpelt",(IF(B5="Go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AFK",IF(D5="",0,D5),0),Z4/60)*60)),0))*0.1,0),0))</f>
        <v/>
      </c>
      <c r="M5" s="7">
        <f>IF(AND((E5="OK"),B5="Go AFK"),MAX(0,MIN(('Rules &amp; Formulas'!B15+25*AJ4),M4+('Rules &amp; Formulas'!B14+0.4*AJ4)*(MIN(IF(B5="Go AFK",IF(D5="",0,D5),0),Z4/60)*60))-(IF(B5="Go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AFK",IF(D5="",0,D5),0),Z4/60)*60)),0))*(IF((IFERROR(VLOOKUP(C5,Monsters!$T$4:$AH$15,8,FALSE),0))=0,0.35,IFERROR(VLOOKUP(C5,Monsters!$T$4:$AH$15,8,FALSE),0))/(1+0.08*AK4))),MIN(('Rules &amp; Formulas'!B15+25*AJ5),M4))</f>
        <v/>
      </c>
      <c r="N5" s="7">
        <f>(1+0.08+0.12*AA5+0.12*AB5+0.16*AC5)</f>
        <v/>
      </c>
      <c r="O5" s="7">
        <f>((AD5&gt;=1)*1*(1+0.3*AE5))</f>
        <v/>
      </c>
      <c r="P5" s="7">
        <f>IF(OR(B5="Hunt",B5="Go AFK"),(('Rules &amp; Formulas'!B4*N4*('Rules &amp; Formulas'!B5+O4)*IFERROR(VLOOKUP(C5,Monsters!$T$4:$AH$15,10,FALSE),0)*IFERROR(VLOOKUP(C5,Monsters!$T$4:$AH$15,9,FALSE),0))*'Rules &amp; Formulas'!B6),"")</f>
        <v/>
      </c>
      <c r="Q5" s="7">
        <f>IF(OR(B5="Hunt",B5="Go AFK"),('Rules &amp; Formulas'!B4*N4*('Rules &amp; Formulas'!B5+O4)*IFERROR(VLOOKUP(C5,Monsters!$T$4:$AH$15,10,FALSE),0)*IFERROR(VLOOKUP(C5,Monsters!$T$4:$AH$15,9,FALSE),0)),"")</f>
        <v/>
      </c>
      <c r="R5" s="7">
        <f>IF(AND((E5="OK"),B5="Hunt"),IF(B5="Hunt",(('Rules &amp; Formulas'!B4*N4*('Rules &amp; Formulas'!B5+O4)*IFERROR(VLOOKUP(C5,Monsters!$T$4:$AH$15,10,FALSE),0)*IFERROR(VLOOKUP(C5,Monsters!$T$4:$AH$15,9,FALSE),0))*'Rules &amp; Formulas'!B6)*IF(D5="",0,D5),0),IF(AND((E5="OK"),B5="Go AFK"),IF(B5="Go AFK",MIN(IF((IF((IFERROR(VLOOKUP(C5,Monsters!$T$4:$AH$15,8,FALSE),0))=0,0.35,IFERROR(VLOOKUP(C5,Monsters!$T$4:$AH$15,8,FALSE),0))/(1+0.08*AK4))&lt;=0,999999,FLOOR(MIN(('Rules &amp; Formulas'!B15+25*AJ4),M4+('Rules &amp; Formulas'!B14+0.4*AJ4)*(MIN(IF(B5="Go AFK",IF(D5="",0,D5),0),Z4/60)*60))/(IF((IFERROR(VLOOKUP(C5,Monsters!$T$4:$AH$15,8,FALSE),0))=0,0.35,IFERROR(VLOOKUP(C5,Monsters!$T$4:$AH$15,8,FALSE),0))/(1+0.08*AK4)),1)),('Rules &amp; Formulas'!B4*N4*('Rules &amp; Formulas'!B5+O4)*IFERROR(VLOOKUP(C5,Monsters!$T$4:$AH$15,10,FALSE),0)*IFERROR(VLOOKUP(C5,Monsters!$T$4:$AH$15,9,FALSE),0))*(MIN(IF(B5="Go AFK",IF(D5="",0,D5),0),Z4/60)*60)),0),0))</f>
        <v/>
      </c>
      <c r="S5" s="7">
        <f>(105/'Rules &amp; Formulas'!B10)*'Rules &amp; Formulas'!B11</f>
        <v/>
      </c>
      <c r="T5" s="7">
        <f>IF(AD4&gt;=1,(MAX(1,ROUND('Rules &amp; Formulas'!B18*(1+0.3*AE4)*(1+0.4*AF4),0)))*(1000/'Rules &amp; Formulas'!B19)*MIN(0.95,'Rules &amp; Formulas'!B20*SQRT(1+0.55*(AG4&gt;=1))),0)</f>
        <v/>
      </c>
      <c r="U5" s="7">
        <f>S5+T5</f>
        <v/>
      </c>
      <c r="V5" s="7">
        <f>IF(I4&gt;=IF((IFERROR(VLOOKUP(C5,Monsters!$T$4:$AH$15,15,FALSE),0))=0,120,IFERROR(VLOOKUP(C5,Monsters!$T$4:$AH$15,15,FALSE),0)),"YES","no")</f>
        <v/>
      </c>
      <c r="W5" s="7">
        <f>IF(AND(B5="Fight boss",E5="OK"),IF((((105/'Rules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Formulas'!B20*SQRT(1+0.55*(AG4&gt;=1))),0)))),"")</f>
        <v/>
      </c>
      <c r="X5" s="7">
        <f>IF(AND(B5="Fight boss",E5="OK"),IF((IF((((105/'Rules &amp; Formulas'!B10)*'Rules &amp; Formulas'!B11+IF(AD4&gt;=1,(MAX(1,ROUND('Rules &amp; Formulas'!B18*(1+0.3*AE4)*(1+0.4*AF4),0)))*(1000/'Rules &amp; Formulas'!B19)*MIN(0.95,'Rules &amp; Formulas'!B20*SQRT(1+0.55*(AG4&gt;=1))),0)))&lt;=0,9999,(IFERROR(VLOOKUP(C5,Monsters!$T$4:$AH$15,2,FALSE),0))/(((105/'Rules &amp; Formulas'!B10)*'Rules &amp; Formulas'!B11+IF(AD4&gt;=1,(MAX(1,ROUND('Rules &amp; Formulas'!B18*(1+0.3*AE4)*(1+0.4*AF4),0)))*(1000/'Rules &amp; Formulas'!B19)*MIN(0.95,'Rules &amp; Formulas'!B20*SQRT(1+0.55*(AG4&gt;=1))),0))))&lt;='Rules &amp; Formulas'!B12),"WIN","LOSE"),"")</f>
        <v/>
      </c>
      <c r="Y5" s="7">
        <f>IF(B5="Go AFK",MIN(IF(B5="Go AFK",IF(D5="",0,D5),0),Z4/60),"")</f>
        <v/>
      </c>
      <c r="Z5" s="7">
        <f>('Rules &amp; Formulas'!B13+30*AI5)</f>
        <v/>
      </c>
      <c r="AA5">
        <f>COUNTIFS($B$3:$B5,"Buy upgrade",$C$3:$C5,"Idle Power")</f>
        <v/>
      </c>
      <c r="AB5">
        <f>COUNTIFS($B$3:$B5,"Buy upgrade",$C$3:$C5,"Iron Blade")</f>
        <v/>
      </c>
      <c r="AC5">
        <f>COUNTIFS($B$3:$B5,"Buy upgrade",$C$3:$C5,"Steel Blade")</f>
        <v/>
      </c>
      <c r="AD5">
        <f>COUNTIFS($B$3:$B5,"Hire hunter",$C$3:$C5,"Briar")+COUNTIFS($B$3:$B5,"Buy upgrade",$C$3:$C5,"Hire Briar")</f>
        <v/>
      </c>
      <c r="AE5">
        <f>COUNTIFS($B$3:$B5,"Buy upgrade",$C$3:$C5,"Hunter Power")</f>
        <v/>
      </c>
      <c r="AF5">
        <f>COUNTIFS($B$3:$B5,"Buy upgrade",$C$3:$C5,"Bigger Hits")</f>
        <v/>
      </c>
      <c r="AG5">
        <f>COUNTIFS($B$3:$B5,"Buy upgrade",$C$3:$C5,"Swift Walk")</f>
        <v/>
      </c>
      <c r="AH5">
        <f>COUNTIFS($B$3:$B5,"Buy upgrade",$C$3:$C5,"Loot Luck")</f>
        <v/>
      </c>
      <c r="AI5">
        <f>COUNTIFS($B$3:$B5,"Buy upgrade",$C$3:$C5,"Offline Cap")</f>
        <v/>
      </c>
      <c r="AJ5">
        <f>COUNTIFS($B$3:$B5,"Buy upgrade",$C$3:$C5,"Bigger Food Stock")</f>
        <v/>
      </c>
      <c r="AK5">
        <f>COUNTIFS($B$3:$B5,"Buy upgrade",$C$3:$C5,"Food Efficiency")</f>
        <v/>
      </c>
    </row>
    <row r="6">
      <c r="A6" t="n">
        <v>4</v>
      </c>
      <c r="B6" s="6" t="inlineStr">
        <is>
          <t>Buy upgrade</t>
        </is>
      </c>
      <c r="C6" s="6" t="inlineStr">
        <is>
          <t>Idle Power</t>
        </is>
      </c>
      <c r="D6" s="6" t="n"/>
      <c r="E6" s="7">
        <f>IF(B6="","",IF(OR(B6="Hunt",B6="Go AFK"),IF(C6="","Can't","OK"),IF(B6="Fight boss",IF(I5&lt;IF((IFERROR(VLOOKUP(C6,Monsters!$T$4:$AH$15,15,FALSE),0))=0,120,IFERROR(VLOOKUP(C6,Monsters!$T$4:$AH$15,15,FALSE),0)),"Can't","OK"),IF(B6="Hire hunter",IF(AND(C6="Briar",AD5&gt;=1),"Can't",IF(H5&lt;IF(C6="Briar",140,IF(C6="Quill",3650,IF(C6="Moss",4850,IF(C6="Ember",12200,0)))),"Can't","OK")),IF(OR(B6="Buy upgrade",B6="Forge/Scrapwork buy"),IF(IFERROR(VLOOKUP(C6,Upgrades!$N$4:$T$47,2,FALSE),0)="points","Can't",IF(IFERROR(VLOOKUP(C6,Upgrades!$N$4:$T$47,2,FALSE),0)="gold",IF(H5&lt;IFERROR(FLOOR(IFERROR(VLOOKUP(C6,Upgrades!$N$4:$T$47,3,FALSE),0)*(IFERROR(VLOOKUP(C6,Upgrades!$N$4:$T$47,4,FALSE),0)^(COUNTIFS($B$3:$B5,"Buy upgrade",$C$3:$C5,C6)+COUNTIFS($B$3:$B5,"Hire hunter",$C$3:$C5,C6)+COUNTIFS($B$3:$B5,"Forge/Scrapwork buy",$C$3:$C5,C6))),1),0),"Can't","OK"),IF(IFERROR(VLOOKUP(C6,Upgrades!$N$4:$T$47,2,FALSE),0)="scraps",IF(J5&lt;IFERROR(FLOOR(IFERROR(VLOOKUP(C6,Upgrades!$N$4:$T$47,3,FALSE),0)*(IFERROR(VLOOKUP(C6,Upgrades!$N$4:$T$47,4,FALSE),0)^(COUNTIFS($B$3:$B5,"Buy upgrade",$C$3:$C5,C6)+COUNTIFS($B$3:$B5,"Hire hunter",$C$3:$C5,C6)+COUNTIFS($B$3:$B5,"Forge/Scrapwork buy",$C$3:$C5,C6))),1),0),"Can't","OK"),IF(IFERROR(VLOOKUP(C6,Upgrades!$N$4:$T$47,2,FALSE),0)="mats","Can't","OK")))),"Check")))))</f>
        <v/>
      </c>
      <c r="F6" s="7">
        <f>IF(B6="","",IF(AND(B6="Fight boss",I5&lt;IF((IFERROR(VLOOKUP(C6,Monsters!$T$4:$AH$15,15,FALSE),0))=0,120,IFERROR(VLOOKUP(C6,Monsters!$T$4:$AH$15,15,FALSE),0))),"Can't — need "&amp;TEXT(IF((IFERROR(VLOOKUP(C6,Monsters!$T$4:$AH$15,15,FALSE),0))=0,120,IFERROR(VLOOKUP(C6,Monsters!$T$4:$AH$15,15,FALSE),0))-I5,"0.0")&amp;" more Slayer points on the meter",IF(AND(B6="Hire hunter",C6="Briar",AD5&gt;=1),"Can't — already hired",IF(AND(B6="Hire hunter",H5&lt;IF(C6="Briar",140,IF(C6="Quill",3650,IF(C6="Moss",4850,IF(C6="Ember",12200,0))))),"Can't — need "&amp;TEXT(IF(C6="Briar",140,IF(C6="Quill",3650,IF(C6="Moss",4850,IF(C6="Ember",12200,0))))-H5,"0")&amp;" more gold",IF(AND(OR(B6="Buy upgrade",B6="Forge/Scrapwork buy"),IFERROR(VLOOKUP(C6,Upgrades!$N$4:$T$47,2,FALSE),0)="points"),"Can't — Sp-wallet spends not tracked here",IF(AND(OR(B6="Buy upgrade",B6="Forge/Scrapwork buy"),IFERROR(VLOOKUP(C6,Upgrades!$N$4:$T$47,2,FALSE),0)="gold",H5&lt;IFERROR(FLOOR(IFERROR(VLOOKUP(C6,Upgrades!$N$4:$T$47,3,FALSE),0)*(IFERROR(VLOOKUP(C6,Upgrades!$N$4:$T$47,4,FALSE),0)^(COUNTIFS($B$3:$B5,"Buy upgrade",$C$3:$C5,C6)+COUNTIFS($B$3:$B5,"Hire hunter",$C$3:$C5,C6)+COUNTIFS($B$3:$B5,"Forge/Scrapwork buy",$C$3:$C5,C6))),1),0)),"Can't — need "&amp;TEXT(IFERROR(FLOOR(IFERROR(VLOOKUP(C6,Upgrades!$N$4:$T$47,3,FALSE),0)*(IFERROR(VLOOKUP(C6,Upgrades!$N$4:$T$47,4,FALSE),0)^(COUNTIFS($B$3:$B5,"Buy upgrade",$C$3:$C5,C6)+COUNTIFS($B$3:$B5,"Hire hunter",$C$3:$C5,C6)+COUNTIFS($B$3:$B5,"Forge/Scrapwork buy",$C$3:$C5,C6))),1),0)-H5,"0")&amp;" more gold",IF(AND(OR(B6="Buy upgrade",B6="Forge/Scrapwork buy"),IFERROR(VLOOKUP(C6,Upgrades!$N$4:$T$47,2,FALSE),0)="scraps",J5&lt;IFERROR(FLOOR(IFERROR(VLOOKUP(C6,Upgrades!$N$4:$T$47,3,FALSE),0)*(IFERROR(VLOOKUP(C6,Upgrades!$N$4:$T$47,4,FALSE),0)^(COUNTIFS($B$3:$B5,"Buy upgrade",$C$3:$C5,C6)+COUNTIFS($B$3:$B5,"Hire hunter",$C$3:$C5,C6)+COUNTIFS($B$3:$B5,"Forge/Scrapwork buy",$C$3:$C5,C6))),1),0)),"Can't — need "&amp;TEXT(IFERROR(FLOOR(IFERROR(VLOOKUP(C6,Upgrades!$N$4:$T$47,3,FALSE),0)*(IFERROR(VLOOKUP(C6,Upgrades!$N$4:$T$47,4,FALSE),0)^(COUNTIFS($B$3:$B5,"Buy upgrade",$C$3:$C5,C6)+COUNTIFS($B$3:$B5,"Hire hunter",$C$3:$C5,C6)+COUNTIFS($B$3:$B5,"Forge/Scrapwork buy",$C$3:$C5,C6))),1),0)-J5,"0")&amp;" more scraps",IF(AND(B6="Fight boss",E6="OK",(IF((((105/'Rules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Formulas'!B12)),"WIN — boss down, next Level unlocks",IF(AND(B6="Fight boss",E6="OK"),"LOSE — TTK "&amp;TEXT(IF((((105/'Rules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Formulas'!B20*SQRT(1+0.55*(AG5&gt;=1))),0)))),"0")&amp;"s &gt; patience "&amp;TEXT('Rules &amp; Formulas'!B12,"0")&amp;"s (leave resets HP)",IF(B6="Go AFK","AFK resolved (see AFK counted h)","Applied")))))))))</f>
        <v/>
      </c>
      <c r="G6" s="7">
        <f>IF(AND((E6="OK"),B6="Fight boss",(IF((((105/'Rules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Formulas'!B12),C6="Elder Thornpelt"),2,IF(AND((E6="OK"),B6="Fight boss",(IF((((105/'Rules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Formulas'!B12),C6="Ashfang Alpha"),3,G5))</f>
        <v/>
      </c>
      <c r="H6" s="7">
        <f>MAX(0,H5+IF(AND((E6="OK"),B6="Hunt"),(IF(B6="Hunt",(('Rules &amp; Formulas'!B4*N5*('Rules &amp; Formulas'!B5+O5)*IFERROR(VLOOKUP(C6,Monsters!$T$4:$AH$15,10,FALSE),0)*IFERROR(VLOOKUP(C6,Monsters!$T$4:$AH$15,9,FALSE),0))*'Rules &amp; Formulas'!B6)*IF(D6="",0,D6),0))*(IFERROR(VLOOKUP(C6,Monsters!$T$4:$AH$15,3,FALSE),0))*(1+0.1*AH5)+(IF(OR(B6&lt;&gt;"Hunt",IFERROR(VLOOKUP(C6,Monsters!$T$4:$AH$15,6,FALSE),0)=0),0,FLOOR((IF(B6="Hunt",(('Rules &amp; Formulas'!B4*N5*('Rules &amp; Formulas'!B5+O5)*IFERROR(VLOOKUP(C6,Monsters!$T$4:$AH$15,10,FALSE),0)*IFERROR(VLOOKUP(C6,Monsters!$T$4:$AH$15,9,FALSE),0))*'Rules &amp; Formulas'!B6)*IF(D6="",0,D6),0))/MAX(1,IFERROR(VLOOKUP(C6,Monsters!$T$4:$AH$15,6,FALSE),0)),1)))*(IFERROR(VLOOKUP(C6,Monsters!$T$4:$AH$15,7,FALSE),0))*0.5*(1+0.1*AH5),0)+IF(AND((E6="OK"),B6="Go AFK"),(IF(B6="Go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AFK",IF(D6="",0,D6),0),Z5/60)*60)),0))*(IFERROR(VLOOKUP(C6,Monsters!$T$4:$AH$15,3,FALSE),0))*(1+0.1*AH5)+(IF(OR(B6&lt;&gt;"Go AFK",IFERROR(VLOOKUP(C6,Monsters!$T$4:$AH$15,6,FALSE),0)=0),0,FLOOR((IF(B6="Go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AFK",IF(D6="",0,D6),0),Z5/60)*60)),0))/MAX(1,IFERROR(VLOOKUP(C6,Monsters!$T$4:$AH$15,6,FALSE),0)),1)))*(IFERROR(VLOOKUP(C6,Monsters!$T$4:$AH$15,7,FALSE),0))*0.5*(1+0.1*AH5),0)+IF(AND((E6="OK"),B6="Fight boss",(IF((((105/'Rules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Formulas'!B12)),IFERROR(VLOOKUP(C6,Monsters!$T$4:$AH$15,3,FALSE),0),0)-IF(AND((E6="OK"),OR(B6="Buy upgrade",B6="Forge/Scrapwork buy"),IFERROR(VLOOKUP(C6,Upgrades!$N$4:$T$47,2,FALSE),0)="gold"),IFERROR(FLOOR(IFERROR(VLOOKUP(C6,Upgrades!$N$4:$T$47,3,FALSE),0)*(IFERROR(VLOOKUP(C6,Upgrades!$N$4:$T$47,4,FALSE),0)^(COUNTIFS($B$3:$B5,"Buy upgrade",$C$3:$C5,C6)+COUNTIFS($B$3:$B5,"Hire hunter",$C$3:$C5,C6)+COUNTIFS($B$3:$B5,"Forge/Scrapwork buy",$C$3:$C5,C6))),1),0),0)-IF(AND((E6="OK"),B6="Hire hunter"),IF(C6="Briar",140,IF(C6="Quill",3650,IF(C6="Moss",4850,IF(C6="Ember",12200,0)))),0))</f>
        <v/>
      </c>
      <c r="I6" s="7">
        <f>IF(AND((E6="OK"),B6="Fight boss",(IF((((105/'Rules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Formulas'!B12)),0,MIN(IF(G5&lt;=1,120,IF(G5=2,280,600)),I5+IF(AND((E6="OK"),B6="Hunt"),((IF(B6="Hunt",(('Rules &amp; Formulas'!B4*N5*('Rules &amp; Formulas'!B5+O5)*IFERROR(VLOOKUP(C6,Monsters!$T$4:$AH$15,10,FALSE),0)*IFERROR(VLOOKUP(C6,Monsters!$T$4:$AH$15,9,FALSE),0))*'Rules &amp; Formulas'!B6)*IF(D6="",0,D6),0))*(IFERROR(VLOOKUP(C6,Monsters!$T$4:$AH$15,4,FALSE),0))+(IF(OR(B6&lt;&gt;"Hunt",IFERROR(VLOOKUP(C6,Monsters!$T$4:$AH$15,6,FALSE),0)=0),0,FLOOR((IF(B6="Hunt",(('Rules &amp; Formulas'!B4*N5*('Rules &amp; Formulas'!B5+O5)*IFERROR(VLOOKUP(C6,Monsters!$T$4:$AH$15,10,FALSE),0)*IFERROR(VLOOKUP(C6,Monsters!$T$4:$AH$15,9,FALSE),0))*'Rules &amp; Formulas'!B6)*IF(D6="",0,D6),0))/MAX(1,IFERROR(VLOOKUP(C6,Monsters!$T$4:$AH$15,6,FALSE),0)),1)))*(IFERROR(VLOOKUP(C6,Monsters!$T$4:$AH$15,7,FALSE),0))),0)+IF(AND((E6="OK"),B6="Go AFK"),((IF(B6="Go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AFK",IF(D6="",0,D6),0),Z5/60)*60)),0))*(IFERROR(VLOOKUP(C6,Monsters!$T$4:$AH$15,4,FALSE),0))+(IF(OR(B6&lt;&gt;"Go AFK",IFERROR(VLOOKUP(C6,Monsters!$T$4:$AH$15,6,FALSE),0)=0),0,FLOOR((IF(B6="Go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AFK",IF(D6="",0,D6),0),Z5/60)*60)),0))/MAX(1,IFERROR(VLOOKUP(C6,Monsters!$T$4:$AH$15,6,FALSE),0)),1)))*(IFERROR(VLOOKUP(C6,Monsters!$T$4:$AH$15,7,FALSE),0))),0)))</f>
        <v/>
      </c>
      <c r="J6" s="7">
        <f>MAX(0,J5+IF(AND((E6="OK"),B6="Hunt"),(IF(B6="Hunt",(('Rules &amp; Formulas'!B4*N5*('Rules &amp; Formulas'!B5+O5)*IFERROR(VLOOKUP(C6,Monsters!$T$4:$AH$15,10,FALSE),0)*IFERROR(VLOOKUP(C6,Monsters!$T$4:$AH$15,9,FALSE),0))*'Rules &amp; Formulas'!B6)*IF(D6="",0,D6),0))*(IFERROR(VLOOKUP(C6,Monsters!$T$4:$AH$15,5,FALSE),0)),0)+IF(AND((E6="OK"),B6="Go AFK"),(IF(B6="Go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AFK",IF(D6="",0,D6),0),Z5/60)*60)),0))*(IFERROR(VLOOKUP(C6,Monsters!$T$4:$AH$15,5,FALSE),0)),0)-IF(AND((E6="OK"),OR(B6="Buy upgrade",B6="Forge/Scrapwork buy"),IFERROR(VLOOKUP(C6,Upgrades!$N$4:$T$47,2,FALSE),0)="scraps"),IFERROR(FLOOR(IFERROR(VLOOKUP(C6,Upgrades!$N$4:$T$47,3,FALSE),0)*(IFERROR(VLOOKUP(C6,Upgrades!$N$4:$T$47,4,FALSE),0)^(COUNTIFS($B$3:$B5,"Buy upgrade",$C$3:$C5,C6)+COUNTIFS($B$3:$B5,"Hire hunter",$C$3:$C5,C6)+COUNTIFS($B$3:$B5,"Forge/Scrapwork buy",$C$3:$C5,C6))),1),0),0))</f>
        <v/>
      </c>
      <c r="K6" s="7">
        <f>MAX(0,K5+IF(AND((E6="OK"),B6="Hunt"),IF(C6="Thornpelt Bear",(IF(B6="Hunt",(('Rules &amp; Formulas'!B4*N5*('Rules &amp; Formulas'!B5+O5)*IFERROR(VLOOKUP(C6,Monsters!$T$4:$AH$15,10,FALSE),0)*IFERROR(VLOOKUP(C6,Monsters!$T$4:$AH$15,9,FALSE),0))*'Rules &amp; Formulas'!B6)*IF(D6="",0,D6),0))*0.12,0),0)+IF(AND((E6="OK"),B6="Go AFK"),IF(C6="Thornpelt Bear",(IF(B6="Go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AFK",IF(D6="",0,D6),0),Z5/60)*60)),0))*0.12,0),0))</f>
        <v/>
      </c>
      <c r="L6" s="7">
        <f>MAX(0,L5+IF(AND((E6="OK"),B6="Hunt"),IF(C6="Dire Thornpelt",(IF(B6="Hunt",(('Rules &amp; Formulas'!B4*N5*('Rules &amp; Formulas'!B5+O5)*IFERROR(VLOOKUP(C6,Monsters!$T$4:$AH$15,10,FALSE),0)*IFERROR(VLOOKUP(C6,Monsters!$T$4:$AH$15,9,FALSE),0))*'Rules &amp; Formulas'!B6)*IF(D6="",0,D6),0))*0.1,0),0)+IF(AND((E6="OK"),B6="Go AFK"),IF(C6="Dire Thornpelt",(IF(B6="Go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AFK",IF(D6="",0,D6),0),Z5/60)*60)),0))*0.1,0),0))</f>
        <v/>
      </c>
      <c r="M6" s="7">
        <f>IF(AND((E6="OK"),B6="Go AFK"),MAX(0,MIN(('Rules &amp; Formulas'!B15+25*AJ5),M5+('Rules &amp; Formulas'!B14+0.4*AJ5)*(MIN(IF(B6="Go AFK",IF(D6="",0,D6),0),Z5/60)*60))-(IF(B6="Go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AFK",IF(D6="",0,D6),0),Z5/60)*60)),0))*(IF((IFERROR(VLOOKUP(C6,Monsters!$T$4:$AH$15,8,FALSE),0))=0,0.35,IFERROR(VLOOKUP(C6,Monsters!$T$4:$AH$15,8,FALSE),0))/(1+0.08*AK5))),MIN(('Rules &amp; Formulas'!B15+25*AJ6),M5))</f>
        <v/>
      </c>
      <c r="N6" s="7">
        <f>(1+0.08+0.12*AA6+0.12*AB6+0.16*AC6)</f>
        <v/>
      </c>
      <c r="O6" s="7">
        <f>((AD6&gt;=1)*1*(1+0.3*AE6))</f>
        <v/>
      </c>
      <c r="P6" s="7">
        <f>IF(OR(B6="Hunt",B6="Go AFK"),(('Rules &amp; Formulas'!B4*N5*('Rules &amp; Formulas'!B5+O5)*IFERROR(VLOOKUP(C6,Monsters!$T$4:$AH$15,10,FALSE),0)*IFERROR(VLOOKUP(C6,Monsters!$T$4:$AH$15,9,FALSE),0))*'Rules &amp; Formulas'!B6),"")</f>
        <v/>
      </c>
      <c r="Q6" s="7">
        <f>IF(OR(B6="Hunt",B6="Go AFK"),('Rules &amp; Formulas'!B4*N5*('Rules &amp; Formulas'!B5+O5)*IFERROR(VLOOKUP(C6,Monsters!$T$4:$AH$15,10,FALSE),0)*IFERROR(VLOOKUP(C6,Monsters!$T$4:$AH$15,9,FALSE),0)),"")</f>
        <v/>
      </c>
      <c r="R6" s="7">
        <f>IF(AND((E6="OK"),B6="Hunt"),IF(B6="Hunt",(('Rules &amp; Formulas'!B4*N5*('Rules &amp; Formulas'!B5+O5)*IFERROR(VLOOKUP(C6,Monsters!$T$4:$AH$15,10,FALSE),0)*IFERROR(VLOOKUP(C6,Monsters!$T$4:$AH$15,9,FALSE),0))*'Rules &amp; Formulas'!B6)*IF(D6="",0,D6),0),IF(AND((E6="OK"),B6="Go AFK"),IF(B6="Go AFK",MIN(IF((IF((IFERROR(VLOOKUP(C6,Monsters!$T$4:$AH$15,8,FALSE),0))=0,0.35,IFERROR(VLOOKUP(C6,Monsters!$T$4:$AH$15,8,FALSE),0))/(1+0.08*AK5))&lt;=0,999999,FLOOR(MIN(('Rules &amp; Formulas'!B15+25*AJ5),M5+('Rules &amp; Formulas'!B14+0.4*AJ5)*(MIN(IF(B6="Go AFK",IF(D6="",0,D6),0),Z5/60)*60))/(IF((IFERROR(VLOOKUP(C6,Monsters!$T$4:$AH$15,8,FALSE),0))=0,0.35,IFERROR(VLOOKUP(C6,Monsters!$T$4:$AH$15,8,FALSE),0))/(1+0.08*AK5)),1)),('Rules &amp; Formulas'!B4*N5*('Rules &amp; Formulas'!B5+O5)*IFERROR(VLOOKUP(C6,Monsters!$T$4:$AH$15,10,FALSE),0)*IFERROR(VLOOKUP(C6,Monsters!$T$4:$AH$15,9,FALSE),0))*(MIN(IF(B6="Go AFK",IF(D6="",0,D6),0),Z5/60)*60)),0),0))</f>
        <v/>
      </c>
      <c r="S6" s="7">
        <f>(105/'Rules &amp; Formulas'!B10)*'Rules &amp; Formulas'!B11</f>
        <v/>
      </c>
      <c r="T6" s="7">
        <f>IF(AD5&gt;=1,(MAX(1,ROUND('Rules &amp; Formulas'!B18*(1+0.3*AE5)*(1+0.4*AF5),0)))*(1000/'Rules &amp; Formulas'!B19)*MIN(0.95,'Rules &amp; Formulas'!B20*SQRT(1+0.55*(AG5&gt;=1))),0)</f>
        <v/>
      </c>
      <c r="U6" s="7">
        <f>S6+T6</f>
        <v/>
      </c>
      <c r="V6" s="7">
        <f>IF(I5&gt;=IF((IFERROR(VLOOKUP(C6,Monsters!$T$4:$AH$15,15,FALSE),0))=0,120,IFERROR(VLOOKUP(C6,Monsters!$T$4:$AH$15,15,FALSE),0)),"YES","no")</f>
        <v/>
      </c>
      <c r="W6" s="7">
        <f>IF(AND(B6="Fight boss",E6="OK"),IF((((105/'Rules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Formulas'!B20*SQRT(1+0.55*(AG5&gt;=1))),0)))),"")</f>
        <v/>
      </c>
      <c r="X6" s="7">
        <f>IF(AND(B6="Fight boss",E6="OK"),IF((IF((((105/'Rules &amp; Formulas'!B10)*'Rules &amp; Formulas'!B11+IF(AD5&gt;=1,(MAX(1,ROUND('Rules &amp; Formulas'!B18*(1+0.3*AE5)*(1+0.4*AF5),0)))*(1000/'Rules &amp; Formulas'!B19)*MIN(0.95,'Rules &amp; Formulas'!B20*SQRT(1+0.55*(AG5&gt;=1))),0)))&lt;=0,9999,(IFERROR(VLOOKUP(C6,Monsters!$T$4:$AH$15,2,FALSE),0))/(((105/'Rules &amp; Formulas'!B10)*'Rules &amp; Formulas'!B11+IF(AD5&gt;=1,(MAX(1,ROUND('Rules &amp; Formulas'!B18*(1+0.3*AE5)*(1+0.4*AF5),0)))*(1000/'Rules &amp; Formulas'!B19)*MIN(0.95,'Rules &amp; Formulas'!B20*SQRT(1+0.55*(AG5&gt;=1))),0))))&lt;='Rules &amp; Formulas'!B12),"WIN","LOSE"),"")</f>
        <v/>
      </c>
      <c r="Y6" s="7">
        <f>IF(B6="Go AFK",MIN(IF(B6="Go AFK",IF(D6="",0,D6),0),Z5/60),"")</f>
        <v/>
      </c>
      <c r="Z6" s="7">
        <f>('Rules &amp; Formulas'!B13+30*AI6)</f>
        <v/>
      </c>
      <c r="AA6">
        <f>COUNTIFS($B$3:$B6,"Buy upgrade",$C$3:$C6,"Idle Power")</f>
        <v/>
      </c>
      <c r="AB6">
        <f>COUNTIFS($B$3:$B6,"Buy upgrade",$C$3:$C6,"Iron Blade")</f>
        <v/>
      </c>
      <c r="AC6">
        <f>COUNTIFS($B$3:$B6,"Buy upgrade",$C$3:$C6,"Steel Blade")</f>
        <v/>
      </c>
      <c r="AD6">
        <f>COUNTIFS($B$3:$B6,"Hire hunter",$C$3:$C6,"Briar")+COUNTIFS($B$3:$B6,"Buy upgrade",$C$3:$C6,"Hire Briar")</f>
        <v/>
      </c>
      <c r="AE6">
        <f>COUNTIFS($B$3:$B6,"Buy upgrade",$C$3:$C6,"Hunter Power")</f>
        <v/>
      </c>
      <c r="AF6">
        <f>COUNTIFS($B$3:$B6,"Buy upgrade",$C$3:$C6,"Bigger Hits")</f>
        <v/>
      </c>
      <c r="AG6">
        <f>COUNTIFS($B$3:$B6,"Buy upgrade",$C$3:$C6,"Swift Walk")</f>
        <v/>
      </c>
      <c r="AH6">
        <f>COUNTIFS($B$3:$B6,"Buy upgrade",$C$3:$C6,"Loot Luck")</f>
        <v/>
      </c>
      <c r="AI6">
        <f>COUNTIFS($B$3:$B6,"Buy upgrade",$C$3:$C6,"Offline Cap")</f>
        <v/>
      </c>
      <c r="AJ6">
        <f>COUNTIFS($B$3:$B6,"Buy upgrade",$C$3:$C6,"Bigger Food Stock")</f>
        <v/>
      </c>
      <c r="AK6">
        <f>COUNTIFS($B$3:$B6,"Buy upgrade",$C$3:$C6,"Food Efficiency")</f>
        <v/>
      </c>
    </row>
    <row r="7">
      <c r="A7" t="n">
        <v>5</v>
      </c>
      <c r="B7" s="6" t="inlineStr">
        <is>
          <t>Buy upgrade</t>
        </is>
      </c>
      <c r="C7" s="6" t="inlineStr">
        <is>
          <t>Loot Luck</t>
        </is>
      </c>
      <c r="D7" s="6" t="n"/>
      <c r="E7" s="7">
        <f>IF(B7="","",IF(OR(B7="Hunt",B7="Go AFK"),IF(C7="","Can't","OK"),IF(B7="Fight boss",IF(I6&lt;IF((IFERROR(VLOOKUP(C7,Monsters!$T$4:$AH$15,15,FALSE),0))=0,120,IFERROR(VLOOKUP(C7,Monsters!$T$4:$AH$15,15,FALSE),0)),"Can't","OK"),IF(B7="Hire hunter",IF(AND(C7="Briar",AD6&gt;=1),"Can't",IF(H6&lt;IF(C7="Briar",140,IF(C7="Quill",3650,IF(C7="Moss",4850,IF(C7="Ember",12200,0)))),"Can't","OK")),IF(OR(B7="Buy upgrade",B7="Forge/Scrapwork buy"),IF(IFERROR(VLOOKUP(C7,Upgrades!$N$4:$T$47,2,FALSE),0)="points","Can't",IF(IFERROR(VLOOKUP(C7,Upgrades!$N$4:$T$47,2,FALSE),0)="gold",IF(H6&lt;IFERROR(FLOOR(IFERROR(VLOOKUP(C7,Upgrades!$N$4:$T$47,3,FALSE),0)*(IFERROR(VLOOKUP(C7,Upgrades!$N$4:$T$47,4,FALSE),0)^(COUNTIFS($B$3:$B6,"Buy upgrade",$C$3:$C6,C7)+COUNTIFS($B$3:$B6,"Hire hunter",$C$3:$C6,C7)+COUNTIFS($B$3:$B6,"Forge/Scrapwork buy",$C$3:$C6,C7))),1),0),"Can't","OK"),IF(IFERROR(VLOOKUP(C7,Upgrades!$N$4:$T$47,2,FALSE),0)="scraps",IF(J6&lt;IFERROR(FLOOR(IFERROR(VLOOKUP(C7,Upgrades!$N$4:$T$47,3,FALSE),0)*(IFERROR(VLOOKUP(C7,Upgrades!$N$4:$T$47,4,FALSE),0)^(COUNTIFS($B$3:$B6,"Buy upgrade",$C$3:$C6,C7)+COUNTIFS($B$3:$B6,"Hire hunter",$C$3:$C6,C7)+COUNTIFS($B$3:$B6,"Forge/Scrapwork buy",$C$3:$C6,C7))),1),0),"Can't","OK"),IF(IFERROR(VLOOKUP(C7,Upgrades!$N$4:$T$47,2,FALSE),0)="mats","Can't","OK")))),"Check")))))</f>
        <v/>
      </c>
      <c r="F7" s="7">
        <f>IF(B7="","",IF(AND(B7="Fight boss",I6&lt;IF((IFERROR(VLOOKUP(C7,Monsters!$T$4:$AH$15,15,FALSE),0))=0,120,IFERROR(VLOOKUP(C7,Monsters!$T$4:$AH$15,15,FALSE),0))),"Can't — need "&amp;TEXT(IF((IFERROR(VLOOKUP(C7,Monsters!$T$4:$AH$15,15,FALSE),0))=0,120,IFERROR(VLOOKUP(C7,Monsters!$T$4:$AH$15,15,FALSE),0))-I6,"0.0")&amp;" more Slayer points on the meter",IF(AND(B7="Hire hunter",C7="Briar",AD6&gt;=1),"Can't — already hired",IF(AND(B7="Hire hunter",H6&lt;IF(C7="Briar",140,IF(C7="Quill",3650,IF(C7="Moss",4850,IF(C7="Ember",12200,0))))),"Can't — need "&amp;TEXT(IF(C7="Briar",140,IF(C7="Quill",3650,IF(C7="Moss",4850,IF(C7="Ember",12200,0))))-H6,"0")&amp;" more gold",IF(AND(OR(B7="Buy upgrade",B7="Forge/Scrapwork buy"),IFERROR(VLOOKUP(C7,Upgrades!$N$4:$T$47,2,FALSE),0)="points"),"Can't — Sp-wallet spends not tracked here",IF(AND(OR(B7="Buy upgrade",B7="Forge/Scrapwork buy"),IFERROR(VLOOKUP(C7,Upgrades!$N$4:$T$47,2,FALSE),0)="gold",H6&lt;IFERROR(FLOOR(IFERROR(VLOOKUP(C7,Upgrades!$N$4:$T$47,3,FALSE),0)*(IFERROR(VLOOKUP(C7,Upgrades!$N$4:$T$47,4,FALSE),0)^(COUNTIFS($B$3:$B6,"Buy upgrade",$C$3:$C6,C7)+COUNTIFS($B$3:$B6,"Hire hunter",$C$3:$C6,C7)+COUNTIFS($B$3:$B6,"Forge/Scrapwork buy",$C$3:$C6,C7))),1),0)),"Can't — need "&amp;TEXT(IFERROR(FLOOR(IFERROR(VLOOKUP(C7,Upgrades!$N$4:$T$47,3,FALSE),0)*(IFERROR(VLOOKUP(C7,Upgrades!$N$4:$T$47,4,FALSE),0)^(COUNTIFS($B$3:$B6,"Buy upgrade",$C$3:$C6,C7)+COUNTIFS($B$3:$B6,"Hire hunter",$C$3:$C6,C7)+COUNTIFS($B$3:$B6,"Forge/Scrapwork buy",$C$3:$C6,C7))),1),0)-H6,"0")&amp;" more gold",IF(AND(OR(B7="Buy upgrade",B7="Forge/Scrapwork buy"),IFERROR(VLOOKUP(C7,Upgrades!$N$4:$T$47,2,FALSE),0)="scraps",J6&lt;IFERROR(FLOOR(IFERROR(VLOOKUP(C7,Upgrades!$N$4:$T$47,3,FALSE),0)*(IFERROR(VLOOKUP(C7,Upgrades!$N$4:$T$47,4,FALSE),0)^(COUNTIFS($B$3:$B6,"Buy upgrade",$C$3:$C6,C7)+COUNTIFS($B$3:$B6,"Hire hunter",$C$3:$C6,C7)+COUNTIFS($B$3:$B6,"Forge/Scrapwork buy",$C$3:$C6,C7))),1),0)),"Can't — need "&amp;TEXT(IFERROR(FLOOR(IFERROR(VLOOKUP(C7,Upgrades!$N$4:$T$47,3,FALSE),0)*(IFERROR(VLOOKUP(C7,Upgrades!$N$4:$T$47,4,FALSE),0)^(COUNTIFS($B$3:$B6,"Buy upgrade",$C$3:$C6,C7)+COUNTIFS($B$3:$B6,"Hire hunter",$C$3:$C6,C7)+COUNTIFS($B$3:$B6,"Forge/Scrapwork buy",$C$3:$C6,C7))),1),0)-J6,"0")&amp;" more scraps",IF(AND(B7="Fight boss",E7="OK",(IF((((105/'Rules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Formulas'!B12)),"WIN — boss down, next Level unlocks",IF(AND(B7="Fight boss",E7="OK"),"LOSE — TTK "&amp;TEXT(IF((((105/'Rules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Formulas'!B20*SQRT(1+0.55*(AG6&gt;=1))),0)))),"0")&amp;"s &gt; patience "&amp;TEXT('Rules &amp; Formulas'!B12,"0")&amp;"s (leave resets HP)",IF(B7="Go AFK","AFK resolved (see AFK counted h)","Applied")))))))))</f>
        <v/>
      </c>
      <c r="G7" s="7">
        <f>IF(AND((E7="OK"),B7="Fight boss",(IF((((105/'Rules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Formulas'!B12),C7="Elder Thornpelt"),2,IF(AND((E7="OK"),B7="Fight boss",(IF((((105/'Rules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Formulas'!B12),C7="Ashfang Alpha"),3,G6))</f>
        <v/>
      </c>
      <c r="H7" s="7">
        <f>MAX(0,H6+IF(AND((E7="OK"),B7="Hunt"),(IF(B7="Hunt",(('Rules &amp; Formulas'!B4*N6*('Rules &amp; Formulas'!B5+O6)*IFERROR(VLOOKUP(C7,Monsters!$T$4:$AH$15,10,FALSE),0)*IFERROR(VLOOKUP(C7,Monsters!$T$4:$AH$15,9,FALSE),0))*'Rules &amp; Formulas'!B6)*IF(D7="",0,D7),0))*(IFERROR(VLOOKUP(C7,Monsters!$T$4:$AH$15,3,FALSE),0))*(1+0.1*AH6)+(IF(OR(B7&lt;&gt;"Hunt",IFERROR(VLOOKUP(C7,Monsters!$T$4:$AH$15,6,FALSE),0)=0),0,FLOOR((IF(B7="Hunt",(('Rules &amp; Formulas'!B4*N6*('Rules &amp; Formulas'!B5+O6)*IFERROR(VLOOKUP(C7,Monsters!$T$4:$AH$15,10,FALSE),0)*IFERROR(VLOOKUP(C7,Monsters!$T$4:$AH$15,9,FALSE),0))*'Rules &amp; Formulas'!B6)*IF(D7="",0,D7),0))/MAX(1,IFERROR(VLOOKUP(C7,Monsters!$T$4:$AH$15,6,FALSE),0)),1)))*(IFERROR(VLOOKUP(C7,Monsters!$T$4:$AH$15,7,FALSE),0))*0.5*(1+0.1*AH6),0)+IF(AND((E7="OK"),B7="Go AFK"),(IF(B7="Go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AFK",IF(D7="",0,D7),0),Z6/60)*60)),0))*(IFERROR(VLOOKUP(C7,Monsters!$T$4:$AH$15,3,FALSE),0))*(1+0.1*AH6)+(IF(OR(B7&lt;&gt;"Go AFK",IFERROR(VLOOKUP(C7,Monsters!$T$4:$AH$15,6,FALSE),0)=0),0,FLOOR((IF(B7="Go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AFK",IF(D7="",0,D7),0),Z6/60)*60)),0))/MAX(1,IFERROR(VLOOKUP(C7,Monsters!$T$4:$AH$15,6,FALSE),0)),1)))*(IFERROR(VLOOKUP(C7,Monsters!$T$4:$AH$15,7,FALSE),0))*0.5*(1+0.1*AH6),0)+IF(AND((E7="OK"),B7="Fight boss",(IF((((105/'Rules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Formulas'!B12)),IFERROR(VLOOKUP(C7,Monsters!$T$4:$AH$15,3,FALSE),0),0)-IF(AND((E7="OK"),OR(B7="Buy upgrade",B7="Forge/Scrapwork buy"),IFERROR(VLOOKUP(C7,Upgrades!$N$4:$T$47,2,FALSE),0)="gold"),IFERROR(FLOOR(IFERROR(VLOOKUP(C7,Upgrades!$N$4:$T$47,3,FALSE),0)*(IFERROR(VLOOKUP(C7,Upgrades!$N$4:$T$47,4,FALSE),0)^(COUNTIFS($B$3:$B6,"Buy upgrade",$C$3:$C6,C7)+COUNTIFS($B$3:$B6,"Hire hunter",$C$3:$C6,C7)+COUNTIFS($B$3:$B6,"Forge/Scrapwork buy",$C$3:$C6,C7))),1),0),0)-IF(AND((E7="OK"),B7="Hire hunter"),IF(C7="Briar",140,IF(C7="Quill",3650,IF(C7="Moss",4850,IF(C7="Ember",12200,0)))),0))</f>
        <v/>
      </c>
      <c r="I7" s="7">
        <f>IF(AND((E7="OK"),B7="Fight boss",(IF((((105/'Rules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Formulas'!B12)),0,MIN(IF(G6&lt;=1,120,IF(G6=2,280,600)),I6+IF(AND((E7="OK"),B7="Hunt"),((IF(B7="Hunt",(('Rules &amp; Formulas'!B4*N6*('Rules &amp; Formulas'!B5+O6)*IFERROR(VLOOKUP(C7,Monsters!$T$4:$AH$15,10,FALSE),0)*IFERROR(VLOOKUP(C7,Monsters!$T$4:$AH$15,9,FALSE),0))*'Rules &amp; Formulas'!B6)*IF(D7="",0,D7),0))*(IFERROR(VLOOKUP(C7,Monsters!$T$4:$AH$15,4,FALSE),0))+(IF(OR(B7&lt;&gt;"Hunt",IFERROR(VLOOKUP(C7,Monsters!$T$4:$AH$15,6,FALSE),0)=0),0,FLOOR((IF(B7="Hunt",(('Rules &amp; Formulas'!B4*N6*('Rules &amp; Formulas'!B5+O6)*IFERROR(VLOOKUP(C7,Monsters!$T$4:$AH$15,10,FALSE),0)*IFERROR(VLOOKUP(C7,Monsters!$T$4:$AH$15,9,FALSE),0))*'Rules &amp; Formulas'!B6)*IF(D7="",0,D7),0))/MAX(1,IFERROR(VLOOKUP(C7,Monsters!$T$4:$AH$15,6,FALSE),0)),1)))*(IFERROR(VLOOKUP(C7,Monsters!$T$4:$AH$15,7,FALSE),0))),0)+IF(AND((E7="OK"),B7="Go AFK"),((IF(B7="Go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AFK",IF(D7="",0,D7),0),Z6/60)*60)),0))*(IFERROR(VLOOKUP(C7,Monsters!$T$4:$AH$15,4,FALSE),0))+(IF(OR(B7&lt;&gt;"Go AFK",IFERROR(VLOOKUP(C7,Monsters!$T$4:$AH$15,6,FALSE),0)=0),0,FLOOR((IF(B7="Go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AFK",IF(D7="",0,D7),0),Z6/60)*60)),0))/MAX(1,IFERROR(VLOOKUP(C7,Monsters!$T$4:$AH$15,6,FALSE),0)),1)))*(IFERROR(VLOOKUP(C7,Monsters!$T$4:$AH$15,7,FALSE),0))),0)))</f>
        <v/>
      </c>
      <c r="J7" s="7">
        <f>MAX(0,J6+IF(AND((E7="OK"),B7="Hunt"),(IF(B7="Hunt",(('Rules &amp; Formulas'!B4*N6*('Rules &amp; Formulas'!B5+O6)*IFERROR(VLOOKUP(C7,Monsters!$T$4:$AH$15,10,FALSE),0)*IFERROR(VLOOKUP(C7,Monsters!$T$4:$AH$15,9,FALSE),0))*'Rules &amp; Formulas'!B6)*IF(D7="",0,D7),0))*(IFERROR(VLOOKUP(C7,Monsters!$T$4:$AH$15,5,FALSE),0)),0)+IF(AND((E7="OK"),B7="Go AFK"),(IF(B7="Go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AFK",IF(D7="",0,D7),0),Z6/60)*60)),0))*(IFERROR(VLOOKUP(C7,Monsters!$T$4:$AH$15,5,FALSE),0)),0)-IF(AND((E7="OK"),OR(B7="Buy upgrade",B7="Forge/Scrapwork buy"),IFERROR(VLOOKUP(C7,Upgrades!$N$4:$T$47,2,FALSE),0)="scraps"),IFERROR(FLOOR(IFERROR(VLOOKUP(C7,Upgrades!$N$4:$T$47,3,FALSE),0)*(IFERROR(VLOOKUP(C7,Upgrades!$N$4:$T$47,4,FALSE),0)^(COUNTIFS($B$3:$B6,"Buy upgrade",$C$3:$C6,C7)+COUNTIFS($B$3:$B6,"Hire hunter",$C$3:$C6,C7)+COUNTIFS($B$3:$B6,"Forge/Scrapwork buy",$C$3:$C6,C7))),1),0),0))</f>
        <v/>
      </c>
      <c r="K7" s="7">
        <f>MAX(0,K6+IF(AND((E7="OK"),B7="Hunt"),IF(C7="Thornpelt Bear",(IF(B7="Hunt",(('Rules &amp; Formulas'!B4*N6*('Rules &amp; Formulas'!B5+O6)*IFERROR(VLOOKUP(C7,Monsters!$T$4:$AH$15,10,FALSE),0)*IFERROR(VLOOKUP(C7,Monsters!$T$4:$AH$15,9,FALSE),0))*'Rules &amp; Formulas'!B6)*IF(D7="",0,D7),0))*0.12,0),0)+IF(AND((E7="OK"),B7="Go AFK"),IF(C7="Thornpelt Bear",(IF(B7="Go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AFK",IF(D7="",0,D7),0),Z6/60)*60)),0))*0.12,0),0))</f>
        <v/>
      </c>
      <c r="L7" s="7">
        <f>MAX(0,L6+IF(AND((E7="OK"),B7="Hunt"),IF(C7="Dire Thornpelt",(IF(B7="Hunt",(('Rules &amp; Formulas'!B4*N6*('Rules &amp; Formulas'!B5+O6)*IFERROR(VLOOKUP(C7,Monsters!$T$4:$AH$15,10,FALSE),0)*IFERROR(VLOOKUP(C7,Monsters!$T$4:$AH$15,9,FALSE),0))*'Rules &amp; Formulas'!B6)*IF(D7="",0,D7),0))*0.1,0),0)+IF(AND((E7="OK"),B7="Go AFK"),IF(C7="Dire Thornpelt",(IF(B7="Go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AFK",IF(D7="",0,D7),0),Z6/60)*60)),0))*0.1,0),0))</f>
        <v/>
      </c>
      <c r="M7" s="7">
        <f>IF(AND((E7="OK"),B7="Go AFK"),MAX(0,MIN(('Rules &amp; Formulas'!B15+25*AJ6),M6+('Rules &amp; Formulas'!B14+0.4*AJ6)*(MIN(IF(B7="Go AFK",IF(D7="",0,D7),0),Z6/60)*60))-(IF(B7="Go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AFK",IF(D7="",0,D7),0),Z6/60)*60)),0))*(IF((IFERROR(VLOOKUP(C7,Monsters!$T$4:$AH$15,8,FALSE),0))=0,0.35,IFERROR(VLOOKUP(C7,Monsters!$T$4:$AH$15,8,FALSE),0))/(1+0.08*AK6))),MIN(('Rules &amp; Formulas'!B15+25*AJ7),M6))</f>
        <v/>
      </c>
      <c r="N7" s="7">
        <f>(1+0.08+0.12*AA7+0.12*AB7+0.16*AC7)</f>
        <v/>
      </c>
      <c r="O7" s="7">
        <f>((AD7&gt;=1)*1*(1+0.3*AE7))</f>
        <v/>
      </c>
      <c r="P7" s="7">
        <f>IF(OR(B7="Hunt",B7="Go AFK"),(('Rules &amp; Formulas'!B4*N6*('Rules &amp; Formulas'!B5+O6)*IFERROR(VLOOKUP(C7,Monsters!$T$4:$AH$15,10,FALSE),0)*IFERROR(VLOOKUP(C7,Monsters!$T$4:$AH$15,9,FALSE),0))*'Rules &amp; Formulas'!B6),"")</f>
        <v/>
      </c>
      <c r="Q7" s="7">
        <f>IF(OR(B7="Hunt",B7="Go AFK"),('Rules &amp; Formulas'!B4*N6*('Rules &amp; Formulas'!B5+O6)*IFERROR(VLOOKUP(C7,Monsters!$T$4:$AH$15,10,FALSE),0)*IFERROR(VLOOKUP(C7,Monsters!$T$4:$AH$15,9,FALSE),0)),"")</f>
        <v/>
      </c>
      <c r="R7" s="7">
        <f>IF(AND((E7="OK"),B7="Hunt"),IF(B7="Hunt",(('Rules &amp; Formulas'!B4*N6*('Rules &amp; Formulas'!B5+O6)*IFERROR(VLOOKUP(C7,Monsters!$T$4:$AH$15,10,FALSE),0)*IFERROR(VLOOKUP(C7,Monsters!$T$4:$AH$15,9,FALSE),0))*'Rules &amp; Formulas'!B6)*IF(D7="",0,D7),0),IF(AND((E7="OK"),B7="Go AFK"),IF(B7="Go AFK",MIN(IF((IF((IFERROR(VLOOKUP(C7,Monsters!$T$4:$AH$15,8,FALSE),0))=0,0.35,IFERROR(VLOOKUP(C7,Monsters!$T$4:$AH$15,8,FALSE),0))/(1+0.08*AK6))&lt;=0,999999,FLOOR(MIN(('Rules &amp; Formulas'!B15+25*AJ6),M6+('Rules &amp; Formulas'!B14+0.4*AJ6)*(MIN(IF(B7="Go AFK",IF(D7="",0,D7),0),Z6/60)*60))/(IF((IFERROR(VLOOKUP(C7,Monsters!$T$4:$AH$15,8,FALSE),0))=0,0.35,IFERROR(VLOOKUP(C7,Monsters!$T$4:$AH$15,8,FALSE),0))/(1+0.08*AK6)),1)),('Rules &amp; Formulas'!B4*N6*('Rules &amp; Formulas'!B5+O6)*IFERROR(VLOOKUP(C7,Monsters!$T$4:$AH$15,10,FALSE),0)*IFERROR(VLOOKUP(C7,Monsters!$T$4:$AH$15,9,FALSE),0))*(MIN(IF(B7="Go AFK",IF(D7="",0,D7),0),Z6/60)*60)),0),0))</f>
        <v/>
      </c>
      <c r="S7" s="7">
        <f>(105/'Rules &amp; Formulas'!B10)*'Rules &amp; Formulas'!B11</f>
        <v/>
      </c>
      <c r="T7" s="7">
        <f>IF(AD6&gt;=1,(MAX(1,ROUND('Rules &amp; Formulas'!B18*(1+0.3*AE6)*(1+0.4*AF6),0)))*(1000/'Rules &amp; Formulas'!B19)*MIN(0.95,'Rules &amp; Formulas'!B20*SQRT(1+0.55*(AG6&gt;=1))),0)</f>
        <v/>
      </c>
      <c r="U7" s="7">
        <f>S7+T7</f>
        <v/>
      </c>
      <c r="V7" s="7">
        <f>IF(I6&gt;=IF((IFERROR(VLOOKUP(C7,Monsters!$T$4:$AH$15,15,FALSE),0))=0,120,IFERROR(VLOOKUP(C7,Monsters!$T$4:$AH$15,15,FALSE),0)),"YES","no")</f>
        <v/>
      </c>
      <c r="W7" s="7">
        <f>IF(AND(B7="Fight boss",E7="OK"),IF((((105/'Rules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Formulas'!B20*SQRT(1+0.55*(AG6&gt;=1))),0)))),"")</f>
        <v/>
      </c>
      <c r="X7" s="7">
        <f>IF(AND(B7="Fight boss",E7="OK"),IF((IF((((105/'Rules &amp; Formulas'!B10)*'Rules &amp; Formulas'!B11+IF(AD6&gt;=1,(MAX(1,ROUND('Rules &amp; Formulas'!B18*(1+0.3*AE6)*(1+0.4*AF6),0)))*(1000/'Rules &amp; Formulas'!B19)*MIN(0.95,'Rules &amp; Formulas'!B20*SQRT(1+0.55*(AG6&gt;=1))),0)))&lt;=0,9999,(IFERROR(VLOOKUP(C7,Monsters!$T$4:$AH$15,2,FALSE),0))/(((105/'Rules &amp; Formulas'!B10)*'Rules &amp; Formulas'!B11+IF(AD6&gt;=1,(MAX(1,ROUND('Rules &amp; Formulas'!B18*(1+0.3*AE6)*(1+0.4*AF6),0)))*(1000/'Rules &amp; Formulas'!B19)*MIN(0.95,'Rules &amp; Formulas'!B20*SQRT(1+0.55*(AG6&gt;=1))),0))))&lt;='Rules &amp; Formulas'!B12),"WIN","LOSE"),"")</f>
        <v/>
      </c>
      <c r="Y7" s="7">
        <f>IF(B7="Go AFK",MIN(IF(B7="Go AFK",IF(D7="",0,D7),0),Z6/60),"")</f>
        <v/>
      </c>
      <c r="Z7" s="7">
        <f>('Rules &amp; Formulas'!B13+30*AI7)</f>
        <v/>
      </c>
      <c r="AA7">
        <f>COUNTIFS($B$3:$B7,"Buy upgrade",$C$3:$C7,"Idle Power")</f>
        <v/>
      </c>
      <c r="AB7">
        <f>COUNTIFS($B$3:$B7,"Buy upgrade",$C$3:$C7,"Iron Blade")</f>
        <v/>
      </c>
      <c r="AC7">
        <f>COUNTIFS($B$3:$B7,"Buy upgrade",$C$3:$C7,"Steel Blade")</f>
        <v/>
      </c>
      <c r="AD7">
        <f>COUNTIFS($B$3:$B7,"Hire hunter",$C$3:$C7,"Briar")+COUNTIFS($B$3:$B7,"Buy upgrade",$C$3:$C7,"Hire Briar")</f>
        <v/>
      </c>
      <c r="AE7">
        <f>COUNTIFS($B$3:$B7,"Buy upgrade",$C$3:$C7,"Hunter Power")</f>
        <v/>
      </c>
      <c r="AF7">
        <f>COUNTIFS($B$3:$B7,"Buy upgrade",$C$3:$C7,"Bigger Hits")</f>
        <v/>
      </c>
      <c r="AG7">
        <f>COUNTIFS($B$3:$B7,"Buy upgrade",$C$3:$C7,"Swift Walk")</f>
        <v/>
      </c>
      <c r="AH7">
        <f>COUNTIFS($B$3:$B7,"Buy upgrade",$C$3:$C7,"Loot Luck")</f>
        <v/>
      </c>
      <c r="AI7">
        <f>COUNTIFS($B$3:$B7,"Buy upgrade",$C$3:$C7,"Offline Cap")</f>
        <v/>
      </c>
      <c r="AJ7">
        <f>COUNTIFS($B$3:$B7,"Buy upgrade",$C$3:$C7,"Bigger Food Stock")</f>
        <v/>
      </c>
      <c r="AK7">
        <f>COUNTIFS($B$3:$B7,"Buy upgrade",$C$3:$C7,"Food Efficiency")</f>
        <v/>
      </c>
    </row>
    <row r="8">
      <c r="A8" t="n">
        <v>6</v>
      </c>
      <c r="B8" s="6" t="inlineStr">
        <is>
          <t>Buy upgrade</t>
        </is>
      </c>
      <c r="C8" s="6" t="inlineStr">
        <is>
          <t>Bigger Food Stock</t>
        </is>
      </c>
      <c r="D8" s="6" t="n"/>
      <c r="E8" s="7">
        <f>IF(B8="","",IF(OR(B8="Hunt",B8="Go AFK"),IF(C8="","Can't","OK"),IF(B8="Fight boss",IF(I7&lt;IF((IFERROR(VLOOKUP(C8,Monsters!$T$4:$AH$15,15,FALSE),0))=0,120,IFERROR(VLOOKUP(C8,Monsters!$T$4:$AH$15,15,FALSE),0)),"Can't","OK"),IF(B8="Hire hunter",IF(AND(C8="Briar",AD7&gt;=1),"Can't",IF(H7&lt;IF(C8="Briar",140,IF(C8="Quill",3650,IF(C8="Moss",4850,IF(C8="Ember",12200,0)))),"Can't","OK")),IF(OR(B8="Buy upgrade",B8="Forge/Scrapwork buy"),IF(IFERROR(VLOOKUP(C8,Upgrades!$N$4:$T$47,2,FALSE),0)="points","Can't",IF(IFERROR(VLOOKUP(C8,Upgrades!$N$4:$T$47,2,FALSE),0)="gold",IF(H7&lt;IFERROR(FLOOR(IFERROR(VLOOKUP(C8,Upgrades!$N$4:$T$47,3,FALSE),0)*(IFERROR(VLOOKUP(C8,Upgrades!$N$4:$T$47,4,FALSE),0)^(COUNTIFS($B$3:$B7,"Buy upgrade",$C$3:$C7,C8)+COUNTIFS($B$3:$B7,"Hire hunter",$C$3:$C7,C8)+COUNTIFS($B$3:$B7,"Forge/Scrapwork buy",$C$3:$C7,C8))),1),0),"Can't","OK"),IF(IFERROR(VLOOKUP(C8,Upgrades!$N$4:$T$47,2,FALSE),0)="scraps",IF(J7&lt;IFERROR(FLOOR(IFERROR(VLOOKUP(C8,Upgrades!$N$4:$T$47,3,FALSE),0)*(IFERROR(VLOOKUP(C8,Upgrades!$N$4:$T$47,4,FALSE),0)^(COUNTIFS($B$3:$B7,"Buy upgrade",$C$3:$C7,C8)+COUNTIFS($B$3:$B7,"Hire hunter",$C$3:$C7,C8)+COUNTIFS($B$3:$B7,"Forge/Scrapwork buy",$C$3:$C7,C8))),1),0),"Can't","OK"),IF(IFERROR(VLOOKUP(C8,Upgrades!$N$4:$T$47,2,FALSE),0)="mats","Can't","OK")))),"Check")))))</f>
        <v/>
      </c>
      <c r="F8" s="7">
        <f>IF(B8="","",IF(AND(B8="Fight boss",I7&lt;IF((IFERROR(VLOOKUP(C8,Monsters!$T$4:$AH$15,15,FALSE),0))=0,120,IFERROR(VLOOKUP(C8,Monsters!$T$4:$AH$15,15,FALSE),0))),"Can't — need "&amp;TEXT(IF((IFERROR(VLOOKUP(C8,Monsters!$T$4:$AH$15,15,FALSE),0))=0,120,IFERROR(VLOOKUP(C8,Monsters!$T$4:$AH$15,15,FALSE),0))-I7,"0.0")&amp;" more Slayer points on the meter",IF(AND(B8="Hire hunter",C8="Briar",AD7&gt;=1),"Can't — already hired",IF(AND(B8="Hire hunter",H7&lt;IF(C8="Briar",140,IF(C8="Quill",3650,IF(C8="Moss",4850,IF(C8="Ember",12200,0))))),"Can't — need "&amp;TEXT(IF(C8="Briar",140,IF(C8="Quill",3650,IF(C8="Moss",4850,IF(C8="Ember",12200,0))))-H7,"0")&amp;" more gold",IF(AND(OR(B8="Buy upgrade",B8="Forge/Scrapwork buy"),IFERROR(VLOOKUP(C8,Upgrades!$N$4:$T$47,2,FALSE),0)="points"),"Can't — Sp-wallet spends not tracked here",IF(AND(OR(B8="Buy upgrade",B8="Forge/Scrapwork buy"),IFERROR(VLOOKUP(C8,Upgrades!$N$4:$T$47,2,FALSE),0)="gold",H7&lt;IFERROR(FLOOR(IFERROR(VLOOKUP(C8,Upgrades!$N$4:$T$47,3,FALSE),0)*(IFERROR(VLOOKUP(C8,Upgrades!$N$4:$T$47,4,FALSE),0)^(COUNTIFS($B$3:$B7,"Buy upgrade",$C$3:$C7,C8)+COUNTIFS($B$3:$B7,"Hire hunter",$C$3:$C7,C8)+COUNTIFS($B$3:$B7,"Forge/Scrapwork buy",$C$3:$C7,C8))),1),0)),"Can't — need "&amp;TEXT(IFERROR(FLOOR(IFERROR(VLOOKUP(C8,Upgrades!$N$4:$T$47,3,FALSE),0)*(IFERROR(VLOOKUP(C8,Upgrades!$N$4:$T$47,4,FALSE),0)^(COUNTIFS($B$3:$B7,"Buy upgrade",$C$3:$C7,C8)+COUNTIFS($B$3:$B7,"Hire hunter",$C$3:$C7,C8)+COUNTIFS($B$3:$B7,"Forge/Scrapwork buy",$C$3:$C7,C8))),1),0)-H7,"0")&amp;" more gold",IF(AND(OR(B8="Buy upgrade",B8="Forge/Scrapwork buy"),IFERROR(VLOOKUP(C8,Upgrades!$N$4:$T$47,2,FALSE),0)="scraps",J7&lt;IFERROR(FLOOR(IFERROR(VLOOKUP(C8,Upgrades!$N$4:$T$47,3,FALSE),0)*(IFERROR(VLOOKUP(C8,Upgrades!$N$4:$T$47,4,FALSE),0)^(COUNTIFS($B$3:$B7,"Buy upgrade",$C$3:$C7,C8)+COUNTIFS($B$3:$B7,"Hire hunter",$C$3:$C7,C8)+COUNTIFS($B$3:$B7,"Forge/Scrapwork buy",$C$3:$C7,C8))),1),0)),"Can't — need "&amp;TEXT(IFERROR(FLOOR(IFERROR(VLOOKUP(C8,Upgrades!$N$4:$T$47,3,FALSE),0)*(IFERROR(VLOOKUP(C8,Upgrades!$N$4:$T$47,4,FALSE),0)^(COUNTIFS($B$3:$B7,"Buy upgrade",$C$3:$C7,C8)+COUNTIFS($B$3:$B7,"Hire hunter",$C$3:$C7,C8)+COUNTIFS($B$3:$B7,"Forge/Scrapwork buy",$C$3:$C7,C8))),1),0)-J7,"0")&amp;" more scraps",IF(AND(B8="Fight boss",E8="OK",(IF((((105/'Rules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Formulas'!B12)),"WIN — boss down, next Level unlocks",IF(AND(B8="Fight boss",E8="OK"),"LOSE — TTK "&amp;TEXT(IF((((105/'Rules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Formulas'!B20*SQRT(1+0.55*(AG7&gt;=1))),0)))),"0")&amp;"s &gt; patience "&amp;TEXT('Rules &amp; Formulas'!B12,"0")&amp;"s (leave resets HP)",IF(B8="Go AFK","AFK resolved (see AFK counted h)","Applied")))))))))</f>
        <v/>
      </c>
      <c r="G8" s="7">
        <f>IF(AND((E8="OK"),B8="Fight boss",(IF((((105/'Rules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Formulas'!B12),C8="Elder Thornpelt"),2,IF(AND((E8="OK"),B8="Fight boss",(IF((((105/'Rules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Formulas'!B12),C8="Ashfang Alpha"),3,G7))</f>
        <v/>
      </c>
      <c r="H8" s="7">
        <f>MAX(0,H7+IF(AND((E8="OK"),B8="Hunt"),(IF(B8="Hunt",(('Rules &amp; Formulas'!B4*N7*('Rules &amp; Formulas'!B5+O7)*IFERROR(VLOOKUP(C8,Monsters!$T$4:$AH$15,10,FALSE),0)*IFERROR(VLOOKUP(C8,Monsters!$T$4:$AH$15,9,FALSE),0))*'Rules &amp; Formulas'!B6)*IF(D8="",0,D8),0))*(IFERROR(VLOOKUP(C8,Monsters!$T$4:$AH$15,3,FALSE),0))*(1+0.1*AH7)+(IF(OR(B8&lt;&gt;"Hunt",IFERROR(VLOOKUP(C8,Monsters!$T$4:$AH$15,6,FALSE),0)=0),0,FLOOR((IF(B8="Hunt",(('Rules &amp; Formulas'!B4*N7*('Rules &amp; Formulas'!B5+O7)*IFERROR(VLOOKUP(C8,Monsters!$T$4:$AH$15,10,FALSE),0)*IFERROR(VLOOKUP(C8,Monsters!$T$4:$AH$15,9,FALSE),0))*'Rules &amp; Formulas'!B6)*IF(D8="",0,D8),0))/MAX(1,IFERROR(VLOOKUP(C8,Monsters!$T$4:$AH$15,6,FALSE),0)),1)))*(IFERROR(VLOOKUP(C8,Monsters!$T$4:$AH$15,7,FALSE),0))*0.5*(1+0.1*AH7),0)+IF(AND((E8="OK"),B8="Go AFK"),(IF(B8="Go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AFK",IF(D8="",0,D8),0),Z7/60)*60)),0))*(IFERROR(VLOOKUP(C8,Monsters!$T$4:$AH$15,3,FALSE),0))*(1+0.1*AH7)+(IF(OR(B8&lt;&gt;"Go AFK",IFERROR(VLOOKUP(C8,Monsters!$T$4:$AH$15,6,FALSE),0)=0),0,FLOOR((IF(B8="Go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AFK",IF(D8="",0,D8),0),Z7/60)*60)),0))/MAX(1,IFERROR(VLOOKUP(C8,Monsters!$T$4:$AH$15,6,FALSE),0)),1)))*(IFERROR(VLOOKUP(C8,Monsters!$T$4:$AH$15,7,FALSE),0))*0.5*(1+0.1*AH7),0)+IF(AND((E8="OK"),B8="Fight boss",(IF((((105/'Rules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Formulas'!B12)),IFERROR(VLOOKUP(C8,Monsters!$T$4:$AH$15,3,FALSE),0),0)-IF(AND((E8="OK"),OR(B8="Buy upgrade",B8="Forge/Scrapwork buy"),IFERROR(VLOOKUP(C8,Upgrades!$N$4:$T$47,2,FALSE),0)="gold"),IFERROR(FLOOR(IFERROR(VLOOKUP(C8,Upgrades!$N$4:$T$47,3,FALSE),0)*(IFERROR(VLOOKUP(C8,Upgrades!$N$4:$T$47,4,FALSE),0)^(COUNTIFS($B$3:$B7,"Buy upgrade",$C$3:$C7,C8)+COUNTIFS($B$3:$B7,"Hire hunter",$C$3:$C7,C8)+COUNTIFS($B$3:$B7,"Forge/Scrapwork buy",$C$3:$C7,C8))),1),0),0)-IF(AND((E8="OK"),B8="Hire hunter"),IF(C8="Briar",140,IF(C8="Quill",3650,IF(C8="Moss",4850,IF(C8="Ember",12200,0)))),0))</f>
        <v/>
      </c>
      <c r="I8" s="7">
        <f>IF(AND((E8="OK"),B8="Fight boss",(IF((((105/'Rules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Formulas'!B12)),0,MIN(IF(G7&lt;=1,120,IF(G7=2,280,600)),I7+IF(AND((E8="OK"),B8="Hunt"),((IF(B8="Hunt",(('Rules &amp; Formulas'!B4*N7*('Rules &amp; Formulas'!B5+O7)*IFERROR(VLOOKUP(C8,Monsters!$T$4:$AH$15,10,FALSE),0)*IFERROR(VLOOKUP(C8,Monsters!$T$4:$AH$15,9,FALSE),0))*'Rules &amp; Formulas'!B6)*IF(D8="",0,D8),0))*(IFERROR(VLOOKUP(C8,Monsters!$T$4:$AH$15,4,FALSE),0))+(IF(OR(B8&lt;&gt;"Hunt",IFERROR(VLOOKUP(C8,Monsters!$T$4:$AH$15,6,FALSE),0)=0),0,FLOOR((IF(B8="Hunt",(('Rules &amp; Formulas'!B4*N7*('Rules &amp; Formulas'!B5+O7)*IFERROR(VLOOKUP(C8,Monsters!$T$4:$AH$15,10,FALSE),0)*IFERROR(VLOOKUP(C8,Monsters!$T$4:$AH$15,9,FALSE),0))*'Rules &amp; Formulas'!B6)*IF(D8="",0,D8),0))/MAX(1,IFERROR(VLOOKUP(C8,Monsters!$T$4:$AH$15,6,FALSE),0)),1)))*(IFERROR(VLOOKUP(C8,Monsters!$T$4:$AH$15,7,FALSE),0))),0)+IF(AND((E8="OK"),B8="Go AFK"),((IF(B8="Go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AFK",IF(D8="",0,D8),0),Z7/60)*60)),0))*(IFERROR(VLOOKUP(C8,Monsters!$T$4:$AH$15,4,FALSE),0))+(IF(OR(B8&lt;&gt;"Go AFK",IFERROR(VLOOKUP(C8,Monsters!$T$4:$AH$15,6,FALSE),0)=0),0,FLOOR((IF(B8="Go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AFK",IF(D8="",0,D8),0),Z7/60)*60)),0))/MAX(1,IFERROR(VLOOKUP(C8,Monsters!$T$4:$AH$15,6,FALSE),0)),1)))*(IFERROR(VLOOKUP(C8,Monsters!$T$4:$AH$15,7,FALSE),0))),0)))</f>
        <v/>
      </c>
      <c r="J8" s="7">
        <f>MAX(0,J7+IF(AND((E8="OK"),B8="Hunt"),(IF(B8="Hunt",(('Rules &amp; Formulas'!B4*N7*('Rules &amp; Formulas'!B5+O7)*IFERROR(VLOOKUP(C8,Monsters!$T$4:$AH$15,10,FALSE),0)*IFERROR(VLOOKUP(C8,Monsters!$T$4:$AH$15,9,FALSE),0))*'Rules &amp; Formulas'!B6)*IF(D8="",0,D8),0))*(IFERROR(VLOOKUP(C8,Monsters!$T$4:$AH$15,5,FALSE),0)),0)+IF(AND((E8="OK"),B8="Go AFK"),(IF(B8="Go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AFK",IF(D8="",0,D8),0),Z7/60)*60)),0))*(IFERROR(VLOOKUP(C8,Monsters!$T$4:$AH$15,5,FALSE),0)),0)-IF(AND((E8="OK"),OR(B8="Buy upgrade",B8="Forge/Scrapwork buy"),IFERROR(VLOOKUP(C8,Upgrades!$N$4:$T$47,2,FALSE),0)="scraps"),IFERROR(FLOOR(IFERROR(VLOOKUP(C8,Upgrades!$N$4:$T$47,3,FALSE),0)*(IFERROR(VLOOKUP(C8,Upgrades!$N$4:$T$47,4,FALSE),0)^(COUNTIFS($B$3:$B7,"Buy upgrade",$C$3:$C7,C8)+COUNTIFS($B$3:$B7,"Hire hunter",$C$3:$C7,C8)+COUNTIFS($B$3:$B7,"Forge/Scrapwork buy",$C$3:$C7,C8))),1),0),0))</f>
        <v/>
      </c>
      <c r="K8" s="7">
        <f>MAX(0,K7+IF(AND((E8="OK"),B8="Hunt"),IF(C8="Thornpelt Bear",(IF(B8="Hunt",(('Rules &amp; Formulas'!B4*N7*('Rules &amp; Formulas'!B5+O7)*IFERROR(VLOOKUP(C8,Monsters!$T$4:$AH$15,10,FALSE),0)*IFERROR(VLOOKUP(C8,Monsters!$T$4:$AH$15,9,FALSE),0))*'Rules &amp; Formulas'!B6)*IF(D8="",0,D8),0))*0.12,0),0)+IF(AND((E8="OK"),B8="Go AFK"),IF(C8="Thornpelt Bear",(IF(B8="Go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AFK",IF(D8="",0,D8),0),Z7/60)*60)),0))*0.12,0),0))</f>
        <v/>
      </c>
      <c r="L8" s="7">
        <f>MAX(0,L7+IF(AND((E8="OK"),B8="Hunt"),IF(C8="Dire Thornpelt",(IF(B8="Hunt",(('Rules &amp; Formulas'!B4*N7*('Rules &amp; Formulas'!B5+O7)*IFERROR(VLOOKUP(C8,Monsters!$T$4:$AH$15,10,FALSE),0)*IFERROR(VLOOKUP(C8,Monsters!$T$4:$AH$15,9,FALSE),0))*'Rules &amp; Formulas'!B6)*IF(D8="",0,D8),0))*0.1,0),0)+IF(AND((E8="OK"),B8="Go AFK"),IF(C8="Dire Thornpelt",(IF(B8="Go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AFK",IF(D8="",0,D8),0),Z7/60)*60)),0))*0.1,0),0))</f>
        <v/>
      </c>
      <c r="M8" s="7">
        <f>IF(AND((E8="OK"),B8="Go AFK"),MAX(0,MIN(('Rules &amp; Formulas'!B15+25*AJ7),M7+('Rules &amp; Formulas'!B14+0.4*AJ7)*(MIN(IF(B8="Go AFK",IF(D8="",0,D8),0),Z7/60)*60))-(IF(B8="Go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AFK",IF(D8="",0,D8),0),Z7/60)*60)),0))*(IF((IFERROR(VLOOKUP(C8,Monsters!$T$4:$AH$15,8,FALSE),0))=0,0.35,IFERROR(VLOOKUP(C8,Monsters!$T$4:$AH$15,8,FALSE),0))/(1+0.08*AK7))),MIN(('Rules &amp; Formulas'!B15+25*AJ8),M7))</f>
        <v/>
      </c>
      <c r="N8" s="7">
        <f>(1+0.08+0.12*AA8+0.12*AB8+0.16*AC8)</f>
        <v/>
      </c>
      <c r="O8" s="7">
        <f>((AD8&gt;=1)*1*(1+0.3*AE8))</f>
        <v/>
      </c>
      <c r="P8" s="7">
        <f>IF(OR(B8="Hunt",B8="Go AFK"),(('Rules &amp; Formulas'!B4*N7*('Rules &amp; Formulas'!B5+O7)*IFERROR(VLOOKUP(C8,Monsters!$T$4:$AH$15,10,FALSE),0)*IFERROR(VLOOKUP(C8,Monsters!$T$4:$AH$15,9,FALSE),0))*'Rules &amp; Formulas'!B6),"")</f>
        <v/>
      </c>
      <c r="Q8" s="7">
        <f>IF(OR(B8="Hunt",B8="Go AFK"),('Rules &amp; Formulas'!B4*N7*('Rules &amp; Formulas'!B5+O7)*IFERROR(VLOOKUP(C8,Monsters!$T$4:$AH$15,10,FALSE),0)*IFERROR(VLOOKUP(C8,Monsters!$T$4:$AH$15,9,FALSE),0)),"")</f>
        <v/>
      </c>
      <c r="R8" s="7">
        <f>IF(AND((E8="OK"),B8="Hunt"),IF(B8="Hunt",(('Rules &amp; Formulas'!B4*N7*('Rules &amp; Formulas'!B5+O7)*IFERROR(VLOOKUP(C8,Monsters!$T$4:$AH$15,10,FALSE),0)*IFERROR(VLOOKUP(C8,Monsters!$T$4:$AH$15,9,FALSE),0))*'Rules &amp; Formulas'!B6)*IF(D8="",0,D8),0),IF(AND((E8="OK"),B8="Go AFK"),IF(B8="Go AFK",MIN(IF((IF((IFERROR(VLOOKUP(C8,Monsters!$T$4:$AH$15,8,FALSE),0))=0,0.35,IFERROR(VLOOKUP(C8,Monsters!$T$4:$AH$15,8,FALSE),0))/(1+0.08*AK7))&lt;=0,999999,FLOOR(MIN(('Rules &amp; Formulas'!B15+25*AJ7),M7+('Rules &amp; Formulas'!B14+0.4*AJ7)*(MIN(IF(B8="Go AFK",IF(D8="",0,D8),0),Z7/60)*60))/(IF((IFERROR(VLOOKUP(C8,Monsters!$T$4:$AH$15,8,FALSE),0))=0,0.35,IFERROR(VLOOKUP(C8,Monsters!$T$4:$AH$15,8,FALSE),0))/(1+0.08*AK7)),1)),('Rules &amp; Formulas'!B4*N7*('Rules &amp; Formulas'!B5+O7)*IFERROR(VLOOKUP(C8,Monsters!$T$4:$AH$15,10,FALSE),0)*IFERROR(VLOOKUP(C8,Monsters!$T$4:$AH$15,9,FALSE),0))*(MIN(IF(B8="Go AFK",IF(D8="",0,D8),0),Z7/60)*60)),0),0))</f>
        <v/>
      </c>
      <c r="S8" s="7">
        <f>(105/'Rules &amp; Formulas'!B10)*'Rules &amp; Formulas'!B11</f>
        <v/>
      </c>
      <c r="T8" s="7">
        <f>IF(AD7&gt;=1,(MAX(1,ROUND('Rules &amp; Formulas'!B18*(1+0.3*AE7)*(1+0.4*AF7),0)))*(1000/'Rules &amp; Formulas'!B19)*MIN(0.95,'Rules &amp; Formulas'!B20*SQRT(1+0.55*(AG7&gt;=1))),0)</f>
        <v/>
      </c>
      <c r="U8" s="7">
        <f>S8+T8</f>
        <v/>
      </c>
      <c r="V8" s="7">
        <f>IF(I7&gt;=IF((IFERROR(VLOOKUP(C8,Monsters!$T$4:$AH$15,15,FALSE),0))=0,120,IFERROR(VLOOKUP(C8,Monsters!$T$4:$AH$15,15,FALSE),0)),"YES","no")</f>
        <v/>
      </c>
      <c r="W8" s="7">
        <f>IF(AND(B8="Fight boss",E8="OK"),IF((((105/'Rules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Formulas'!B20*SQRT(1+0.55*(AG7&gt;=1))),0)))),"")</f>
        <v/>
      </c>
      <c r="X8" s="7">
        <f>IF(AND(B8="Fight boss",E8="OK"),IF((IF((((105/'Rules &amp; Formulas'!B10)*'Rules &amp; Formulas'!B11+IF(AD7&gt;=1,(MAX(1,ROUND('Rules &amp; Formulas'!B18*(1+0.3*AE7)*(1+0.4*AF7),0)))*(1000/'Rules &amp; Formulas'!B19)*MIN(0.95,'Rules &amp; Formulas'!B20*SQRT(1+0.55*(AG7&gt;=1))),0)))&lt;=0,9999,(IFERROR(VLOOKUP(C8,Monsters!$T$4:$AH$15,2,FALSE),0))/(((105/'Rules &amp; Formulas'!B10)*'Rules &amp; Formulas'!B11+IF(AD7&gt;=1,(MAX(1,ROUND('Rules &amp; Formulas'!B18*(1+0.3*AE7)*(1+0.4*AF7),0)))*(1000/'Rules &amp; Formulas'!B19)*MIN(0.95,'Rules &amp; Formulas'!B20*SQRT(1+0.55*(AG7&gt;=1))),0))))&lt;='Rules &amp; Formulas'!B12),"WIN","LOSE"),"")</f>
        <v/>
      </c>
      <c r="Y8" s="7">
        <f>IF(B8="Go AFK",MIN(IF(B8="Go AFK",IF(D8="",0,D8),0),Z7/60),"")</f>
        <v/>
      </c>
      <c r="Z8" s="7">
        <f>('Rules &amp; Formulas'!B13+30*AI8)</f>
        <v/>
      </c>
      <c r="AA8">
        <f>COUNTIFS($B$3:$B8,"Buy upgrade",$C$3:$C8,"Idle Power")</f>
        <v/>
      </c>
      <c r="AB8">
        <f>COUNTIFS($B$3:$B8,"Buy upgrade",$C$3:$C8,"Iron Blade")</f>
        <v/>
      </c>
      <c r="AC8">
        <f>COUNTIFS($B$3:$B8,"Buy upgrade",$C$3:$C8,"Steel Blade")</f>
        <v/>
      </c>
      <c r="AD8">
        <f>COUNTIFS($B$3:$B8,"Hire hunter",$C$3:$C8,"Briar")+COUNTIFS($B$3:$B8,"Buy upgrade",$C$3:$C8,"Hire Briar")</f>
        <v/>
      </c>
      <c r="AE8">
        <f>COUNTIFS($B$3:$B8,"Buy upgrade",$C$3:$C8,"Hunter Power")</f>
        <v/>
      </c>
      <c r="AF8">
        <f>COUNTIFS($B$3:$B8,"Buy upgrade",$C$3:$C8,"Bigger Hits")</f>
        <v/>
      </c>
      <c r="AG8">
        <f>COUNTIFS($B$3:$B8,"Buy upgrade",$C$3:$C8,"Swift Walk")</f>
        <v/>
      </c>
      <c r="AH8">
        <f>COUNTIFS($B$3:$B8,"Buy upgrade",$C$3:$C8,"Loot Luck")</f>
        <v/>
      </c>
      <c r="AI8">
        <f>COUNTIFS($B$3:$B8,"Buy upgrade",$C$3:$C8,"Offline Cap")</f>
        <v/>
      </c>
      <c r="AJ8">
        <f>COUNTIFS($B$3:$B8,"Buy upgrade",$C$3:$C8,"Bigger Food Stock")</f>
        <v/>
      </c>
      <c r="AK8">
        <f>COUNTIFS($B$3:$B8,"Buy upgrade",$C$3:$C8,"Food Efficiency")</f>
        <v/>
      </c>
    </row>
    <row r="9">
      <c r="A9" t="n">
        <v>7</v>
      </c>
      <c r="B9" s="6" t="inlineStr">
        <is>
          <t>Buy upgrade</t>
        </is>
      </c>
      <c r="C9" s="6" t="inlineStr">
        <is>
          <t>Idle Power</t>
        </is>
      </c>
      <c r="D9" s="6" t="n"/>
      <c r="E9" s="7">
        <f>IF(B9="","",IF(OR(B9="Hunt",B9="Go AFK"),IF(C9="","Can't","OK"),IF(B9="Fight boss",IF(I8&lt;IF((IFERROR(VLOOKUP(C9,Monsters!$T$4:$AH$15,15,FALSE),0))=0,120,IFERROR(VLOOKUP(C9,Monsters!$T$4:$AH$15,15,FALSE),0)),"Can't","OK"),IF(B9="Hire hunter",IF(AND(C9="Briar",AD8&gt;=1),"Can't",IF(H8&lt;IF(C9="Briar",140,IF(C9="Quill",3650,IF(C9="Moss",4850,IF(C9="Ember",12200,0)))),"Can't","OK")),IF(OR(B9="Buy upgrade",B9="Forge/Scrapwork buy"),IF(IFERROR(VLOOKUP(C9,Upgrades!$N$4:$T$47,2,FALSE),0)="points","Can't",IF(IFERROR(VLOOKUP(C9,Upgrades!$N$4:$T$47,2,FALSE),0)="gold",IF(H8&lt;IFERROR(FLOOR(IFERROR(VLOOKUP(C9,Upgrades!$N$4:$T$47,3,FALSE),0)*(IFERROR(VLOOKUP(C9,Upgrades!$N$4:$T$47,4,FALSE),0)^(COUNTIFS($B$3:$B8,"Buy upgrade",$C$3:$C8,C9)+COUNTIFS($B$3:$B8,"Hire hunter",$C$3:$C8,C9)+COUNTIFS($B$3:$B8,"Forge/Scrapwork buy",$C$3:$C8,C9))),1),0),"Can't","OK"),IF(IFERROR(VLOOKUP(C9,Upgrades!$N$4:$T$47,2,FALSE),0)="scraps",IF(J8&lt;IFERROR(FLOOR(IFERROR(VLOOKUP(C9,Upgrades!$N$4:$T$47,3,FALSE),0)*(IFERROR(VLOOKUP(C9,Upgrades!$N$4:$T$47,4,FALSE),0)^(COUNTIFS($B$3:$B8,"Buy upgrade",$C$3:$C8,C9)+COUNTIFS($B$3:$B8,"Hire hunter",$C$3:$C8,C9)+COUNTIFS($B$3:$B8,"Forge/Scrapwork buy",$C$3:$C8,C9))),1),0),"Can't","OK"),IF(IFERROR(VLOOKUP(C9,Upgrades!$N$4:$T$47,2,FALSE),0)="mats","Can't","OK")))),"Check")))))</f>
        <v/>
      </c>
      <c r="F9" s="7">
        <f>IF(B9="","",IF(AND(B9="Fight boss",I8&lt;IF((IFERROR(VLOOKUP(C9,Monsters!$T$4:$AH$15,15,FALSE),0))=0,120,IFERROR(VLOOKUP(C9,Monsters!$T$4:$AH$15,15,FALSE),0))),"Can't — need "&amp;TEXT(IF((IFERROR(VLOOKUP(C9,Monsters!$T$4:$AH$15,15,FALSE),0))=0,120,IFERROR(VLOOKUP(C9,Monsters!$T$4:$AH$15,15,FALSE),0))-I8,"0.0")&amp;" more Slayer points on the meter",IF(AND(B9="Hire hunter",C9="Briar",AD8&gt;=1),"Can't — already hired",IF(AND(B9="Hire hunter",H8&lt;IF(C9="Briar",140,IF(C9="Quill",3650,IF(C9="Moss",4850,IF(C9="Ember",12200,0))))),"Can't — need "&amp;TEXT(IF(C9="Briar",140,IF(C9="Quill",3650,IF(C9="Moss",4850,IF(C9="Ember",12200,0))))-H8,"0")&amp;" more gold",IF(AND(OR(B9="Buy upgrade",B9="Forge/Scrapwork buy"),IFERROR(VLOOKUP(C9,Upgrades!$N$4:$T$47,2,FALSE),0)="points"),"Can't — Sp-wallet spends not tracked here",IF(AND(OR(B9="Buy upgrade",B9="Forge/Scrapwork buy"),IFERROR(VLOOKUP(C9,Upgrades!$N$4:$T$47,2,FALSE),0)="gold",H8&lt;IFERROR(FLOOR(IFERROR(VLOOKUP(C9,Upgrades!$N$4:$T$47,3,FALSE),0)*(IFERROR(VLOOKUP(C9,Upgrades!$N$4:$T$47,4,FALSE),0)^(COUNTIFS($B$3:$B8,"Buy upgrade",$C$3:$C8,C9)+COUNTIFS($B$3:$B8,"Hire hunter",$C$3:$C8,C9)+COUNTIFS($B$3:$B8,"Forge/Scrapwork buy",$C$3:$C8,C9))),1),0)),"Can't — need "&amp;TEXT(IFERROR(FLOOR(IFERROR(VLOOKUP(C9,Upgrades!$N$4:$T$47,3,FALSE),0)*(IFERROR(VLOOKUP(C9,Upgrades!$N$4:$T$47,4,FALSE),0)^(COUNTIFS($B$3:$B8,"Buy upgrade",$C$3:$C8,C9)+COUNTIFS($B$3:$B8,"Hire hunter",$C$3:$C8,C9)+COUNTIFS($B$3:$B8,"Forge/Scrapwork buy",$C$3:$C8,C9))),1),0)-H8,"0")&amp;" more gold",IF(AND(OR(B9="Buy upgrade",B9="Forge/Scrapwork buy"),IFERROR(VLOOKUP(C9,Upgrades!$N$4:$T$47,2,FALSE),0)="scraps",J8&lt;IFERROR(FLOOR(IFERROR(VLOOKUP(C9,Upgrades!$N$4:$T$47,3,FALSE),0)*(IFERROR(VLOOKUP(C9,Upgrades!$N$4:$T$47,4,FALSE),0)^(COUNTIFS($B$3:$B8,"Buy upgrade",$C$3:$C8,C9)+COUNTIFS($B$3:$B8,"Hire hunter",$C$3:$C8,C9)+COUNTIFS($B$3:$B8,"Forge/Scrapwork buy",$C$3:$C8,C9))),1),0)),"Can't — need "&amp;TEXT(IFERROR(FLOOR(IFERROR(VLOOKUP(C9,Upgrades!$N$4:$T$47,3,FALSE),0)*(IFERROR(VLOOKUP(C9,Upgrades!$N$4:$T$47,4,FALSE),0)^(COUNTIFS($B$3:$B8,"Buy upgrade",$C$3:$C8,C9)+COUNTIFS($B$3:$B8,"Hire hunter",$C$3:$C8,C9)+COUNTIFS($B$3:$B8,"Forge/Scrapwork buy",$C$3:$C8,C9))),1),0)-J8,"0")&amp;" more scraps",IF(AND(B9="Fight boss",E9="OK",(IF((((105/'Rules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Formulas'!B12)),"WIN — boss down, next Level unlocks",IF(AND(B9="Fight boss",E9="OK"),"LOSE — TTK "&amp;TEXT(IF((((105/'Rules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Formulas'!B20*SQRT(1+0.55*(AG8&gt;=1))),0)))),"0")&amp;"s &gt; patience "&amp;TEXT('Rules &amp; Formulas'!B12,"0")&amp;"s (leave resets HP)",IF(B9="Go AFK","AFK resolved (see AFK counted h)","Applied")))))))))</f>
        <v/>
      </c>
      <c r="G9" s="7">
        <f>IF(AND((E9="OK"),B9="Fight boss",(IF((((105/'Rules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Formulas'!B12),C9="Elder Thornpelt"),2,IF(AND((E9="OK"),B9="Fight boss",(IF((((105/'Rules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Formulas'!B12),C9="Ashfang Alpha"),3,G8))</f>
        <v/>
      </c>
      <c r="H9" s="7">
        <f>MAX(0,H8+IF(AND((E9="OK"),B9="Hunt"),(IF(B9="Hunt",(('Rules &amp; Formulas'!B4*N8*('Rules &amp; Formulas'!B5+O8)*IFERROR(VLOOKUP(C9,Monsters!$T$4:$AH$15,10,FALSE),0)*IFERROR(VLOOKUP(C9,Monsters!$T$4:$AH$15,9,FALSE),0))*'Rules &amp; Formulas'!B6)*IF(D9="",0,D9),0))*(IFERROR(VLOOKUP(C9,Monsters!$T$4:$AH$15,3,FALSE),0))*(1+0.1*AH8)+(IF(OR(B9&lt;&gt;"Hunt",IFERROR(VLOOKUP(C9,Monsters!$T$4:$AH$15,6,FALSE),0)=0),0,FLOOR((IF(B9="Hunt",(('Rules &amp; Formulas'!B4*N8*('Rules &amp; Formulas'!B5+O8)*IFERROR(VLOOKUP(C9,Monsters!$T$4:$AH$15,10,FALSE),0)*IFERROR(VLOOKUP(C9,Monsters!$T$4:$AH$15,9,FALSE),0))*'Rules &amp; Formulas'!B6)*IF(D9="",0,D9),0))/MAX(1,IFERROR(VLOOKUP(C9,Monsters!$T$4:$AH$15,6,FALSE),0)),1)))*(IFERROR(VLOOKUP(C9,Monsters!$T$4:$AH$15,7,FALSE),0))*0.5*(1+0.1*AH8),0)+IF(AND((E9="OK"),B9="Go AFK"),(IF(B9="Go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AFK",IF(D9="",0,D9),0),Z8/60)*60)),0))*(IFERROR(VLOOKUP(C9,Monsters!$T$4:$AH$15,3,FALSE),0))*(1+0.1*AH8)+(IF(OR(B9&lt;&gt;"Go AFK",IFERROR(VLOOKUP(C9,Monsters!$T$4:$AH$15,6,FALSE),0)=0),0,FLOOR((IF(B9="Go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AFK",IF(D9="",0,D9),0),Z8/60)*60)),0))/MAX(1,IFERROR(VLOOKUP(C9,Monsters!$T$4:$AH$15,6,FALSE),0)),1)))*(IFERROR(VLOOKUP(C9,Monsters!$T$4:$AH$15,7,FALSE),0))*0.5*(1+0.1*AH8),0)+IF(AND((E9="OK"),B9="Fight boss",(IF((((105/'Rules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Formulas'!B12)),IFERROR(VLOOKUP(C9,Monsters!$T$4:$AH$15,3,FALSE),0),0)-IF(AND((E9="OK"),OR(B9="Buy upgrade",B9="Forge/Scrapwork buy"),IFERROR(VLOOKUP(C9,Upgrades!$N$4:$T$47,2,FALSE),0)="gold"),IFERROR(FLOOR(IFERROR(VLOOKUP(C9,Upgrades!$N$4:$T$47,3,FALSE),0)*(IFERROR(VLOOKUP(C9,Upgrades!$N$4:$T$47,4,FALSE),0)^(COUNTIFS($B$3:$B8,"Buy upgrade",$C$3:$C8,C9)+COUNTIFS($B$3:$B8,"Hire hunter",$C$3:$C8,C9)+COUNTIFS($B$3:$B8,"Forge/Scrapwork buy",$C$3:$C8,C9))),1),0),0)-IF(AND((E9="OK"),B9="Hire hunter"),IF(C9="Briar",140,IF(C9="Quill",3650,IF(C9="Moss",4850,IF(C9="Ember",12200,0)))),0))</f>
        <v/>
      </c>
      <c r="I9" s="7">
        <f>IF(AND((E9="OK"),B9="Fight boss",(IF((((105/'Rules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Formulas'!B12)),0,MIN(IF(G8&lt;=1,120,IF(G8=2,280,600)),I8+IF(AND((E9="OK"),B9="Hunt"),((IF(B9="Hunt",(('Rules &amp; Formulas'!B4*N8*('Rules &amp; Formulas'!B5+O8)*IFERROR(VLOOKUP(C9,Monsters!$T$4:$AH$15,10,FALSE),0)*IFERROR(VLOOKUP(C9,Monsters!$T$4:$AH$15,9,FALSE),0))*'Rules &amp; Formulas'!B6)*IF(D9="",0,D9),0))*(IFERROR(VLOOKUP(C9,Monsters!$T$4:$AH$15,4,FALSE),0))+(IF(OR(B9&lt;&gt;"Hunt",IFERROR(VLOOKUP(C9,Monsters!$T$4:$AH$15,6,FALSE),0)=0),0,FLOOR((IF(B9="Hunt",(('Rules &amp; Formulas'!B4*N8*('Rules &amp; Formulas'!B5+O8)*IFERROR(VLOOKUP(C9,Monsters!$T$4:$AH$15,10,FALSE),0)*IFERROR(VLOOKUP(C9,Monsters!$T$4:$AH$15,9,FALSE),0))*'Rules &amp; Formulas'!B6)*IF(D9="",0,D9),0))/MAX(1,IFERROR(VLOOKUP(C9,Monsters!$T$4:$AH$15,6,FALSE),0)),1)))*(IFERROR(VLOOKUP(C9,Monsters!$T$4:$AH$15,7,FALSE),0))),0)+IF(AND((E9="OK"),B9="Go AFK"),((IF(B9="Go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AFK",IF(D9="",0,D9),0),Z8/60)*60)),0))*(IFERROR(VLOOKUP(C9,Monsters!$T$4:$AH$15,4,FALSE),0))+(IF(OR(B9&lt;&gt;"Go AFK",IFERROR(VLOOKUP(C9,Monsters!$T$4:$AH$15,6,FALSE),0)=0),0,FLOOR((IF(B9="Go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AFK",IF(D9="",0,D9),0),Z8/60)*60)),0))/MAX(1,IFERROR(VLOOKUP(C9,Monsters!$T$4:$AH$15,6,FALSE),0)),1)))*(IFERROR(VLOOKUP(C9,Monsters!$T$4:$AH$15,7,FALSE),0))),0)))</f>
        <v/>
      </c>
      <c r="J9" s="7">
        <f>MAX(0,J8+IF(AND((E9="OK"),B9="Hunt"),(IF(B9="Hunt",(('Rules &amp; Formulas'!B4*N8*('Rules &amp; Formulas'!B5+O8)*IFERROR(VLOOKUP(C9,Monsters!$T$4:$AH$15,10,FALSE),0)*IFERROR(VLOOKUP(C9,Monsters!$T$4:$AH$15,9,FALSE),0))*'Rules &amp; Formulas'!B6)*IF(D9="",0,D9),0))*(IFERROR(VLOOKUP(C9,Monsters!$T$4:$AH$15,5,FALSE),0)),0)+IF(AND((E9="OK"),B9="Go AFK"),(IF(B9="Go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AFK",IF(D9="",0,D9),0),Z8/60)*60)),0))*(IFERROR(VLOOKUP(C9,Monsters!$T$4:$AH$15,5,FALSE),0)),0)-IF(AND((E9="OK"),OR(B9="Buy upgrade",B9="Forge/Scrapwork buy"),IFERROR(VLOOKUP(C9,Upgrades!$N$4:$T$47,2,FALSE),0)="scraps"),IFERROR(FLOOR(IFERROR(VLOOKUP(C9,Upgrades!$N$4:$T$47,3,FALSE),0)*(IFERROR(VLOOKUP(C9,Upgrades!$N$4:$T$47,4,FALSE),0)^(COUNTIFS($B$3:$B8,"Buy upgrade",$C$3:$C8,C9)+COUNTIFS($B$3:$B8,"Hire hunter",$C$3:$C8,C9)+COUNTIFS($B$3:$B8,"Forge/Scrapwork buy",$C$3:$C8,C9))),1),0),0))</f>
        <v/>
      </c>
      <c r="K9" s="7">
        <f>MAX(0,K8+IF(AND((E9="OK"),B9="Hunt"),IF(C9="Thornpelt Bear",(IF(B9="Hunt",(('Rules &amp; Formulas'!B4*N8*('Rules &amp; Formulas'!B5+O8)*IFERROR(VLOOKUP(C9,Monsters!$T$4:$AH$15,10,FALSE),0)*IFERROR(VLOOKUP(C9,Monsters!$T$4:$AH$15,9,FALSE),0))*'Rules &amp; Formulas'!B6)*IF(D9="",0,D9),0))*0.12,0),0)+IF(AND((E9="OK"),B9="Go AFK"),IF(C9="Thornpelt Bear",(IF(B9="Go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AFK",IF(D9="",0,D9),0),Z8/60)*60)),0))*0.12,0),0))</f>
        <v/>
      </c>
      <c r="L9" s="7">
        <f>MAX(0,L8+IF(AND((E9="OK"),B9="Hunt"),IF(C9="Dire Thornpelt",(IF(B9="Hunt",(('Rules &amp; Formulas'!B4*N8*('Rules &amp; Formulas'!B5+O8)*IFERROR(VLOOKUP(C9,Monsters!$T$4:$AH$15,10,FALSE),0)*IFERROR(VLOOKUP(C9,Monsters!$T$4:$AH$15,9,FALSE),0))*'Rules &amp; Formulas'!B6)*IF(D9="",0,D9),0))*0.1,0),0)+IF(AND((E9="OK"),B9="Go AFK"),IF(C9="Dire Thornpelt",(IF(B9="Go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AFK",IF(D9="",0,D9),0),Z8/60)*60)),0))*0.1,0),0))</f>
        <v/>
      </c>
      <c r="M9" s="7">
        <f>IF(AND((E9="OK"),B9="Go AFK"),MAX(0,MIN(('Rules &amp; Formulas'!B15+25*AJ8),M8+('Rules &amp; Formulas'!B14+0.4*AJ8)*(MIN(IF(B9="Go AFK",IF(D9="",0,D9),0),Z8/60)*60))-(IF(B9="Go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AFK",IF(D9="",0,D9),0),Z8/60)*60)),0))*(IF((IFERROR(VLOOKUP(C9,Monsters!$T$4:$AH$15,8,FALSE),0))=0,0.35,IFERROR(VLOOKUP(C9,Monsters!$T$4:$AH$15,8,FALSE),0))/(1+0.08*AK8))),MIN(('Rules &amp; Formulas'!B15+25*AJ9),M8))</f>
        <v/>
      </c>
      <c r="N9" s="7">
        <f>(1+0.08+0.12*AA9+0.12*AB9+0.16*AC9)</f>
        <v/>
      </c>
      <c r="O9" s="7">
        <f>((AD9&gt;=1)*1*(1+0.3*AE9))</f>
        <v/>
      </c>
      <c r="P9" s="7">
        <f>IF(OR(B9="Hunt",B9="Go AFK"),(('Rules &amp; Formulas'!B4*N8*('Rules &amp; Formulas'!B5+O8)*IFERROR(VLOOKUP(C9,Monsters!$T$4:$AH$15,10,FALSE),0)*IFERROR(VLOOKUP(C9,Monsters!$T$4:$AH$15,9,FALSE),0))*'Rules &amp; Formulas'!B6),"")</f>
        <v/>
      </c>
      <c r="Q9" s="7">
        <f>IF(OR(B9="Hunt",B9="Go AFK"),('Rules &amp; Formulas'!B4*N8*('Rules &amp; Formulas'!B5+O8)*IFERROR(VLOOKUP(C9,Monsters!$T$4:$AH$15,10,FALSE),0)*IFERROR(VLOOKUP(C9,Monsters!$T$4:$AH$15,9,FALSE),0)),"")</f>
        <v/>
      </c>
      <c r="R9" s="7">
        <f>IF(AND((E9="OK"),B9="Hunt"),IF(B9="Hunt",(('Rules &amp; Formulas'!B4*N8*('Rules &amp; Formulas'!B5+O8)*IFERROR(VLOOKUP(C9,Monsters!$T$4:$AH$15,10,FALSE),0)*IFERROR(VLOOKUP(C9,Monsters!$T$4:$AH$15,9,FALSE),0))*'Rules &amp; Formulas'!B6)*IF(D9="",0,D9),0),IF(AND((E9="OK"),B9="Go AFK"),IF(B9="Go AFK",MIN(IF((IF((IFERROR(VLOOKUP(C9,Monsters!$T$4:$AH$15,8,FALSE),0))=0,0.35,IFERROR(VLOOKUP(C9,Monsters!$T$4:$AH$15,8,FALSE),0))/(1+0.08*AK8))&lt;=0,999999,FLOOR(MIN(('Rules &amp; Formulas'!B15+25*AJ8),M8+('Rules &amp; Formulas'!B14+0.4*AJ8)*(MIN(IF(B9="Go AFK",IF(D9="",0,D9),0),Z8/60)*60))/(IF((IFERROR(VLOOKUP(C9,Monsters!$T$4:$AH$15,8,FALSE),0))=0,0.35,IFERROR(VLOOKUP(C9,Monsters!$T$4:$AH$15,8,FALSE),0))/(1+0.08*AK8)),1)),('Rules &amp; Formulas'!B4*N8*('Rules &amp; Formulas'!B5+O8)*IFERROR(VLOOKUP(C9,Monsters!$T$4:$AH$15,10,FALSE),0)*IFERROR(VLOOKUP(C9,Monsters!$T$4:$AH$15,9,FALSE),0))*(MIN(IF(B9="Go AFK",IF(D9="",0,D9),0),Z8/60)*60)),0),0))</f>
        <v/>
      </c>
      <c r="S9" s="7">
        <f>(105/'Rules &amp; Formulas'!B10)*'Rules &amp; Formulas'!B11</f>
        <v/>
      </c>
      <c r="T9" s="7">
        <f>IF(AD8&gt;=1,(MAX(1,ROUND('Rules &amp; Formulas'!B18*(1+0.3*AE8)*(1+0.4*AF8),0)))*(1000/'Rules &amp; Formulas'!B19)*MIN(0.95,'Rules &amp; Formulas'!B20*SQRT(1+0.55*(AG8&gt;=1))),0)</f>
        <v/>
      </c>
      <c r="U9" s="7">
        <f>S9+T9</f>
        <v/>
      </c>
      <c r="V9" s="7">
        <f>IF(I8&gt;=IF((IFERROR(VLOOKUP(C9,Monsters!$T$4:$AH$15,15,FALSE),0))=0,120,IFERROR(VLOOKUP(C9,Monsters!$T$4:$AH$15,15,FALSE),0)),"YES","no")</f>
        <v/>
      </c>
      <c r="W9" s="7">
        <f>IF(AND(B9="Fight boss",E9="OK"),IF((((105/'Rules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Formulas'!B20*SQRT(1+0.55*(AG8&gt;=1))),0)))),"")</f>
        <v/>
      </c>
      <c r="X9" s="7">
        <f>IF(AND(B9="Fight boss",E9="OK"),IF((IF((((105/'Rules &amp; Formulas'!B10)*'Rules &amp; Formulas'!B11+IF(AD8&gt;=1,(MAX(1,ROUND('Rules &amp; Formulas'!B18*(1+0.3*AE8)*(1+0.4*AF8),0)))*(1000/'Rules &amp; Formulas'!B19)*MIN(0.95,'Rules &amp; Formulas'!B20*SQRT(1+0.55*(AG8&gt;=1))),0)))&lt;=0,9999,(IFERROR(VLOOKUP(C9,Monsters!$T$4:$AH$15,2,FALSE),0))/(((105/'Rules &amp; Formulas'!B10)*'Rules &amp; Formulas'!B11+IF(AD8&gt;=1,(MAX(1,ROUND('Rules &amp; Formulas'!B18*(1+0.3*AE8)*(1+0.4*AF8),0)))*(1000/'Rules &amp; Formulas'!B19)*MIN(0.95,'Rules &amp; Formulas'!B20*SQRT(1+0.55*(AG8&gt;=1))),0))))&lt;='Rules &amp; Formulas'!B12),"WIN","LOSE"),"")</f>
        <v/>
      </c>
      <c r="Y9" s="7">
        <f>IF(B9="Go AFK",MIN(IF(B9="Go AFK",IF(D9="",0,D9),0),Z8/60),"")</f>
        <v/>
      </c>
      <c r="Z9" s="7">
        <f>('Rules &amp; Formulas'!B13+30*AI9)</f>
        <v/>
      </c>
      <c r="AA9">
        <f>COUNTIFS($B$3:$B9,"Buy upgrade",$C$3:$C9,"Idle Power")</f>
        <v/>
      </c>
      <c r="AB9">
        <f>COUNTIFS($B$3:$B9,"Buy upgrade",$C$3:$C9,"Iron Blade")</f>
        <v/>
      </c>
      <c r="AC9">
        <f>COUNTIFS($B$3:$B9,"Buy upgrade",$C$3:$C9,"Steel Blade")</f>
        <v/>
      </c>
      <c r="AD9">
        <f>COUNTIFS($B$3:$B9,"Hire hunter",$C$3:$C9,"Briar")+COUNTIFS($B$3:$B9,"Buy upgrade",$C$3:$C9,"Hire Briar")</f>
        <v/>
      </c>
      <c r="AE9">
        <f>COUNTIFS($B$3:$B9,"Buy upgrade",$C$3:$C9,"Hunter Power")</f>
        <v/>
      </c>
      <c r="AF9">
        <f>COUNTIFS($B$3:$B9,"Buy upgrade",$C$3:$C9,"Bigger Hits")</f>
        <v/>
      </c>
      <c r="AG9">
        <f>COUNTIFS($B$3:$B9,"Buy upgrade",$C$3:$C9,"Swift Walk")</f>
        <v/>
      </c>
      <c r="AH9">
        <f>COUNTIFS($B$3:$B9,"Buy upgrade",$C$3:$C9,"Loot Luck")</f>
        <v/>
      </c>
      <c r="AI9">
        <f>COUNTIFS($B$3:$B9,"Buy upgrade",$C$3:$C9,"Offline Cap")</f>
        <v/>
      </c>
      <c r="AJ9">
        <f>COUNTIFS($B$3:$B9,"Buy upgrade",$C$3:$C9,"Bigger Food Stock")</f>
        <v/>
      </c>
      <c r="AK9">
        <f>COUNTIFS($B$3:$B9,"Buy upgrade",$C$3:$C9,"Food Efficiency")</f>
        <v/>
      </c>
    </row>
    <row r="10">
      <c r="A10" t="n">
        <v>8</v>
      </c>
      <c r="B10" s="6" t="inlineStr">
        <is>
          <t>Hunt</t>
        </is>
      </c>
      <c r="C10" s="6" t="inlineStr">
        <is>
          <t>Bristle Cub</t>
        </is>
      </c>
      <c r="D10" s="6" t="n">
        <v>5</v>
      </c>
      <c r="E10" s="7">
        <f>IF(B10="","",IF(OR(B10="Hunt",B10="Go AFK"),IF(C10="","Can't","OK"),IF(B10="Fight boss",IF(I9&lt;IF((IFERROR(VLOOKUP(C10,Monsters!$T$4:$AH$15,15,FALSE),0))=0,120,IFERROR(VLOOKUP(C10,Monsters!$T$4:$AH$15,15,FALSE),0)),"Can't","OK"),IF(B10="Hire hunter",IF(AND(C10="Briar",AD9&gt;=1),"Can't",IF(H9&lt;IF(C10="Briar",140,IF(C10="Quill",3650,IF(C10="Moss",4850,IF(C10="Ember",12200,0)))),"Can't","OK")),IF(OR(B10="Buy upgrade",B10="Forge/Scrapwork buy"),IF(IFERROR(VLOOKUP(C10,Upgrades!$N$4:$T$47,2,FALSE),0)="points","Can't",IF(IFERROR(VLOOKUP(C10,Upgrades!$N$4:$T$47,2,FALSE),0)="gold",IF(H9&lt;IFERROR(FLOOR(IFERROR(VLOOKUP(C10,Upgrades!$N$4:$T$47,3,FALSE),0)*(IFERROR(VLOOKUP(C10,Upgrades!$N$4:$T$47,4,FALSE),0)^(COUNTIFS($B$3:$B9,"Buy upgrade",$C$3:$C9,C10)+COUNTIFS($B$3:$B9,"Hire hunter",$C$3:$C9,C10)+COUNTIFS($B$3:$B9,"Forge/Scrapwork buy",$C$3:$C9,C10))),1),0),"Can't","OK"),IF(IFERROR(VLOOKUP(C10,Upgrades!$N$4:$T$47,2,FALSE),0)="scraps",IF(J9&lt;IFERROR(FLOOR(IFERROR(VLOOKUP(C10,Upgrades!$N$4:$T$47,3,FALSE),0)*(IFERROR(VLOOKUP(C10,Upgrades!$N$4:$T$47,4,FALSE),0)^(COUNTIFS($B$3:$B9,"Buy upgrade",$C$3:$C9,C10)+COUNTIFS($B$3:$B9,"Hire hunter",$C$3:$C9,C10)+COUNTIFS($B$3:$B9,"Forge/Scrapwork buy",$C$3:$C9,C10))),1),0),"Can't","OK"),IF(IFERROR(VLOOKUP(C10,Upgrades!$N$4:$T$47,2,FALSE),0)="mats","Can't","OK")))),"Check")))))</f>
        <v/>
      </c>
      <c r="F10" s="7">
        <f>IF(B10="","",IF(AND(B10="Fight boss",I9&lt;IF((IFERROR(VLOOKUP(C10,Monsters!$T$4:$AH$15,15,FALSE),0))=0,120,IFERROR(VLOOKUP(C10,Monsters!$T$4:$AH$15,15,FALSE),0))),"Can't — need "&amp;TEXT(IF((IFERROR(VLOOKUP(C10,Monsters!$T$4:$AH$15,15,FALSE),0))=0,120,IFERROR(VLOOKUP(C10,Monsters!$T$4:$AH$15,15,FALSE),0))-I9,"0.0")&amp;" more Slayer points on the meter",IF(AND(B10="Hire hunter",C10="Briar",AD9&gt;=1),"Can't — already hired",IF(AND(B10="Hire hunter",H9&lt;IF(C10="Briar",140,IF(C10="Quill",3650,IF(C10="Moss",4850,IF(C10="Ember",12200,0))))),"Can't — need "&amp;TEXT(IF(C10="Briar",140,IF(C10="Quill",3650,IF(C10="Moss",4850,IF(C10="Ember",12200,0))))-H9,"0")&amp;" more gold",IF(AND(OR(B10="Buy upgrade",B10="Forge/Scrapwork buy"),IFERROR(VLOOKUP(C10,Upgrades!$N$4:$T$47,2,FALSE),0)="points"),"Can't — Sp-wallet spends not tracked here",IF(AND(OR(B10="Buy upgrade",B10="Forge/Scrapwork buy"),IFERROR(VLOOKUP(C10,Upgrades!$N$4:$T$47,2,FALSE),0)="gold",H9&lt;IFERROR(FLOOR(IFERROR(VLOOKUP(C10,Upgrades!$N$4:$T$47,3,FALSE),0)*(IFERROR(VLOOKUP(C10,Upgrades!$N$4:$T$47,4,FALSE),0)^(COUNTIFS($B$3:$B9,"Buy upgrade",$C$3:$C9,C10)+COUNTIFS($B$3:$B9,"Hire hunter",$C$3:$C9,C10)+COUNTIFS($B$3:$B9,"Forge/Scrapwork buy",$C$3:$C9,C10))),1),0)),"Can't — need "&amp;TEXT(IFERROR(FLOOR(IFERROR(VLOOKUP(C10,Upgrades!$N$4:$T$47,3,FALSE),0)*(IFERROR(VLOOKUP(C10,Upgrades!$N$4:$T$47,4,FALSE),0)^(COUNTIFS($B$3:$B9,"Buy upgrade",$C$3:$C9,C10)+COUNTIFS($B$3:$B9,"Hire hunter",$C$3:$C9,C10)+COUNTIFS($B$3:$B9,"Forge/Scrapwork buy",$C$3:$C9,C10))),1),0)-H9,"0")&amp;" more gold",IF(AND(OR(B10="Buy upgrade",B10="Forge/Scrapwork buy"),IFERROR(VLOOKUP(C10,Upgrades!$N$4:$T$47,2,FALSE),0)="scraps",J9&lt;IFERROR(FLOOR(IFERROR(VLOOKUP(C10,Upgrades!$N$4:$T$47,3,FALSE),0)*(IFERROR(VLOOKUP(C10,Upgrades!$N$4:$T$47,4,FALSE),0)^(COUNTIFS($B$3:$B9,"Buy upgrade",$C$3:$C9,C10)+COUNTIFS($B$3:$B9,"Hire hunter",$C$3:$C9,C10)+COUNTIFS($B$3:$B9,"Forge/Scrapwork buy",$C$3:$C9,C10))),1),0)),"Can't — need "&amp;TEXT(IFERROR(FLOOR(IFERROR(VLOOKUP(C10,Upgrades!$N$4:$T$47,3,FALSE),0)*(IFERROR(VLOOKUP(C10,Upgrades!$N$4:$T$47,4,FALSE),0)^(COUNTIFS($B$3:$B9,"Buy upgrade",$C$3:$C9,C10)+COUNTIFS($B$3:$B9,"Hire hunter",$C$3:$C9,C10)+COUNTIFS($B$3:$B9,"Forge/Scrapwork buy",$C$3:$C9,C10))),1),0)-J9,"0")&amp;" more scraps",IF(AND(B10="Fight boss",E10="OK",(IF((((105/'Rules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Formulas'!B12)),"WIN — boss down, next Level unlocks",IF(AND(B10="Fight boss",E10="OK"),"LOSE — TTK "&amp;TEXT(IF((((105/'Rules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Formulas'!B20*SQRT(1+0.55*(AG9&gt;=1))),0)))),"0")&amp;"s &gt; patience "&amp;TEXT('Rules &amp; Formulas'!B12,"0")&amp;"s (leave resets HP)",IF(B10="Go AFK","AFK resolved (see AFK counted h)","Applied")))))))))</f>
        <v/>
      </c>
      <c r="G10" s="7">
        <f>IF(AND((E10="OK"),B10="Fight boss",(IF((((105/'Rules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Formulas'!B12),C10="Elder Thornpelt"),2,IF(AND((E10="OK"),B10="Fight boss",(IF((((105/'Rules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Formulas'!B12),C10="Ashfang Alpha"),3,G9))</f>
        <v/>
      </c>
      <c r="H10" s="7">
        <f>MAX(0,H9+IF(AND((E10="OK"),B10="Hunt"),(IF(B10="Hunt",(('Rules &amp; Formulas'!B4*N9*('Rules &amp; Formulas'!B5+O9)*IFERROR(VLOOKUP(C10,Monsters!$T$4:$AH$15,10,FALSE),0)*IFERROR(VLOOKUP(C10,Monsters!$T$4:$AH$15,9,FALSE),0))*'Rules &amp; Formulas'!B6)*IF(D10="",0,D10),0))*(IFERROR(VLOOKUP(C10,Monsters!$T$4:$AH$15,3,FALSE),0))*(1+0.1*AH9)+(IF(OR(B10&lt;&gt;"Hunt",IFERROR(VLOOKUP(C10,Monsters!$T$4:$AH$15,6,FALSE),0)=0),0,FLOOR((IF(B10="Hunt",(('Rules &amp; Formulas'!B4*N9*('Rules &amp; Formulas'!B5+O9)*IFERROR(VLOOKUP(C10,Monsters!$T$4:$AH$15,10,FALSE),0)*IFERROR(VLOOKUP(C10,Monsters!$T$4:$AH$15,9,FALSE),0))*'Rules &amp; Formulas'!B6)*IF(D10="",0,D10),0))/MAX(1,IFERROR(VLOOKUP(C10,Monsters!$T$4:$AH$15,6,FALSE),0)),1)))*(IFERROR(VLOOKUP(C10,Monsters!$T$4:$AH$15,7,FALSE),0))*0.5*(1+0.1*AH9),0)+IF(AND((E10="OK"),B10="Go AFK"),(IF(B10="Go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AFK",IF(D10="",0,D10),0),Z9/60)*60)),0))*(IFERROR(VLOOKUP(C10,Monsters!$T$4:$AH$15,3,FALSE),0))*(1+0.1*AH9)+(IF(OR(B10&lt;&gt;"Go AFK",IFERROR(VLOOKUP(C10,Monsters!$T$4:$AH$15,6,FALSE),0)=0),0,FLOOR((IF(B10="Go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AFK",IF(D10="",0,D10),0),Z9/60)*60)),0))/MAX(1,IFERROR(VLOOKUP(C10,Monsters!$T$4:$AH$15,6,FALSE),0)),1)))*(IFERROR(VLOOKUP(C10,Monsters!$T$4:$AH$15,7,FALSE),0))*0.5*(1+0.1*AH9),0)+IF(AND((E10="OK"),B10="Fight boss",(IF((((105/'Rules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Formulas'!B12)),IFERROR(VLOOKUP(C10,Monsters!$T$4:$AH$15,3,FALSE),0),0)-IF(AND((E10="OK"),OR(B10="Buy upgrade",B10="Forge/Scrapwork buy"),IFERROR(VLOOKUP(C10,Upgrades!$N$4:$T$47,2,FALSE),0)="gold"),IFERROR(FLOOR(IFERROR(VLOOKUP(C10,Upgrades!$N$4:$T$47,3,FALSE),0)*(IFERROR(VLOOKUP(C10,Upgrades!$N$4:$T$47,4,FALSE),0)^(COUNTIFS($B$3:$B9,"Buy upgrade",$C$3:$C9,C10)+COUNTIFS($B$3:$B9,"Hire hunter",$C$3:$C9,C10)+COUNTIFS($B$3:$B9,"Forge/Scrapwork buy",$C$3:$C9,C10))),1),0),0)-IF(AND((E10="OK"),B10="Hire hunter"),IF(C10="Briar",140,IF(C10="Quill",3650,IF(C10="Moss",4850,IF(C10="Ember",12200,0)))),0))</f>
        <v/>
      </c>
      <c r="I10" s="7">
        <f>IF(AND((E10="OK"),B10="Fight boss",(IF((((105/'Rules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Formulas'!B12)),0,MIN(IF(G9&lt;=1,120,IF(G9=2,280,600)),I9+IF(AND((E10="OK"),B10="Hunt"),((IF(B10="Hunt",(('Rules &amp; Formulas'!B4*N9*('Rules &amp; Formulas'!B5+O9)*IFERROR(VLOOKUP(C10,Monsters!$T$4:$AH$15,10,FALSE),0)*IFERROR(VLOOKUP(C10,Monsters!$T$4:$AH$15,9,FALSE),0))*'Rules &amp; Formulas'!B6)*IF(D10="",0,D10),0))*(IFERROR(VLOOKUP(C10,Monsters!$T$4:$AH$15,4,FALSE),0))+(IF(OR(B10&lt;&gt;"Hunt",IFERROR(VLOOKUP(C10,Monsters!$T$4:$AH$15,6,FALSE),0)=0),0,FLOOR((IF(B10="Hunt",(('Rules &amp; Formulas'!B4*N9*('Rules &amp; Formulas'!B5+O9)*IFERROR(VLOOKUP(C10,Monsters!$T$4:$AH$15,10,FALSE),0)*IFERROR(VLOOKUP(C10,Monsters!$T$4:$AH$15,9,FALSE),0))*'Rules &amp; Formulas'!B6)*IF(D10="",0,D10),0))/MAX(1,IFERROR(VLOOKUP(C10,Monsters!$T$4:$AH$15,6,FALSE),0)),1)))*(IFERROR(VLOOKUP(C10,Monsters!$T$4:$AH$15,7,FALSE),0))),0)+IF(AND((E10="OK"),B10="Go AFK"),((IF(B10="Go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AFK",IF(D10="",0,D10),0),Z9/60)*60)),0))*(IFERROR(VLOOKUP(C10,Monsters!$T$4:$AH$15,4,FALSE),0))+(IF(OR(B10&lt;&gt;"Go AFK",IFERROR(VLOOKUP(C10,Monsters!$T$4:$AH$15,6,FALSE),0)=0),0,FLOOR((IF(B10="Go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AFK",IF(D10="",0,D10),0),Z9/60)*60)),0))/MAX(1,IFERROR(VLOOKUP(C10,Monsters!$T$4:$AH$15,6,FALSE),0)),1)))*(IFERROR(VLOOKUP(C10,Monsters!$T$4:$AH$15,7,FALSE),0))),0)))</f>
        <v/>
      </c>
      <c r="J10" s="7">
        <f>MAX(0,J9+IF(AND((E10="OK"),B10="Hunt"),(IF(B10="Hunt",(('Rules &amp; Formulas'!B4*N9*('Rules &amp; Formulas'!B5+O9)*IFERROR(VLOOKUP(C10,Monsters!$T$4:$AH$15,10,FALSE),0)*IFERROR(VLOOKUP(C10,Monsters!$T$4:$AH$15,9,FALSE),0))*'Rules &amp; Formulas'!B6)*IF(D10="",0,D10),0))*(IFERROR(VLOOKUP(C10,Monsters!$T$4:$AH$15,5,FALSE),0)),0)+IF(AND((E10="OK"),B10="Go AFK"),(IF(B10="Go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AFK",IF(D10="",0,D10),0),Z9/60)*60)),0))*(IFERROR(VLOOKUP(C10,Monsters!$T$4:$AH$15,5,FALSE),0)),0)-IF(AND((E10="OK"),OR(B10="Buy upgrade",B10="Forge/Scrapwork buy"),IFERROR(VLOOKUP(C10,Upgrades!$N$4:$T$47,2,FALSE),0)="scraps"),IFERROR(FLOOR(IFERROR(VLOOKUP(C10,Upgrades!$N$4:$T$47,3,FALSE),0)*(IFERROR(VLOOKUP(C10,Upgrades!$N$4:$T$47,4,FALSE),0)^(COUNTIFS($B$3:$B9,"Buy upgrade",$C$3:$C9,C10)+COUNTIFS($B$3:$B9,"Hire hunter",$C$3:$C9,C10)+COUNTIFS($B$3:$B9,"Forge/Scrapwork buy",$C$3:$C9,C10))),1),0),0))</f>
        <v/>
      </c>
      <c r="K10" s="7">
        <f>MAX(0,K9+IF(AND((E10="OK"),B10="Hunt"),IF(C10="Thornpelt Bear",(IF(B10="Hunt",(('Rules &amp; Formulas'!B4*N9*('Rules &amp; Formulas'!B5+O9)*IFERROR(VLOOKUP(C10,Monsters!$T$4:$AH$15,10,FALSE),0)*IFERROR(VLOOKUP(C10,Monsters!$T$4:$AH$15,9,FALSE),0))*'Rules &amp; Formulas'!B6)*IF(D10="",0,D10),0))*0.12,0),0)+IF(AND((E10="OK"),B10="Go AFK"),IF(C10="Thornpelt Bear",(IF(B10="Go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AFK",IF(D10="",0,D10),0),Z9/60)*60)),0))*0.12,0),0))</f>
        <v/>
      </c>
      <c r="L10" s="7">
        <f>MAX(0,L9+IF(AND((E10="OK"),B10="Hunt"),IF(C10="Dire Thornpelt",(IF(B10="Hunt",(('Rules &amp; Formulas'!B4*N9*('Rules &amp; Formulas'!B5+O9)*IFERROR(VLOOKUP(C10,Monsters!$T$4:$AH$15,10,FALSE),0)*IFERROR(VLOOKUP(C10,Monsters!$T$4:$AH$15,9,FALSE),0))*'Rules &amp; Formulas'!B6)*IF(D10="",0,D10),0))*0.1,0),0)+IF(AND((E10="OK"),B10="Go AFK"),IF(C10="Dire Thornpelt",(IF(B10="Go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AFK",IF(D10="",0,D10),0),Z9/60)*60)),0))*0.1,0),0))</f>
        <v/>
      </c>
      <c r="M10" s="7">
        <f>IF(AND((E10="OK"),B10="Go AFK"),MAX(0,MIN(('Rules &amp; Formulas'!B15+25*AJ9),M9+('Rules &amp; Formulas'!B14+0.4*AJ9)*(MIN(IF(B10="Go AFK",IF(D10="",0,D10),0),Z9/60)*60))-(IF(B10="Go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AFK",IF(D10="",0,D10),0),Z9/60)*60)),0))*(IF((IFERROR(VLOOKUP(C10,Monsters!$T$4:$AH$15,8,FALSE),0))=0,0.35,IFERROR(VLOOKUP(C10,Monsters!$T$4:$AH$15,8,FALSE),0))/(1+0.08*AK9))),MIN(('Rules &amp; Formulas'!B15+25*AJ10),M9))</f>
        <v/>
      </c>
      <c r="N10" s="7">
        <f>(1+0.08+0.12*AA10+0.12*AB10+0.16*AC10)</f>
        <v/>
      </c>
      <c r="O10" s="7">
        <f>((AD10&gt;=1)*1*(1+0.3*AE10))</f>
        <v/>
      </c>
      <c r="P10" s="7">
        <f>IF(OR(B10="Hunt",B10="Go AFK"),(('Rules &amp; Formulas'!B4*N9*('Rules &amp; Formulas'!B5+O9)*IFERROR(VLOOKUP(C10,Monsters!$T$4:$AH$15,10,FALSE),0)*IFERROR(VLOOKUP(C10,Monsters!$T$4:$AH$15,9,FALSE),0))*'Rules &amp; Formulas'!B6),"")</f>
        <v/>
      </c>
      <c r="Q10" s="7">
        <f>IF(OR(B10="Hunt",B10="Go AFK"),('Rules &amp; Formulas'!B4*N9*('Rules &amp; Formulas'!B5+O9)*IFERROR(VLOOKUP(C10,Monsters!$T$4:$AH$15,10,FALSE),0)*IFERROR(VLOOKUP(C10,Monsters!$T$4:$AH$15,9,FALSE),0)),"")</f>
        <v/>
      </c>
      <c r="R10" s="7">
        <f>IF(AND((E10="OK"),B10="Hunt"),IF(B10="Hunt",(('Rules &amp; Formulas'!B4*N9*('Rules &amp; Formulas'!B5+O9)*IFERROR(VLOOKUP(C10,Monsters!$T$4:$AH$15,10,FALSE),0)*IFERROR(VLOOKUP(C10,Monsters!$T$4:$AH$15,9,FALSE),0))*'Rules &amp; Formulas'!B6)*IF(D10="",0,D10),0),IF(AND((E10="OK"),B10="Go AFK"),IF(B10="Go AFK",MIN(IF((IF((IFERROR(VLOOKUP(C10,Monsters!$T$4:$AH$15,8,FALSE),0))=0,0.35,IFERROR(VLOOKUP(C10,Monsters!$T$4:$AH$15,8,FALSE),0))/(1+0.08*AK9))&lt;=0,999999,FLOOR(MIN(('Rules &amp; Formulas'!B15+25*AJ9),M9+('Rules &amp; Formulas'!B14+0.4*AJ9)*(MIN(IF(B10="Go AFK",IF(D10="",0,D10),0),Z9/60)*60))/(IF((IFERROR(VLOOKUP(C10,Monsters!$T$4:$AH$15,8,FALSE),0))=0,0.35,IFERROR(VLOOKUP(C10,Monsters!$T$4:$AH$15,8,FALSE),0))/(1+0.08*AK9)),1)),('Rules &amp; Formulas'!B4*N9*('Rules &amp; Formulas'!B5+O9)*IFERROR(VLOOKUP(C10,Monsters!$T$4:$AH$15,10,FALSE),0)*IFERROR(VLOOKUP(C10,Monsters!$T$4:$AH$15,9,FALSE),0))*(MIN(IF(B10="Go AFK",IF(D10="",0,D10),0),Z9/60)*60)),0),0))</f>
        <v/>
      </c>
      <c r="S10" s="7">
        <f>(105/'Rules &amp; Formulas'!B10)*'Rules &amp; Formulas'!B11</f>
        <v/>
      </c>
      <c r="T10" s="7">
        <f>IF(AD9&gt;=1,(MAX(1,ROUND('Rules &amp; Formulas'!B18*(1+0.3*AE9)*(1+0.4*AF9),0)))*(1000/'Rules &amp; Formulas'!B19)*MIN(0.95,'Rules &amp; Formulas'!B20*SQRT(1+0.55*(AG9&gt;=1))),0)</f>
        <v/>
      </c>
      <c r="U10" s="7">
        <f>S10+T10</f>
        <v/>
      </c>
      <c r="V10" s="7">
        <f>IF(I9&gt;=IF((IFERROR(VLOOKUP(C10,Monsters!$T$4:$AH$15,15,FALSE),0))=0,120,IFERROR(VLOOKUP(C10,Monsters!$T$4:$AH$15,15,FALSE),0)),"YES","no")</f>
        <v/>
      </c>
      <c r="W10" s="7">
        <f>IF(AND(B10="Fight boss",E10="OK"),IF((((105/'Rules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Formulas'!B20*SQRT(1+0.55*(AG9&gt;=1))),0)))),"")</f>
        <v/>
      </c>
      <c r="X10" s="7">
        <f>IF(AND(B10="Fight boss",E10="OK"),IF((IF((((105/'Rules &amp; Formulas'!B10)*'Rules &amp; Formulas'!B11+IF(AD9&gt;=1,(MAX(1,ROUND('Rules &amp; Formulas'!B18*(1+0.3*AE9)*(1+0.4*AF9),0)))*(1000/'Rules &amp; Formulas'!B19)*MIN(0.95,'Rules &amp; Formulas'!B20*SQRT(1+0.55*(AG9&gt;=1))),0)))&lt;=0,9999,(IFERROR(VLOOKUP(C10,Monsters!$T$4:$AH$15,2,FALSE),0))/(((105/'Rules &amp; Formulas'!B10)*'Rules &amp; Formulas'!B11+IF(AD9&gt;=1,(MAX(1,ROUND('Rules &amp; Formulas'!B18*(1+0.3*AE9)*(1+0.4*AF9),0)))*(1000/'Rules &amp; Formulas'!B19)*MIN(0.95,'Rules &amp; Formulas'!B20*SQRT(1+0.55*(AG9&gt;=1))),0))))&lt;='Rules &amp; Formulas'!B12),"WIN","LOSE"),"")</f>
        <v/>
      </c>
      <c r="Y10" s="7">
        <f>IF(B10="Go AFK",MIN(IF(B10="Go AFK",IF(D10="",0,D10),0),Z9/60),"")</f>
        <v/>
      </c>
      <c r="Z10" s="7">
        <f>('Rules &amp; Formulas'!B13+30*AI10)</f>
        <v/>
      </c>
      <c r="AA10">
        <f>COUNTIFS($B$3:$B10,"Buy upgrade",$C$3:$C10,"Idle Power")</f>
        <v/>
      </c>
      <c r="AB10">
        <f>COUNTIFS($B$3:$B10,"Buy upgrade",$C$3:$C10,"Iron Blade")</f>
        <v/>
      </c>
      <c r="AC10">
        <f>COUNTIFS($B$3:$B10,"Buy upgrade",$C$3:$C10,"Steel Blade")</f>
        <v/>
      </c>
      <c r="AD10">
        <f>COUNTIFS($B$3:$B10,"Hire hunter",$C$3:$C10,"Briar")+COUNTIFS($B$3:$B10,"Buy upgrade",$C$3:$C10,"Hire Briar")</f>
        <v/>
      </c>
      <c r="AE10">
        <f>COUNTIFS($B$3:$B10,"Buy upgrade",$C$3:$C10,"Hunter Power")</f>
        <v/>
      </c>
      <c r="AF10">
        <f>COUNTIFS($B$3:$B10,"Buy upgrade",$C$3:$C10,"Bigger Hits")</f>
        <v/>
      </c>
      <c r="AG10">
        <f>COUNTIFS($B$3:$B10,"Buy upgrade",$C$3:$C10,"Swift Walk")</f>
        <v/>
      </c>
      <c r="AH10">
        <f>COUNTIFS($B$3:$B10,"Buy upgrade",$C$3:$C10,"Loot Luck")</f>
        <v/>
      </c>
      <c r="AI10">
        <f>COUNTIFS($B$3:$B10,"Buy upgrade",$C$3:$C10,"Offline Cap")</f>
        <v/>
      </c>
      <c r="AJ10">
        <f>COUNTIFS($B$3:$B10,"Buy upgrade",$C$3:$C10,"Bigger Food Stock")</f>
        <v/>
      </c>
      <c r="AK10">
        <f>COUNTIFS($B$3:$B10,"Buy upgrade",$C$3:$C10,"Food Efficiency")</f>
        <v/>
      </c>
    </row>
    <row r="11">
      <c r="A11" t="n">
        <v>9</v>
      </c>
      <c r="B11" s="6" t="inlineStr">
        <is>
          <t>Fight boss</t>
        </is>
      </c>
      <c r="C11" s="6" t="inlineStr">
        <is>
          <t>Elder Thornpelt</t>
        </is>
      </c>
      <c r="D11" s="6" t="n"/>
      <c r="E11" s="7">
        <f>IF(B11="","",IF(OR(B11="Hunt",B11="Go AFK"),IF(C11="","Can't","OK"),IF(B11="Fight boss",IF(I10&lt;IF((IFERROR(VLOOKUP(C11,Monsters!$T$4:$AH$15,15,FALSE),0))=0,120,IFERROR(VLOOKUP(C11,Monsters!$T$4:$AH$15,15,FALSE),0)),"Can't","OK"),IF(B11="Hire hunter",IF(AND(C11="Briar",AD10&gt;=1),"Can't",IF(H10&lt;IF(C11="Briar",140,IF(C11="Quill",3650,IF(C11="Moss",4850,IF(C11="Ember",12200,0)))),"Can't","OK")),IF(OR(B11="Buy upgrade",B11="Forge/Scrapwork buy"),IF(IFERROR(VLOOKUP(C11,Upgrades!$N$4:$T$47,2,FALSE),0)="points","Can't",IF(IFERROR(VLOOKUP(C11,Upgrades!$N$4:$T$47,2,FALSE),0)="gold",IF(H10&lt;IFERROR(FLOOR(IFERROR(VLOOKUP(C11,Upgrades!$N$4:$T$47,3,FALSE),0)*(IFERROR(VLOOKUP(C11,Upgrades!$N$4:$T$47,4,FALSE),0)^(COUNTIFS($B$3:$B10,"Buy upgrade",$C$3:$C10,C11)+COUNTIFS($B$3:$B10,"Hire hunter",$C$3:$C10,C11)+COUNTIFS($B$3:$B10,"Forge/Scrapwork buy",$C$3:$C10,C11))),1),0),"Can't","OK"),IF(IFERROR(VLOOKUP(C11,Upgrades!$N$4:$T$47,2,FALSE),0)="scraps",IF(J10&lt;IFERROR(FLOOR(IFERROR(VLOOKUP(C11,Upgrades!$N$4:$T$47,3,FALSE),0)*(IFERROR(VLOOKUP(C11,Upgrades!$N$4:$T$47,4,FALSE),0)^(COUNTIFS($B$3:$B10,"Buy upgrade",$C$3:$C10,C11)+COUNTIFS($B$3:$B10,"Hire hunter",$C$3:$C10,C11)+COUNTIFS($B$3:$B10,"Forge/Scrapwork buy",$C$3:$C10,C11))),1),0),"Can't","OK"),IF(IFERROR(VLOOKUP(C11,Upgrades!$N$4:$T$47,2,FALSE),0)="mats","Can't","OK")))),"Check")))))</f>
        <v/>
      </c>
      <c r="F11" s="7">
        <f>IF(B11="","",IF(AND(B11="Fight boss",I10&lt;IF((IFERROR(VLOOKUP(C11,Monsters!$T$4:$AH$15,15,FALSE),0))=0,120,IFERROR(VLOOKUP(C11,Monsters!$T$4:$AH$15,15,FALSE),0))),"Can't — need "&amp;TEXT(IF((IFERROR(VLOOKUP(C11,Monsters!$T$4:$AH$15,15,FALSE),0))=0,120,IFERROR(VLOOKUP(C11,Monsters!$T$4:$AH$15,15,FALSE),0))-I10,"0.0")&amp;" more Slayer points on the meter",IF(AND(B11="Hire hunter",C11="Briar",AD10&gt;=1),"Can't — already hired",IF(AND(B11="Hire hunter",H10&lt;IF(C11="Briar",140,IF(C11="Quill",3650,IF(C11="Moss",4850,IF(C11="Ember",12200,0))))),"Can't — need "&amp;TEXT(IF(C11="Briar",140,IF(C11="Quill",3650,IF(C11="Moss",4850,IF(C11="Ember",12200,0))))-H10,"0")&amp;" more gold",IF(AND(OR(B11="Buy upgrade",B11="Forge/Scrapwork buy"),IFERROR(VLOOKUP(C11,Upgrades!$N$4:$T$47,2,FALSE),0)="points"),"Can't — Sp-wallet spends not tracked here",IF(AND(OR(B11="Buy upgrade",B11="Forge/Scrapwork buy"),IFERROR(VLOOKUP(C11,Upgrades!$N$4:$T$47,2,FALSE),0)="gold",H10&lt;IFERROR(FLOOR(IFERROR(VLOOKUP(C11,Upgrades!$N$4:$T$47,3,FALSE),0)*(IFERROR(VLOOKUP(C11,Upgrades!$N$4:$T$47,4,FALSE),0)^(COUNTIFS($B$3:$B10,"Buy upgrade",$C$3:$C10,C11)+COUNTIFS($B$3:$B10,"Hire hunter",$C$3:$C10,C11)+COUNTIFS($B$3:$B10,"Forge/Scrapwork buy",$C$3:$C10,C11))),1),0)),"Can't — need "&amp;TEXT(IFERROR(FLOOR(IFERROR(VLOOKUP(C11,Upgrades!$N$4:$T$47,3,FALSE),0)*(IFERROR(VLOOKUP(C11,Upgrades!$N$4:$T$47,4,FALSE),0)^(COUNTIFS($B$3:$B10,"Buy upgrade",$C$3:$C10,C11)+COUNTIFS($B$3:$B10,"Hire hunter",$C$3:$C10,C11)+COUNTIFS($B$3:$B10,"Forge/Scrapwork buy",$C$3:$C10,C11))),1),0)-H10,"0")&amp;" more gold",IF(AND(OR(B11="Buy upgrade",B11="Forge/Scrapwork buy"),IFERROR(VLOOKUP(C11,Upgrades!$N$4:$T$47,2,FALSE),0)="scraps",J10&lt;IFERROR(FLOOR(IFERROR(VLOOKUP(C11,Upgrades!$N$4:$T$47,3,FALSE),0)*(IFERROR(VLOOKUP(C11,Upgrades!$N$4:$T$47,4,FALSE),0)^(COUNTIFS($B$3:$B10,"Buy upgrade",$C$3:$C10,C11)+COUNTIFS($B$3:$B10,"Hire hunter",$C$3:$C10,C11)+COUNTIFS($B$3:$B10,"Forge/Scrapwork buy",$C$3:$C10,C11))),1),0)),"Can't — need "&amp;TEXT(IFERROR(FLOOR(IFERROR(VLOOKUP(C11,Upgrades!$N$4:$T$47,3,FALSE),0)*(IFERROR(VLOOKUP(C11,Upgrades!$N$4:$T$47,4,FALSE),0)^(COUNTIFS($B$3:$B10,"Buy upgrade",$C$3:$C10,C11)+COUNTIFS($B$3:$B10,"Hire hunter",$C$3:$C10,C11)+COUNTIFS($B$3:$B10,"Forge/Scrapwork buy",$C$3:$C10,C11))),1),0)-J10,"0")&amp;" more scraps",IF(AND(B11="Fight boss",E11="OK",(IF((((105/'Rules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Formulas'!B12)),"WIN — boss down, next Level unlocks",IF(AND(B11="Fight boss",E11="OK"),"LOSE — TTK "&amp;TEXT(IF((((105/'Rules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Formulas'!B20*SQRT(1+0.55*(AG10&gt;=1))),0)))),"0")&amp;"s &gt; patience "&amp;TEXT('Rules &amp; Formulas'!B12,"0")&amp;"s (leave resets HP)",IF(B11="Go AFK","AFK resolved (see AFK counted h)","Applied")))))))))</f>
        <v/>
      </c>
      <c r="G11" s="7">
        <f>IF(AND((E11="OK"),B11="Fight boss",(IF((((105/'Rules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Formulas'!B12),C11="Elder Thornpelt"),2,IF(AND((E11="OK"),B11="Fight boss",(IF((((105/'Rules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Formulas'!B12),C11="Ashfang Alpha"),3,G10))</f>
        <v/>
      </c>
      <c r="H11" s="7">
        <f>MAX(0,H10+IF(AND((E11="OK"),B11="Hunt"),(IF(B11="Hunt",(('Rules &amp; Formulas'!B4*N10*('Rules &amp; Formulas'!B5+O10)*IFERROR(VLOOKUP(C11,Monsters!$T$4:$AH$15,10,FALSE),0)*IFERROR(VLOOKUP(C11,Monsters!$T$4:$AH$15,9,FALSE),0))*'Rules &amp; Formulas'!B6)*IF(D11="",0,D11),0))*(IFERROR(VLOOKUP(C11,Monsters!$T$4:$AH$15,3,FALSE),0))*(1+0.1*AH10)+(IF(OR(B11&lt;&gt;"Hunt",IFERROR(VLOOKUP(C11,Monsters!$T$4:$AH$15,6,FALSE),0)=0),0,FLOOR((IF(B11="Hunt",(('Rules &amp; Formulas'!B4*N10*('Rules &amp; Formulas'!B5+O10)*IFERROR(VLOOKUP(C11,Monsters!$T$4:$AH$15,10,FALSE),0)*IFERROR(VLOOKUP(C11,Monsters!$T$4:$AH$15,9,FALSE),0))*'Rules &amp; Formulas'!B6)*IF(D11="",0,D11),0))/MAX(1,IFERROR(VLOOKUP(C11,Monsters!$T$4:$AH$15,6,FALSE),0)),1)))*(IFERROR(VLOOKUP(C11,Monsters!$T$4:$AH$15,7,FALSE),0))*0.5*(1+0.1*AH10),0)+IF(AND((E11="OK"),B11="Go AFK"),(IF(B11="Go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AFK",IF(D11="",0,D11),0),Z10/60)*60)),0))*(IFERROR(VLOOKUP(C11,Monsters!$T$4:$AH$15,3,FALSE),0))*(1+0.1*AH10)+(IF(OR(B11&lt;&gt;"Go AFK",IFERROR(VLOOKUP(C11,Monsters!$T$4:$AH$15,6,FALSE),0)=0),0,FLOOR((IF(B11="Go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AFK",IF(D11="",0,D11),0),Z10/60)*60)),0))/MAX(1,IFERROR(VLOOKUP(C11,Monsters!$T$4:$AH$15,6,FALSE),0)),1)))*(IFERROR(VLOOKUP(C11,Monsters!$T$4:$AH$15,7,FALSE),0))*0.5*(1+0.1*AH10),0)+IF(AND((E11="OK"),B11="Fight boss",(IF((((105/'Rules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Formulas'!B12)),IFERROR(VLOOKUP(C11,Monsters!$T$4:$AH$15,3,FALSE),0),0)-IF(AND((E11="OK"),OR(B11="Buy upgrade",B11="Forge/Scrapwork buy"),IFERROR(VLOOKUP(C11,Upgrades!$N$4:$T$47,2,FALSE),0)="gold"),IFERROR(FLOOR(IFERROR(VLOOKUP(C11,Upgrades!$N$4:$T$47,3,FALSE),0)*(IFERROR(VLOOKUP(C11,Upgrades!$N$4:$T$47,4,FALSE),0)^(COUNTIFS($B$3:$B10,"Buy upgrade",$C$3:$C10,C11)+COUNTIFS($B$3:$B10,"Hire hunter",$C$3:$C10,C11)+COUNTIFS($B$3:$B10,"Forge/Scrapwork buy",$C$3:$C10,C11))),1),0),0)-IF(AND((E11="OK"),B11="Hire hunter"),IF(C11="Briar",140,IF(C11="Quill",3650,IF(C11="Moss",4850,IF(C11="Ember",12200,0)))),0))</f>
        <v/>
      </c>
      <c r="I11" s="7">
        <f>IF(AND((E11="OK"),B11="Fight boss",(IF((((105/'Rules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Formulas'!B12)),0,MIN(IF(G10&lt;=1,120,IF(G10=2,280,600)),I10+IF(AND((E11="OK"),B11="Hunt"),((IF(B11="Hunt",(('Rules &amp; Formulas'!B4*N10*('Rules &amp; Formulas'!B5+O10)*IFERROR(VLOOKUP(C11,Monsters!$T$4:$AH$15,10,FALSE),0)*IFERROR(VLOOKUP(C11,Monsters!$T$4:$AH$15,9,FALSE),0))*'Rules &amp; Formulas'!B6)*IF(D11="",0,D11),0))*(IFERROR(VLOOKUP(C11,Monsters!$T$4:$AH$15,4,FALSE),0))+(IF(OR(B11&lt;&gt;"Hunt",IFERROR(VLOOKUP(C11,Monsters!$T$4:$AH$15,6,FALSE),0)=0),0,FLOOR((IF(B11="Hunt",(('Rules &amp; Formulas'!B4*N10*('Rules &amp; Formulas'!B5+O10)*IFERROR(VLOOKUP(C11,Monsters!$T$4:$AH$15,10,FALSE),0)*IFERROR(VLOOKUP(C11,Monsters!$T$4:$AH$15,9,FALSE),0))*'Rules &amp; Formulas'!B6)*IF(D11="",0,D11),0))/MAX(1,IFERROR(VLOOKUP(C11,Monsters!$T$4:$AH$15,6,FALSE),0)),1)))*(IFERROR(VLOOKUP(C11,Monsters!$T$4:$AH$15,7,FALSE),0))),0)+IF(AND((E11="OK"),B11="Go AFK"),((IF(B11="Go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AFK",IF(D11="",0,D11),0),Z10/60)*60)),0))*(IFERROR(VLOOKUP(C11,Monsters!$T$4:$AH$15,4,FALSE),0))+(IF(OR(B11&lt;&gt;"Go AFK",IFERROR(VLOOKUP(C11,Monsters!$T$4:$AH$15,6,FALSE),0)=0),0,FLOOR((IF(B11="Go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AFK",IF(D11="",0,D11),0),Z10/60)*60)),0))/MAX(1,IFERROR(VLOOKUP(C11,Monsters!$T$4:$AH$15,6,FALSE),0)),1)))*(IFERROR(VLOOKUP(C11,Monsters!$T$4:$AH$15,7,FALSE),0))),0)))</f>
        <v/>
      </c>
      <c r="J11" s="7">
        <f>MAX(0,J10+IF(AND((E11="OK"),B11="Hunt"),(IF(B11="Hunt",(('Rules &amp; Formulas'!B4*N10*('Rules &amp; Formulas'!B5+O10)*IFERROR(VLOOKUP(C11,Monsters!$T$4:$AH$15,10,FALSE),0)*IFERROR(VLOOKUP(C11,Monsters!$T$4:$AH$15,9,FALSE),0))*'Rules &amp; Formulas'!B6)*IF(D11="",0,D11),0))*(IFERROR(VLOOKUP(C11,Monsters!$T$4:$AH$15,5,FALSE),0)),0)+IF(AND((E11="OK"),B11="Go AFK"),(IF(B11="Go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AFK",IF(D11="",0,D11),0),Z10/60)*60)),0))*(IFERROR(VLOOKUP(C11,Monsters!$T$4:$AH$15,5,FALSE),0)),0)-IF(AND((E11="OK"),OR(B11="Buy upgrade",B11="Forge/Scrapwork buy"),IFERROR(VLOOKUP(C11,Upgrades!$N$4:$T$47,2,FALSE),0)="scraps"),IFERROR(FLOOR(IFERROR(VLOOKUP(C11,Upgrades!$N$4:$T$47,3,FALSE),0)*(IFERROR(VLOOKUP(C11,Upgrades!$N$4:$T$47,4,FALSE),0)^(COUNTIFS($B$3:$B10,"Buy upgrade",$C$3:$C10,C11)+COUNTIFS($B$3:$B10,"Hire hunter",$C$3:$C10,C11)+COUNTIFS($B$3:$B10,"Forge/Scrapwork buy",$C$3:$C10,C11))),1),0),0))</f>
        <v/>
      </c>
      <c r="K11" s="7">
        <f>MAX(0,K10+IF(AND((E11="OK"),B11="Hunt"),IF(C11="Thornpelt Bear",(IF(B11="Hunt",(('Rules &amp; Formulas'!B4*N10*('Rules &amp; Formulas'!B5+O10)*IFERROR(VLOOKUP(C11,Monsters!$T$4:$AH$15,10,FALSE),0)*IFERROR(VLOOKUP(C11,Monsters!$T$4:$AH$15,9,FALSE),0))*'Rules &amp; Formulas'!B6)*IF(D11="",0,D11),0))*0.12,0),0)+IF(AND((E11="OK"),B11="Go AFK"),IF(C11="Thornpelt Bear",(IF(B11="Go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AFK",IF(D11="",0,D11),0),Z10/60)*60)),0))*0.12,0),0))</f>
        <v/>
      </c>
      <c r="L11" s="7">
        <f>MAX(0,L10+IF(AND((E11="OK"),B11="Hunt"),IF(C11="Dire Thornpelt",(IF(B11="Hunt",(('Rules &amp; Formulas'!B4*N10*('Rules &amp; Formulas'!B5+O10)*IFERROR(VLOOKUP(C11,Monsters!$T$4:$AH$15,10,FALSE),0)*IFERROR(VLOOKUP(C11,Monsters!$T$4:$AH$15,9,FALSE),0))*'Rules &amp; Formulas'!B6)*IF(D11="",0,D11),0))*0.1,0),0)+IF(AND((E11="OK"),B11="Go AFK"),IF(C11="Dire Thornpelt",(IF(B11="Go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AFK",IF(D11="",0,D11),0),Z10/60)*60)),0))*0.1,0),0))</f>
        <v/>
      </c>
      <c r="M11" s="7">
        <f>IF(AND((E11="OK"),B11="Go AFK"),MAX(0,MIN(('Rules &amp; Formulas'!B15+25*AJ10),M10+('Rules &amp; Formulas'!B14+0.4*AJ10)*(MIN(IF(B11="Go AFK",IF(D11="",0,D11),0),Z10/60)*60))-(IF(B11="Go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AFK",IF(D11="",0,D11),0),Z10/60)*60)),0))*(IF((IFERROR(VLOOKUP(C11,Monsters!$T$4:$AH$15,8,FALSE),0))=0,0.35,IFERROR(VLOOKUP(C11,Monsters!$T$4:$AH$15,8,FALSE),0))/(1+0.08*AK10))),MIN(('Rules &amp; Formulas'!B15+25*AJ11),M10))</f>
        <v/>
      </c>
      <c r="N11" s="7">
        <f>(1+0.08+0.12*AA11+0.12*AB11+0.16*AC11)</f>
        <v/>
      </c>
      <c r="O11" s="7">
        <f>((AD11&gt;=1)*1*(1+0.3*AE11))</f>
        <v/>
      </c>
      <c r="P11" s="7">
        <f>IF(OR(B11="Hunt",B11="Go AFK"),(('Rules &amp; Formulas'!B4*N10*('Rules &amp; Formulas'!B5+O10)*IFERROR(VLOOKUP(C11,Monsters!$T$4:$AH$15,10,FALSE),0)*IFERROR(VLOOKUP(C11,Monsters!$T$4:$AH$15,9,FALSE),0))*'Rules &amp; Formulas'!B6),"")</f>
        <v/>
      </c>
      <c r="Q11" s="7">
        <f>IF(OR(B11="Hunt",B11="Go AFK"),('Rules &amp; Formulas'!B4*N10*('Rules &amp; Formulas'!B5+O10)*IFERROR(VLOOKUP(C11,Monsters!$T$4:$AH$15,10,FALSE),0)*IFERROR(VLOOKUP(C11,Monsters!$T$4:$AH$15,9,FALSE),0)),"")</f>
        <v/>
      </c>
      <c r="R11" s="7">
        <f>IF(AND((E11="OK"),B11="Hunt"),IF(B11="Hunt",(('Rules &amp; Formulas'!B4*N10*('Rules &amp; Formulas'!B5+O10)*IFERROR(VLOOKUP(C11,Monsters!$T$4:$AH$15,10,FALSE),0)*IFERROR(VLOOKUP(C11,Monsters!$T$4:$AH$15,9,FALSE),0))*'Rules &amp; Formulas'!B6)*IF(D11="",0,D11),0),IF(AND((E11="OK"),B11="Go AFK"),IF(B11="Go AFK",MIN(IF((IF((IFERROR(VLOOKUP(C11,Monsters!$T$4:$AH$15,8,FALSE),0))=0,0.35,IFERROR(VLOOKUP(C11,Monsters!$T$4:$AH$15,8,FALSE),0))/(1+0.08*AK10))&lt;=0,999999,FLOOR(MIN(('Rules &amp; Formulas'!B15+25*AJ10),M10+('Rules &amp; Formulas'!B14+0.4*AJ10)*(MIN(IF(B11="Go AFK",IF(D11="",0,D11),0),Z10/60)*60))/(IF((IFERROR(VLOOKUP(C11,Monsters!$T$4:$AH$15,8,FALSE),0))=0,0.35,IFERROR(VLOOKUP(C11,Monsters!$T$4:$AH$15,8,FALSE),0))/(1+0.08*AK10)),1)),('Rules &amp; Formulas'!B4*N10*('Rules &amp; Formulas'!B5+O10)*IFERROR(VLOOKUP(C11,Monsters!$T$4:$AH$15,10,FALSE),0)*IFERROR(VLOOKUP(C11,Monsters!$T$4:$AH$15,9,FALSE),0))*(MIN(IF(B11="Go AFK",IF(D11="",0,D11),0),Z10/60)*60)),0),0))</f>
        <v/>
      </c>
      <c r="S11" s="7">
        <f>(105/'Rules &amp; Formulas'!B10)*'Rules &amp; Formulas'!B11</f>
        <v/>
      </c>
      <c r="T11" s="7">
        <f>IF(AD10&gt;=1,(MAX(1,ROUND('Rules &amp; Formulas'!B18*(1+0.3*AE10)*(1+0.4*AF10),0)))*(1000/'Rules &amp; Formulas'!B19)*MIN(0.95,'Rules &amp; Formulas'!B20*SQRT(1+0.55*(AG10&gt;=1))),0)</f>
        <v/>
      </c>
      <c r="U11" s="7">
        <f>S11+T11</f>
        <v/>
      </c>
      <c r="V11" s="7">
        <f>IF(I10&gt;=IF((IFERROR(VLOOKUP(C11,Monsters!$T$4:$AH$15,15,FALSE),0))=0,120,IFERROR(VLOOKUP(C11,Monsters!$T$4:$AH$15,15,FALSE),0)),"YES","no")</f>
        <v/>
      </c>
      <c r="W11" s="7">
        <f>IF(AND(B11="Fight boss",E11="OK"),IF((((105/'Rules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Formulas'!B20*SQRT(1+0.55*(AG10&gt;=1))),0)))),"")</f>
        <v/>
      </c>
      <c r="X11" s="7">
        <f>IF(AND(B11="Fight boss",E11="OK"),IF((IF((((105/'Rules &amp; Formulas'!B10)*'Rules &amp; Formulas'!B11+IF(AD10&gt;=1,(MAX(1,ROUND('Rules &amp; Formulas'!B18*(1+0.3*AE10)*(1+0.4*AF10),0)))*(1000/'Rules &amp; Formulas'!B19)*MIN(0.95,'Rules &amp; Formulas'!B20*SQRT(1+0.55*(AG10&gt;=1))),0)))&lt;=0,9999,(IFERROR(VLOOKUP(C11,Monsters!$T$4:$AH$15,2,FALSE),0))/(((105/'Rules &amp; Formulas'!B10)*'Rules &amp; Formulas'!B11+IF(AD10&gt;=1,(MAX(1,ROUND('Rules &amp; Formulas'!B18*(1+0.3*AE10)*(1+0.4*AF10),0)))*(1000/'Rules &amp; Formulas'!B19)*MIN(0.95,'Rules &amp; Formulas'!B20*SQRT(1+0.55*(AG10&gt;=1))),0))))&lt;='Rules &amp; Formulas'!B12),"WIN","LOSE"),"")</f>
        <v/>
      </c>
      <c r="Y11" s="7">
        <f>IF(B11="Go AFK",MIN(IF(B11="Go AFK",IF(D11="",0,D11),0),Z10/60),"")</f>
        <v/>
      </c>
      <c r="Z11" s="7">
        <f>('Rules &amp; Formulas'!B13+30*AI11)</f>
        <v/>
      </c>
      <c r="AA11">
        <f>COUNTIFS($B$3:$B11,"Buy upgrade",$C$3:$C11,"Idle Power")</f>
        <v/>
      </c>
      <c r="AB11">
        <f>COUNTIFS($B$3:$B11,"Buy upgrade",$C$3:$C11,"Iron Blade")</f>
        <v/>
      </c>
      <c r="AC11">
        <f>COUNTIFS($B$3:$B11,"Buy upgrade",$C$3:$C11,"Steel Blade")</f>
        <v/>
      </c>
      <c r="AD11">
        <f>COUNTIFS($B$3:$B11,"Hire hunter",$C$3:$C11,"Briar")+COUNTIFS($B$3:$B11,"Buy upgrade",$C$3:$C11,"Hire Briar")</f>
        <v/>
      </c>
      <c r="AE11">
        <f>COUNTIFS($B$3:$B11,"Buy upgrade",$C$3:$C11,"Hunter Power")</f>
        <v/>
      </c>
      <c r="AF11">
        <f>COUNTIFS($B$3:$B11,"Buy upgrade",$C$3:$C11,"Bigger Hits")</f>
        <v/>
      </c>
      <c r="AG11">
        <f>COUNTIFS($B$3:$B11,"Buy upgrade",$C$3:$C11,"Swift Walk")</f>
        <v/>
      </c>
      <c r="AH11">
        <f>COUNTIFS($B$3:$B11,"Buy upgrade",$C$3:$C11,"Loot Luck")</f>
        <v/>
      </c>
      <c r="AI11">
        <f>COUNTIFS($B$3:$B11,"Buy upgrade",$C$3:$C11,"Offline Cap")</f>
        <v/>
      </c>
      <c r="AJ11">
        <f>COUNTIFS($B$3:$B11,"Buy upgrade",$C$3:$C11,"Bigger Food Stock")</f>
        <v/>
      </c>
      <c r="AK11">
        <f>COUNTIFS($B$3:$B11,"Buy upgrade",$C$3:$C11,"Food Efficiency")</f>
        <v/>
      </c>
    </row>
    <row r="12">
      <c r="A12" t="n">
        <v>10</v>
      </c>
      <c r="B12" s="6" t="inlineStr">
        <is>
          <t>Hire hunter</t>
        </is>
      </c>
      <c r="C12" s="6" t="inlineStr">
        <is>
          <t>Briar</t>
        </is>
      </c>
      <c r="D12" s="6" t="n"/>
      <c r="E12" s="7">
        <f>IF(B12="","",IF(OR(B12="Hunt",B12="Go AFK"),IF(C12="","Can't","OK"),IF(B12="Fight boss",IF(I11&lt;IF((IFERROR(VLOOKUP(C12,Monsters!$T$4:$AH$15,15,FALSE),0))=0,120,IFERROR(VLOOKUP(C12,Monsters!$T$4:$AH$15,15,FALSE),0)),"Can't","OK"),IF(B12="Hire hunter",IF(AND(C12="Briar",AD11&gt;=1),"Can't",IF(H11&lt;IF(C12="Briar",140,IF(C12="Quill",3650,IF(C12="Moss",4850,IF(C12="Ember",12200,0)))),"Can't","OK")),IF(OR(B12="Buy upgrade",B12="Forge/Scrapwork buy"),IF(IFERROR(VLOOKUP(C12,Upgrades!$N$4:$T$47,2,FALSE),0)="points","Can't",IF(IFERROR(VLOOKUP(C12,Upgrades!$N$4:$T$47,2,FALSE),0)="gold",IF(H11&lt;IFERROR(FLOOR(IFERROR(VLOOKUP(C12,Upgrades!$N$4:$T$47,3,FALSE),0)*(IFERROR(VLOOKUP(C12,Upgrades!$N$4:$T$47,4,FALSE),0)^(COUNTIFS($B$3:$B11,"Buy upgrade",$C$3:$C11,C12)+COUNTIFS($B$3:$B11,"Hire hunter",$C$3:$C11,C12)+COUNTIFS($B$3:$B11,"Forge/Scrapwork buy",$C$3:$C11,C12))),1),0),"Can't","OK"),IF(IFERROR(VLOOKUP(C12,Upgrades!$N$4:$T$47,2,FALSE),0)="scraps",IF(J11&lt;IFERROR(FLOOR(IFERROR(VLOOKUP(C12,Upgrades!$N$4:$T$47,3,FALSE),0)*(IFERROR(VLOOKUP(C12,Upgrades!$N$4:$T$47,4,FALSE),0)^(COUNTIFS($B$3:$B11,"Buy upgrade",$C$3:$C11,C12)+COUNTIFS($B$3:$B11,"Hire hunter",$C$3:$C11,C12)+COUNTIFS($B$3:$B11,"Forge/Scrapwork buy",$C$3:$C11,C12))),1),0),"Can't","OK"),IF(IFERROR(VLOOKUP(C12,Upgrades!$N$4:$T$47,2,FALSE),0)="mats","Can't","OK")))),"Check")))))</f>
        <v/>
      </c>
      <c r="F12" s="7">
        <f>IF(B12="","",IF(AND(B12="Fight boss",I11&lt;IF((IFERROR(VLOOKUP(C12,Monsters!$T$4:$AH$15,15,FALSE),0))=0,120,IFERROR(VLOOKUP(C12,Monsters!$T$4:$AH$15,15,FALSE),0))),"Can't — need "&amp;TEXT(IF((IFERROR(VLOOKUP(C12,Monsters!$T$4:$AH$15,15,FALSE),0))=0,120,IFERROR(VLOOKUP(C12,Monsters!$T$4:$AH$15,15,FALSE),0))-I11,"0.0")&amp;" more Slayer points on the meter",IF(AND(B12="Hire hunter",C12="Briar",AD11&gt;=1),"Can't — already hired",IF(AND(B12="Hire hunter",H11&lt;IF(C12="Briar",140,IF(C12="Quill",3650,IF(C12="Moss",4850,IF(C12="Ember",12200,0))))),"Can't — need "&amp;TEXT(IF(C12="Briar",140,IF(C12="Quill",3650,IF(C12="Moss",4850,IF(C12="Ember",12200,0))))-H11,"0")&amp;" more gold",IF(AND(OR(B12="Buy upgrade",B12="Forge/Scrapwork buy"),IFERROR(VLOOKUP(C12,Upgrades!$N$4:$T$47,2,FALSE),0)="points"),"Can't — Sp-wallet spends not tracked here",IF(AND(OR(B12="Buy upgrade",B12="Forge/Scrapwork buy"),IFERROR(VLOOKUP(C12,Upgrades!$N$4:$T$47,2,FALSE),0)="gold",H11&lt;IFERROR(FLOOR(IFERROR(VLOOKUP(C12,Upgrades!$N$4:$T$47,3,FALSE),0)*(IFERROR(VLOOKUP(C12,Upgrades!$N$4:$T$47,4,FALSE),0)^(COUNTIFS($B$3:$B11,"Buy upgrade",$C$3:$C11,C12)+COUNTIFS($B$3:$B11,"Hire hunter",$C$3:$C11,C12)+COUNTIFS($B$3:$B11,"Forge/Scrapwork buy",$C$3:$C11,C12))),1),0)),"Can't — need "&amp;TEXT(IFERROR(FLOOR(IFERROR(VLOOKUP(C12,Upgrades!$N$4:$T$47,3,FALSE),0)*(IFERROR(VLOOKUP(C12,Upgrades!$N$4:$T$47,4,FALSE),0)^(COUNTIFS($B$3:$B11,"Buy upgrade",$C$3:$C11,C12)+COUNTIFS($B$3:$B11,"Hire hunter",$C$3:$C11,C12)+COUNTIFS($B$3:$B11,"Forge/Scrapwork buy",$C$3:$C11,C12))),1),0)-H11,"0")&amp;" more gold",IF(AND(OR(B12="Buy upgrade",B12="Forge/Scrapwork buy"),IFERROR(VLOOKUP(C12,Upgrades!$N$4:$T$47,2,FALSE),0)="scraps",J11&lt;IFERROR(FLOOR(IFERROR(VLOOKUP(C12,Upgrades!$N$4:$T$47,3,FALSE),0)*(IFERROR(VLOOKUP(C12,Upgrades!$N$4:$T$47,4,FALSE),0)^(COUNTIFS($B$3:$B11,"Buy upgrade",$C$3:$C11,C12)+COUNTIFS($B$3:$B11,"Hire hunter",$C$3:$C11,C12)+COUNTIFS($B$3:$B11,"Forge/Scrapwork buy",$C$3:$C11,C12))),1),0)),"Can't — need "&amp;TEXT(IFERROR(FLOOR(IFERROR(VLOOKUP(C12,Upgrades!$N$4:$T$47,3,FALSE),0)*(IFERROR(VLOOKUP(C12,Upgrades!$N$4:$T$47,4,FALSE),0)^(COUNTIFS($B$3:$B11,"Buy upgrade",$C$3:$C11,C12)+COUNTIFS($B$3:$B11,"Hire hunter",$C$3:$C11,C12)+COUNTIFS($B$3:$B11,"Forge/Scrapwork buy",$C$3:$C11,C12))),1),0)-J11,"0")&amp;" more scraps",IF(AND(B12="Fight boss",E12="OK",(IF((((105/'Rules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Formulas'!B12)),"WIN — boss down, next Level unlocks",IF(AND(B12="Fight boss",E12="OK"),"LOSE — TTK "&amp;TEXT(IF((((105/'Rules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Formulas'!B20*SQRT(1+0.55*(AG11&gt;=1))),0)))),"0")&amp;"s &gt; patience "&amp;TEXT('Rules &amp; Formulas'!B12,"0")&amp;"s (leave resets HP)",IF(B12="Go AFK","AFK resolved (see AFK counted h)","Applied")))))))))</f>
        <v/>
      </c>
      <c r="G12" s="7">
        <f>IF(AND((E12="OK"),B12="Fight boss",(IF((((105/'Rules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Formulas'!B12),C12="Elder Thornpelt"),2,IF(AND((E12="OK"),B12="Fight boss",(IF((((105/'Rules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Formulas'!B12),C12="Ashfang Alpha"),3,G11))</f>
        <v/>
      </c>
      <c r="H12" s="7">
        <f>MAX(0,H11+IF(AND((E12="OK"),B12="Hunt"),(IF(B12="Hunt",(('Rules &amp; Formulas'!B4*N11*('Rules &amp; Formulas'!B5+O11)*IFERROR(VLOOKUP(C12,Monsters!$T$4:$AH$15,10,FALSE),0)*IFERROR(VLOOKUP(C12,Monsters!$T$4:$AH$15,9,FALSE),0))*'Rules &amp; Formulas'!B6)*IF(D12="",0,D12),0))*(IFERROR(VLOOKUP(C12,Monsters!$T$4:$AH$15,3,FALSE),0))*(1+0.1*AH11)+(IF(OR(B12&lt;&gt;"Hunt",IFERROR(VLOOKUP(C12,Monsters!$T$4:$AH$15,6,FALSE),0)=0),0,FLOOR((IF(B12="Hunt",(('Rules &amp; Formulas'!B4*N11*('Rules &amp; Formulas'!B5+O11)*IFERROR(VLOOKUP(C12,Monsters!$T$4:$AH$15,10,FALSE),0)*IFERROR(VLOOKUP(C12,Monsters!$T$4:$AH$15,9,FALSE),0))*'Rules &amp; Formulas'!B6)*IF(D12="",0,D12),0))/MAX(1,IFERROR(VLOOKUP(C12,Monsters!$T$4:$AH$15,6,FALSE),0)),1)))*(IFERROR(VLOOKUP(C12,Monsters!$T$4:$AH$15,7,FALSE),0))*0.5*(1+0.1*AH11),0)+IF(AND((E12="OK"),B12="Go AFK"),(IF(B12="Go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AFK",IF(D12="",0,D12),0),Z11/60)*60)),0))*(IFERROR(VLOOKUP(C12,Monsters!$T$4:$AH$15,3,FALSE),0))*(1+0.1*AH11)+(IF(OR(B12&lt;&gt;"Go AFK",IFERROR(VLOOKUP(C12,Monsters!$T$4:$AH$15,6,FALSE),0)=0),0,FLOOR((IF(B12="Go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AFK",IF(D12="",0,D12),0),Z11/60)*60)),0))/MAX(1,IFERROR(VLOOKUP(C12,Monsters!$T$4:$AH$15,6,FALSE),0)),1)))*(IFERROR(VLOOKUP(C12,Monsters!$T$4:$AH$15,7,FALSE),0))*0.5*(1+0.1*AH11),0)+IF(AND((E12="OK"),B12="Fight boss",(IF((((105/'Rules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Formulas'!B12)),IFERROR(VLOOKUP(C12,Monsters!$T$4:$AH$15,3,FALSE),0),0)-IF(AND((E12="OK"),OR(B12="Buy upgrade",B12="Forge/Scrapwork buy"),IFERROR(VLOOKUP(C12,Upgrades!$N$4:$T$47,2,FALSE),0)="gold"),IFERROR(FLOOR(IFERROR(VLOOKUP(C12,Upgrades!$N$4:$T$47,3,FALSE),0)*(IFERROR(VLOOKUP(C12,Upgrades!$N$4:$T$47,4,FALSE),0)^(COUNTIFS($B$3:$B11,"Buy upgrade",$C$3:$C11,C12)+COUNTIFS($B$3:$B11,"Hire hunter",$C$3:$C11,C12)+COUNTIFS($B$3:$B11,"Forge/Scrapwork buy",$C$3:$C11,C12))),1),0),0)-IF(AND((E12="OK"),B12="Hire hunter"),IF(C12="Briar",140,IF(C12="Quill",3650,IF(C12="Moss",4850,IF(C12="Ember",12200,0)))),0))</f>
        <v/>
      </c>
      <c r="I12" s="7">
        <f>IF(AND((E12="OK"),B12="Fight boss",(IF((((105/'Rules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Formulas'!B12)),0,MIN(IF(G11&lt;=1,120,IF(G11=2,280,600)),I11+IF(AND((E12="OK"),B12="Hunt"),((IF(B12="Hunt",(('Rules &amp; Formulas'!B4*N11*('Rules &amp; Formulas'!B5+O11)*IFERROR(VLOOKUP(C12,Monsters!$T$4:$AH$15,10,FALSE),0)*IFERROR(VLOOKUP(C12,Monsters!$T$4:$AH$15,9,FALSE),0))*'Rules &amp; Formulas'!B6)*IF(D12="",0,D12),0))*(IFERROR(VLOOKUP(C12,Monsters!$T$4:$AH$15,4,FALSE),0))+(IF(OR(B12&lt;&gt;"Hunt",IFERROR(VLOOKUP(C12,Monsters!$T$4:$AH$15,6,FALSE),0)=0),0,FLOOR((IF(B12="Hunt",(('Rules &amp; Formulas'!B4*N11*('Rules &amp; Formulas'!B5+O11)*IFERROR(VLOOKUP(C12,Monsters!$T$4:$AH$15,10,FALSE),0)*IFERROR(VLOOKUP(C12,Monsters!$T$4:$AH$15,9,FALSE),0))*'Rules &amp; Formulas'!B6)*IF(D12="",0,D12),0))/MAX(1,IFERROR(VLOOKUP(C12,Monsters!$T$4:$AH$15,6,FALSE),0)),1)))*(IFERROR(VLOOKUP(C12,Monsters!$T$4:$AH$15,7,FALSE),0))),0)+IF(AND((E12="OK"),B12="Go AFK"),((IF(B12="Go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AFK",IF(D12="",0,D12),0),Z11/60)*60)),0))*(IFERROR(VLOOKUP(C12,Monsters!$T$4:$AH$15,4,FALSE),0))+(IF(OR(B12&lt;&gt;"Go AFK",IFERROR(VLOOKUP(C12,Monsters!$T$4:$AH$15,6,FALSE),0)=0),0,FLOOR((IF(B12="Go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AFK",IF(D12="",0,D12),0),Z11/60)*60)),0))/MAX(1,IFERROR(VLOOKUP(C12,Monsters!$T$4:$AH$15,6,FALSE),0)),1)))*(IFERROR(VLOOKUP(C12,Monsters!$T$4:$AH$15,7,FALSE),0))),0)))</f>
        <v/>
      </c>
      <c r="J12" s="7">
        <f>MAX(0,J11+IF(AND((E12="OK"),B12="Hunt"),(IF(B12="Hunt",(('Rules &amp; Formulas'!B4*N11*('Rules &amp; Formulas'!B5+O11)*IFERROR(VLOOKUP(C12,Monsters!$T$4:$AH$15,10,FALSE),0)*IFERROR(VLOOKUP(C12,Monsters!$T$4:$AH$15,9,FALSE),0))*'Rules &amp; Formulas'!B6)*IF(D12="",0,D12),0))*(IFERROR(VLOOKUP(C12,Monsters!$T$4:$AH$15,5,FALSE),0)),0)+IF(AND((E12="OK"),B12="Go AFK"),(IF(B12="Go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AFK",IF(D12="",0,D12),0),Z11/60)*60)),0))*(IFERROR(VLOOKUP(C12,Monsters!$T$4:$AH$15,5,FALSE),0)),0)-IF(AND((E12="OK"),OR(B12="Buy upgrade",B12="Forge/Scrapwork buy"),IFERROR(VLOOKUP(C12,Upgrades!$N$4:$T$47,2,FALSE),0)="scraps"),IFERROR(FLOOR(IFERROR(VLOOKUP(C12,Upgrades!$N$4:$T$47,3,FALSE),0)*(IFERROR(VLOOKUP(C12,Upgrades!$N$4:$T$47,4,FALSE),0)^(COUNTIFS($B$3:$B11,"Buy upgrade",$C$3:$C11,C12)+COUNTIFS($B$3:$B11,"Hire hunter",$C$3:$C11,C12)+COUNTIFS($B$3:$B11,"Forge/Scrapwork buy",$C$3:$C11,C12))),1),0),0))</f>
        <v/>
      </c>
      <c r="K12" s="7">
        <f>MAX(0,K11+IF(AND((E12="OK"),B12="Hunt"),IF(C12="Thornpelt Bear",(IF(B12="Hunt",(('Rules &amp; Formulas'!B4*N11*('Rules &amp; Formulas'!B5+O11)*IFERROR(VLOOKUP(C12,Monsters!$T$4:$AH$15,10,FALSE),0)*IFERROR(VLOOKUP(C12,Monsters!$T$4:$AH$15,9,FALSE),0))*'Rules &amp; Formulas'!B6)*IF(D12="",0,D12),0))*0.12,0),0)+IF(AND((E12="OK"),B12="Go AFK"),IF(C12="Thornpelt Bear",(IF(B12="Go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AFK",IF(D12="",0,D12),0),Z11/60)*60)),0))*0.12,0),0))</f>
        <v/>
      </c>
      <c r="L12" s="7">
        <f>MAX(0,L11+IF(AND((E12="OK"),B12="Hunt"),IF(C12="Dire Thornpelt",(IF(B12="Hunt",(('Rules &amp; Formulas'!B4*N11*('Rules &amp; Formulas'!B5+O11)*IFERROR(VLOOKUP(C12,Monsters!$T$4:$AH$15,10,FALSE),0)*IFERROR(VLOOKUP(C12,Monsters!$T$4:$AH$15,9,FALSE),0))*'Rules &amp; Formulas'!B6)*IF(D12="",0,D12),0))*0.1,0),0)+IF(AND((E12="OK"),B12="Go AFK"),IF(C12="Dire Thornpelt",(IF(B12="Go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AFK",IF(D12="",0,D12),0),Z11/60)*60)),0))*0.1,0),0))</f>
        <v/>
      </c>
      <c r="M12" s="7">
        <f>IF(AND((E12="OK"),B12="Go AFK"),MAX(0,MIN(('Rules &amp; Formulas'!B15+25*AJ11),M11+('Rules &amp; Formulas'!B14+0.4*AJ11)*(MIN(IF(B12="Go AFK",IF(D12="",0,D12),0),Z11/60)*60))-(IF(B12="Go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AFK",IF(D12="",0,D12),0),Z11/60)*60)),0))*(IF((IFERROR(VLOOKUP(C12,Monsters!$T$4:$AH$15,8,FALSE),0))=0,0.35,IFERROR(VLOOKUP(C12,Monsters!$T$4:$AH$15,8,FALSE),0))/(1+0.08*AK11))),MIN(('Rules &amp; Formulas'!B15+25*AJ12),M11))</f>
        <v/>
      </c>
      <c r="N12" s="7">
        <f>(1+0.08+0.12*AA12+0.12*AB12+0.16*AC12)</f>
        <v/>
      </c>
      <c r="O12" s="7">
        <f>((AD12&gt;=1)*1*(1+0.3*AE12))</f>
        <v/>
      </c>
      <c r="P12" s="7">
        <f>IF(OR(B12="Hunt",B12="Go AFK"),(('Rules &amp; Formulas'!B4*N11*('Rules &amp; Formulas'!B5+O11)*IFERROR(VLOOKUP(C12,Monsters!$T$4:$AH$15,10,FALSE),0)*IFERROR(VLOOKUP(C12,Monsters!$T$4:$AH$15,9,FALSE),0))*'Rules &amp; Formulas'!B6),"")</f>
        <v/>
      </c>
      <c r="Q12" s="7">
        <f>IF(OR(B12="Hunt",B12="Go AFK"),('Rules &amp; Formulas'!B4*N11*('Rules &amp; Formulas'!B5+O11)*IFERROR(VLOOKUP(C12,Monsters!$T$4:$AH$15,10,FALSE),0)*IFERROR(VLOOKUP(C12,Monsters!$T$4:$AH$15,9,FALSE),0)),"")</f>
        <v/>
      </c>
      <c r="R12" s="7">
        <f>IF(AND((E12="OK"),B12="Hunt"),IF(B12="Hunt",(('Rules &amp; Formulas'!B4*N11*('Rules &amp; Formulas'!B5+O11)*IFERROR(VLOOKUP(C12,Monsters!$T$4:$AH$15,10,FALSE),0)*IFERROR(VLOOKUP(C12,Monsters!$T$4:$AH$15,9,FALSE),0))*'Rules &amp; Formulas'!B6)*IF(D12="",0,D12),0),IF(AND((E12="OK"),B12="Go AFK"),IF(B12="Go AFK",MIN(IF((IF((IFERROR(VLOOKUP(C12,Monsters!$T$4:$AH$15,8,FALSE),0))=0,0.35,IFERROR(VLOOKUP(C12,Monsters!$T$4:$AH$15,8,FALSE),0))/(1+0.08*AK11))&lt;=0,999999,FLOOR(MIN(('Rules &amp; Formulas'!B15+25*AJ11),M11+('Rules &amp; Formulas'!B14+0.4*AJ11)*(MIN(IF(B12="Go AFK",IF(D12="",0,D12),0),Z11/60)*60))/(IF((IFERROR(VLOOKUP(C12,Monsters!$T$4:$AH$15,8,FALSE),0))=0,0.35,IFERROR(VLOOKUP(C12,Monsters!$T$4:$AH$15,8,FALSE),0))/(1+0.08*AK11)),1)),('Rules &amp; Formulas'!B4*N11*('Rules &amp; Formulas'!B5+O11)*IFERROR(VLOOKUP(C12,Monsters!$T$4:$AH$15,10,FALSE),0)*IFERROR(VLOOKUP(C12,Monsters!$T$4:$AH$15,9,FALSE),0))*(MIN(IF(B12="Go AFK",IF(D12="",0,D12),0),Z11/60)*60)),0),0))</f>
        <v/>
      </c>
      <c r="S12" s="7">
        <f>(105/'Rules &amp; Formulas'!B10)*'Rules &amp; Formulas'!B11</f>
        <v/>
      </c>
      <c r="T12" s="7">
        <f>IF(AD11&gt;=1,(MAX(1,ROUND('Rules &amp; Formulas'!B18*(1+0.3*AE11)*(1+0.4*AF11),0)))*(1000/'Rules &amp; Formulas'!B19)*MIN(0.95,'Rules &amp; Formulas'!B20*SQRT(1+0.55*(AG11&gt;=1))),0)</f>
        <v/>
      </c>
      <c r="U12" s="7">
        <f>S12+T12</f>
        <v/>
      </c>
      <c r="V12" s="7">
        <f>IF(I11&gt;=IF((IFERROR(VLOOKUP(C12,Monsters!$T$4:$AH$15,15,FALSE),0))=0,120,IFERROR(VLOOKUP(C12,Monsters!$T$4:$AH$15,15,FALSE),0)),"YES","no")</f>
        <v/>
      </c>
      <c r="W12" s="7">
        <f>IF(AND(B12="Fight boss",E12="OK"),IF((((105/'Rules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Formulas'!B20*SQRT(1+0.55*(AG11&gt;=1))),0)))),"")</f>
        <v/>
      </c>
      <c r="X12" s="7">
        <f>IF(AND(B12="Fight boss",E12="OK"),IF((IF((((105/'Rules &amp; Formulas'!B10)*'Rules &amp; Formulas'!B11+IF(AD11&gt;=1,(MAX(1,ROUND('Rules &amp; Formulas'!B18*(1+0.3*AE11)*(1+0.4*AF11),0)))*(1000/'Rules &amp; Formulas'!B19)*MIN(0.95,'Rules &amp; Formulas'!B20*SQRT(1+0.55*(AG11&gt;=1))),0)))&lt;=0,9999,(IFERROR(VLOOKUP(C12,Monsters!$T$4:$AH$15,2,FALSE),0))/(((105/'Rules &amp; Formulas'!B10)*'Rules &amp; Formulas'!B11+IF(AD11&gt;=1,(MAX(1,ROUND('Rules &amp; Formulas'!B18*(1+0.3*AE11)*(1+0.4*AF11),0)))*(1000/'Rules &amp; Formulas'!B19)*MIN(0.95,'Rules &amp; Formulas'!B20*SQRT(1+0.55*(AG11&gt;=1))),0))))&lt;='Rules &amp; Formulas'!B12),"WIN","LOSE"),"")</f>
        <v/>
      </c>
      <c r="Y12" s="7">
        <f>IF(B12="Go AFK",MIN(IF(B12="Go AFK",IF(D12="",0,D12),0),Z11/60),"")</f>
        <v/>
      </c>
      <c r="Z12" s="7">
        <f>('Rules &amp; Formulas'!B13+30*AI12)</f>
        <v/>
      </c>
      <c r="AA12">
        <f>COUNTIFS($B$3:$B12,"Buy upgrade",$C$3:$C12,"Idle Power")</f>
        <v/>
      </c>
      <c r="AB12">
        <f>COUNTIFS($B$3:$B12,"Buy upgrade",$C$3:$C12,"Iron Blade")</f>
        <v/>
      </c>
      <c r="AC12">
        <f>COUNTIFS($B$3:$B12,"Buy upgrade",$C$3:$C12,"Steel Blade")</f>
        <v/>
      </c>
      <c r="AD12">
        <f>COUNTIFS($B$3:$B12,"Hire hunter",$C$3:$C12,"Briar")+COUNTIFS($B$3:$B12,"Buy upgrade",$C$3:$C12,"Hire Briar")</f>
        <v/>
      </c>
      <c r="AE12">
        <f>COUNTIFS($B$3:$B12,"Buy upgrade",$C$3:$C12,"Hunter Power")</f>
        <v/>
      </c>
      <c r="AF12">
        <f>COUNTIFS($B$3:$B12,"Buy upgrade",$C$3:$C12,"Bigger Hits")</f>
        <v/>
      </c>
      <c r="AG12">
        <f>COUNTIFS($B$3:$B12,"Buy upgrade",$C$3:$C12,"Swift Walk")</f>
        <v/>
      </c>
      <c r="AH12">
        <f>COUNTIFS($B$3:$B12,"Buy upgrade",$C$3:$C12,"Loot Luck")</f>
        <v/>
      </c>
      <c r="AI12">
        <f>COUNTIFS($B$3:$B12,"Buy upgrade",$C$3:$C12,"Offline Cap")</f>
        <v/>
      </c>
      <c r="AJ12">
        <f>COUNTIFS($B$3:$B12,"Buy upgrade",$C$3:$C12,"Bigger Food Stock")</f>
        <v/>
      </c>
      <c r="AK12">
        <f>COUNTIFS($B$3:$B12,"Buy upgrade",$C$3:$C12,"Food Efficiency")</f>
        <v/>
      </c>
    </row>
    <row r="13">
      <c r="A13" t="n">
        <v>11</v>
      </c>
      <c r="B13" s="6" t="inlineStr">
        <is>
          <t>Buy upgrade</t>
        </is>
      </c>
      <c r="C13" s="6" t="inlineStr">
        <is>
          <t>Swift Walk</t>
        </is>
      </c>
      <c r="D13" s="6" t="n"/>
      <c r="E13" s="7">
        <f>IF(B13="","",IF(OR(B13="Hunt",B13="Go AFK"),IF(C13="","Can't","OK"),IF(B13="Fight boss",IF(I12&lt;IF((IFERROR(VLOOKUP(C13,Monsters!$T$4:$AH$15,15,FALSE),0))=0,120,IFERROR(VLOOKUP(C13,Monsters!$T$4:$AH$15,15,FALSE),0)),"Can't","OK"),IF(B13="Hire hunter",IF(AND(C13="Briar",AD12&gt;=1),"Can't",IF(H12&lt;IF(C13="Briar",140,IF(C13="Quill",3650,IF(C13="Moss",4850,IF(C13="Ember",12200,0)))),"Can't","OK")),IF(OR(B13="Buy upgrade",B13="Forge/Scrapwork buy"),IF(IFERROR(VLOOKUP(C13,Upgrades!$N$4:$T$47,2,FALSE),0)="points","Can't",IF(IFERROR(VLOOKUP(C13,Upgrades!$N$4:$T$47,2,FALSE),0)="gold",IF(H12&lt;IFERROR(FLOOR(IFERROR(VLOOKUP(C13,Upgrades!$N$4:$T$47,3,FALSE),0)*(IFERROR(VLOOKUP(C13,Upgrades!$N$4:$T$47,4,FALSE),0)^(COUNTIFS($B$3:$B12,"Buy upgrade",$C$3:$C12,C13)+COUNTIFS($B$3:$B12,"Hire hunter",$C$3:$C12,C13)+COUNTIFS($B$3:$B12,"Forge/Scrapwork buy",$C$3:$C12,C13))),1),0),"Can't","OK"),IF(IFERROR(VLOOKUP(C13,Upgrades!$N$4:$T$47,2,FALSE),0)="scraps",IF(J12&lt;IFERROR(FLOOR(IFERROR(VLOOKUP(C13,Upgrades!$N$4:$T$47,3,FALSE),0)*(IFERROR(VLOOKUP(C13,Upgrades!$N$4:$T$47,4,FALSE),0)^(COUNTIFS($B$3:$B12,"Buy upgrade",$C$3:$C12,C13)+COUNTIFS($B$3:$B12,"Hire hunter",$C$3:$C12,C13)+COUNTIFS($B$3:$B12,"Forge/Scrapwork buy",$C$3:$C12,C13))),1),0),"Can't","OK"),IF(IFERROR(VLOOKUP(C13,Upgrades!$N$4:$T$47,2,FALSE),0)="mats","Can't","OK")))),"Check")))))</f>
        <v/>
      </c>
      <c r="F13" s="7">
        <f>IF(B13="","",IF(AND(B13="Fight boss",I12&lt;IF((IFERROR(VLOOKUP(C13,Monsters!$T$4:$AH$15,15,FALSE),0))=0,120,IFERROR(VLOOKUP(C13,Monsters!$T$4:$AH$15,15,FALSE),0))),"Can't — need "&amp;TEXT(IF((IFERROR(VLOOKUP(C13,Monsters!$T$4:$AH$15,15,FALSE),0))=0,120,IFERROR(VLOOKUP(C13,Monsters!$T$4:$AH$15,15,FALSE),0))-I12,"0.0")&amp;" more Slayer points on the meter",IF(AND(B13="Hire hunter",C13="Briar",AD12&gt;=1),"Can't — already hired",IF(AND(B13="Hire hunter",H12&lt;IF(C13="Briar",140,IF(C13="Quill",3650,IF(C13="Moss",4850,IF(C13="Ember",12200,0))))),"Can't — need "&amp;TEXT(IF(C13="Briar",140,IF(C13="Quill",3650,IF(C13="Moss",4850,IF(C13="Ember",12200,0))))-H12,"0")&amp;" more gold",IF(AND(OR(B13="Buy upgrade",B13="Forge/Scrapwork buy"),IFERROR(VLOOKUP(C13,Upgrades!$N$4:$T$47,2,FALSE),0)="points"),"Can't — Sp-wallet spends not tracked here",IF(AND(OR(B13="Buy upgrade",B13="Forge/Scrapwork buy"),IFERROR(VLOOKUP(C13,Upgrades!$N$4:$T$47,2,FALSE),0)="gold",H12&lt;IFERROR(FLOOR(IFERROR(VLOOKUP(C13,Upgrades!$N$4:$T$47,3,FALSE),0)*(IFERROR(VLOOKUP(C13,Upgrades!$N$4:$T$47,4,FALSE),0)^(COUNTIFS($B$3:$B12,"Buy upgrade",$C$3:$C12,C13)+COUNTIFS($B$3:$B12,"Hire hunter",$C$3:$C12,C13)+COUNTIFS($B$3:$B12,"Forge/Scrapwork buy",$C$3:$C12,C13))),1),0)),"Can't — need "&amp;TEXT(IFERROR(FLOOR(IFERROR(VLOOKUP(C13,Upgrades!$N$4:$T$47,3,FALSE),0)*(IFERROR(VLOOKUP(C13,Upgrades!$N$4:$T$47,4,FALSE),0)^(COUNTIFS($B$3:$B12,"Buy upgrade",$C$3:$C12,C13)+COUNTIFS($B$3:$B12,"Hire hunter",$C$3:$C12,C13)+COUNTIFS($B$3:$B12,"Forge/Scrapwork buy",$C$3:$C12,C13))),1),0)-H12,"0")&amp;" more gold",IF(AND(OR(B13="Buy upgrade",B13="Forge/Scrapwork buy"),IFERROR(VLOOKUP(C13,Upgrades!$N$4:$T$47,2,FALSE),0)="scraps",J12&lt;IFERROR(FLOOR(IFERROR(VLOOKUP(C13,Upgrades!$N$4:$T$47,3,FALSE),0)*(IFERROR(VLOOKUP(C13,Upgrades!$N$4:$T$47,4,FALSE),0)^(COUNTIFS($B$3:$B12,"Buy upgrade",$C$3:$C12,C13)+COUNTIFS($B$3:$B12,"Hire hunter",$C$3:$C12,C13)+COUNTIFS($B$3:$B12,"Forge/Scrapwork buy",$C$3:$C12,C13))),1),0)),"Can't — need "&amp;TEXT(IFERROR(FLOOR(IFERROR(VLOOKUP(C13,Upgrades!$N$4:$T$47,3,FALSE),0)*(IFERROR(VLOOKUP(C13,Upgrades!$N$4:$T$47,4,FALSE),0)^(COUNTIFS($B$3:$B12,"Buy upgrade",$C$3:$C12,C13)+COUNTIFS($B$3:$B12,"Hire hunter",$C$3:$C12,C13)+COUNTIFS($B$3:$B12,"Forge/Scrapwork buy",$C$3:$C12,C13))),1),0)-J12,"0")&amp;" more scraps",IF(AND(B13="Fight boss",E13="OK",(IF((((105/'Rules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Formulas'!B12)),"WIN — boss down, next Level unlocks",IF(AND(B13="Fight boss",E13="OK"),"LOSE — TTK "&amp;TEXT(IF((((105/'Rules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Formulas'!B20*SQRT(1+0.55*(AG12&gt;=1))),0)))),"0")&amp;"s &gt; patience "&amp;TEXT('Rules &amp; Formulas'!B12,"0")&amp;"s (leave resets HP)",IF(B13="Go AFK","AFK resolved (see AFK counted h)","Applied")))))))))</f>
        <v/>
      </c>
      <c r="G13" s="7">
        <f>IF(AND((E13="OK"),B13="Fight boss",(IF((((105/'Rules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Formulas'!B12),C13="Elder Thornpelt"),2,IF(AND((E13="OK"),B13="Fight boss",(IF((((105/'Rules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Formulas'!B12),C13="Ashfang Alpha"),3,G12))</f>
        <v/>
      </c>
      <c r="H13" s="7">
        <f>MAX(0,H12+IF(AND((E13="OK"),B13="Hunt"),(IF(B13="Hunt",(('Rules &amp; Formulas'!B4*N12*('Rules &amp; Formulas'!B5+O12)*IFERROR(VLOOKUP(C13,Monsters!$T$4:$AH$15,10,FALSE),0)*IFERROR(VLOOKUP(C13,Monsters!$T$4:$AH$15,9,FALSE),0))*'Rules &amp; Formulas'!B6)*IF(D13="",0,D13),0))*(IFERROR(VLOOKUP(C13,Monsters!$T$4:$AH$15,3,FALSE),0))*(1+0.1*AH12)+(IF(OR(B13&lt;&gt;"Hunt",IFERROR(VLOOKUP(C13,Monsters!$T$4:$AH$15,6,FALSE),0)=0),0,FLOOR((IF(B13="Hunt",(('Rules &amp; Formulas'!B4*N12*('Rules &amp; Formulas'!B5+O12)*IFERROR(VLOOKUP(C13,Monsters!$T$4:$AH$15,10,FALSE),0)*IFERROR(VLOOKUP(C13,Monsters!$T$4:$AH$15,9,FALSE),0))*'Rules &amp; Formulas'!B6)*IF(D13="",0,D13),0))/MAX(1,IFERROR(VLOOKUP(C13,Monsters!$T$4:$AH$15,6,FALSE),0)),1)))*(IFERROR(VLOOKUP(C13,Monsters!$T$4:$AH$15,7,FALSE),0))*0.5*(1+0.1*AH12),0)+IF(AND((E13="OK"),B13="Go AFK"),(IF(B13="Go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AFK",IF(D13="",0,D13),0),Z12/60)*60)),0))*(IFERROR(VLOOKUP(C13,Monsters!$T$4:$AH$15,3,FALSE),0))*(1+0.1*AH12)+(IF(OR(B13&lt;&gt;"Go AFK",IFERROR(VLOOKUP(C13,Monsters!$T$4:$AH$15,6,FALSE),0)=0),0,FLOOR((IF(B13="Go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AFK",IF(D13="",0,D13),0),Z12/60)*60)),0))/MAX(1,IFERROR(VLOOKUP(C13,Monsters!$T$4:$AH$15,6,FALSE),0)),1)))*(IFERROR(VLOOKUP(C13,Monsters!$T$4:$AH$15,7,FALSE),0))*0.5*(1+0.1*AH12),0)+IF(AND((E13="OK"),B13="Fight boss",(IF((((105/'Rules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Formulas'!B12)),IFERROR(VLOOKUP(C13,Monsters!$T$4:$AH$15,3,FALSE),0),0)-IF(AND((E13="OK"),OR(B13="Buy upgrade",B13="Forge/Scrapwork buy"),IFERROR(VLOOKUP(C13,Upgrades!$N$4:$T$47,2,FALSE),0)="gold"),IFERROR(FLOOR(IFERROR(VLOOKUP(C13,Upgrades!$N$4:$T$47,3,FALSE),0)*(IFERROR(VLOOKUP(C13,Upgrades!$N$4:$T$47,4,FALSE),0)^(COUNTIFS($B$3:$B12,"Buy upgrade",$C$3:$C12,C13)+COUNTIFS($B$3:$B12,"Hire hunter",$C$3:$C12,C13)+COUNTIFS($B$3:$B12,"Forge/Scrapwork buy",$C$3:$C12,C13))),1),0),0)-IF(AND((E13="OK"),B13="Hire hunter"),IF(C13="Briar",140,IF(C13="Quill",3650,IF(C13="Moss",4850,IF(C13="Ember",12200,0)))),0))</f>
        <v/>
      </c>
      <c r="I13" s="7">
        <f>IF(AND((E13="OK"),B13="Fight boss",(IF((((105/'Rules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Formulas'!B12)),0,MIN(IF(G12&lt;=1,120,IF(G12=2,280,600)),I12+IF(AND((E13="OK"),B13="Hunt"),((IF(B13="Hunt",(('Rules &amp; Formulas'!B4*N12*('Rules &amp; Formulas'!B5+O12)*IFERROR(VLOOKUP(C13,Monsters!$T$4:$AH$15,10,FALSE),0)*IFERROR(VLOOKUP(C13,Monsters!$T$4:$AH$15,9,FALSE),0))*'Rules &amp; Formulas'!B6)*IF(D13="",0,D13),0))*(IFERROR(VLOOKUP(C13,Monsters!$T$4:$AH$15,4,FALSE),0))+(IF(OR(B13&lt;&gt;"Hunt",IFERROR(VLOOKUP(C13,Monsters!$T$4:$AH$15,6,FALSE),0)=0),0,FLOOR((IF(B13="Hunt",(('Rules &amp; Formulas'!B4*N12*('Rules &amp; Formulas'!B5+O12)*IFERROR(VLOOKUP(C13,Monsters!$T$4:$AH$15,10,FALSE),0)*IFERROR(VLOOKUP(C13,Monsters!$T$4:$AH$15,9,FALSE),0))*'Rules &amp; Formulas'!B6)*IF(D13="",0,D13),0))/MAX(1,IFERROR(VLOOKUP(C13,Monsters!$T$4:$AH$15,6,FALSE),0)),1)))*(IFERROR(VLOOKUP(C13,Monsters!$T$4:$AH$15,7,FALSE),0))),0)+IF(AND((E13="OK"),B13="Go AFK"),((IF(B13="Go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AFK",IF(D13="",0,D13),0),Z12/60)*60)),0))*(IFERROR(VLOOKUP(C13,Monsters!$T$4:$AH$15,4,FALSE),0))+(IF(OR(B13&lt;&gt;"Go AFK",IFERROR(VLOOKUP(C13,Monsters!$T$4:$AH$15,6,FALSE),0)=0),0,FLOOR((IF(B13="Go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AFK",IF(D13="",0,D13),0),Z12/60)*60)),0))/MAX(1,IFERROR(VLOOKUP(C13,Monsters!$T$4:$AH$15,6,FALSE),0)),1)))*(IFERROR(VLOOKUP(C13,Monsters!$T$4:$AH$15,7,FALSE),0))),0)))</f>
        <v/>
      </c>
      <c r="J13" s="7">
        <f>MAX(0,J12+IF(AND((E13="OK"),B13="Hunt"),(IF(B13="Hunt",(('Rules &amp; Formulas'!B4*N12*('Rules &amp; Formulas'!B5+O12)*IFERROR(VLOOKUP(C13,Monsters!$T$4:$AH$15,10,FALSE),0)*IFERROR(VLOOKUP(C13,Monsters!$T$4:$AH$15,9,FALSE),0))*'Rules &amp; Formulas'!B6)*IF(D13="",0,D13),0))*(IFERROR(VLOOKUP(C13,Monsters!$T$4:$AH$15,5,FALSE),0)),0)+IF(AND((E13="OK"),B13="Go AFK"),(IF(B13="Go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AFK",IF(D13="",0,D13),0),Z12/60)*60)),0))*(IFERROR(VLOOKUP(C13,Monsters!$T$4:$AH$15,5,FALSE),0)),0)-IF(AND((E13="OK"),OR(B13="Buy upgrade",B13="Forge/Scrapwork buy"),IFERROR(VLOOKUP(C13,Upgrades!$N$4:$T$47,2,FALSE),0)="scraps"),IFERROR(FLOOR(IFERROR(VLOOKUP(C13,Upgrades!$N$4:$T$47,3,FALSE),0)*(IFERROR(VLOOKUP(C13,Upgrades!$N$4:$T$47,4,FALSE),0)^(COUNTIFS($B$3:$B12,"Buy upgrade",$C$3:$C12,C13)+COUNTIFS($B$3:$B12,"Hire hunter",$C$3:$C12,C13)+COUNTIFS($B$3:$B12,"Forge/Scrapwork buy",$C$3:$C12,C13))),1),0),0))</f>
        <v/>
      </c>
      <c r="K13" s="7">
        <f>MAX(0,K12+IF(AND((E13="OK"),B13="Hunt"),IF(C13="Thornpelt Bear",(IF(B13="Hunt",(('Rules &amp; Formulas'!B4*N12*('Rules &amp; Formulas'!B5+O12)*IFERROR(VLOOKUP(C13,Monsters!$T$4:$AH$15,10,FALSE),0)*IFERROR(VLOOKUP(C13,Monsters!$T$4:$AH$15,9,FALSE),0))*'Rules &amp; Formulas'!B6)*IF(D13="",0,D13),0))*0.12,0),0)+IF(AND((E13="OK"),B13="Go AFK"),IF(C13="Thornpelt Bear",(IF(B13="Go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AFK",IF(D13="",0,D13),0),Z12/60)*60)),0))*0.12,0),0))</f>
        <v/>
      </c>
      <c r="L13" s="7">
        <f>MAX(0,L12+IF(AND((E13="OK"),B13="Hunt"),IF(C13="Dire Thornpelt",(IF(B13="Hunt",(('Rules &amp; Formulas'!B4*N12*('Rules &amp; Formulas'!B5+O12)*IFERROR(VLOOKUP(C13,Monsters!$T$4:$AH$15,10,FALSE),0)*IFERROR(VLOOKUP(C13,Monsters!$T$4:$AH$15,9,FALSE),0))*'Rules &amp; Formulas'!B6)*IF(D13="",0,D13),0))*0.1,0),0)+IF(AND((E13="OK"),B13="Go AFK"),IF(C13="Dire Thornpelt",(IF(B13="Go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AFK",IF(D13="",0,D13),0),Z12/60)*60)),0))*0.1,0),0))</f>
        <v/>
      </c>
      <c r="M13" s="7">
        <f>IF(AND((E13="OK"),B13="Go AFK"),MAX(0,MIN(('Rules &amp; Formulas'!B15+25*AJ12),M12+('Rules &amp; Formulas'!B14+0.4*AJ12)*(MIN(IF(B13="Go AFK",IF(D13="",0,D13),0),Z12/60)*60))-(IF(B13="Go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AFK",IF(D13="",0,D13),0),Z12/60)*60)),0))*(IF((IFERROR(VLOOKUP(C13,Monsters!$T$4:$AH$15,8,FALSE),0))=0,0.35,IFERROR(VLOOKUP(C13,Monsters!$T$4:$AH$15,8,FALSE),0))/(1+0.08*AK12))),MIN(('Rules &amp; Formulas'!B15+25*AJ13),M12))</f>
        <v/>
      </c>
      <c r="N13" s="7">
        <f>(1+0.08+0.12*AA13+0.12*AB13+0.16*AC13)</f>
        <v/>
      </c>
      <c r="O13" s="7">
        <f>((AD13&gt;=1)*1*(1+0.3*AE13))</f>
        <v/>
      </c>
      <c r="P13" s="7">
        <f>IF(OR(B13="Hunt",B13="Go AFK"),(('Rules &amp; Formulas'!B4*N12*('Rules &amp; Formulas'!B5+O12)*IFERROR(VLOOKUP(C13,Monsters!$T$4:$AH$15,10,FALSE),0)*IFERROR(VLOOKUP(C13,Monsters!$T$4:$AH$15,9,FALSE),0))*'Rules &amp; Formulas'!B6),"")</f>
        <v/>
      </c>
      <c r="Q13" s="7">
        <f>IF(OR(B13="Hunt",B13="Go AFK"),('Rules &amp; Formulas'!B4*N12*('Rules &amp; Formulas'!B5+O12)*IFERROR(VLOOKUP(C13,Monsters!$T$4:$AH$15,10,FALSE),0)*IFERROR(VLOOKUP(C13,Monsters!$T$4:$AH$15,9,FALSE),0)),"")</f>
        <v/>
      </c>
      <c r="R13" s="7">
        <f>IF(AND((E13="OK"),B13="Hunt"),IF(B13="Hunt",(('Rules &amp; Formulas'!B4*N12*('Rules &amp; Formulas'!B5+O12)*IFERROR(VLOOKUP(C13,Monsters!$T$4:$AH$15,10,FALSE),0)*IFERROR(VLOOKUP(C13,Monsters!$T$4:$AH$15,9,FALSE),0))*'Rules &amp; Formulas'!B6)*IF(D13="",0,D13),0),IF(AND((E13="OK"),B13="Go AFK"),IF(B13="Go AFK",MIN(IF((IF((IFERROR(VLOOKUP(C13,Monsters!$T$4:$AH$15,8,FALSE),0))=0,0.35,IFERROR(VLOOKUP(C13,Monsters!$T$4:$AH$15,8,FALSE),0))/(1+0.08*AK12))&lt;=0,999999,FLOOR(MIN(('Rules &amp; Formulas'!B15+25*AJ12),M12+('Rules &amp; Formulas'!B14+0.4*AJ12)*(MIN(IF(B13="Go AFK",IF(D13="",0,D13),0),Z12/60)*60))/(IF((IFERROR(VLOOKUP(C13,Monsters!$T$4:$AH$15,8,FALSE),0))=0,0.35,IFERROR(VLOOKUP(C13,Monsters!$T$4:$AH$15,8,FALSE),0))/(1+0.08*AK12)),1)),('Rules &amp; Formulas'!B4*N12*('Rules &amp; Formulas'!B5+O12)*IFERROR(VLOOKUP(C13,Monsters!$T$4:$AH$15,10,FALSE),0)*IFERROR(VLOOKUP(C13,Monsters!$T$4:$AH$15,9,FALSE),0))*(MIN(IF(B13="Go AFK",IF(D13="",0,D13),0),Z12/60)*60)),0),0))</f>
        <v/>
      </c>
      <c r="S13" s="7">
        <f>(105/'Rules &amp; Formulas'!B10)*'Rules &amp; Formulas'!B11</f>
        <v/>
      </c>
      <c r="T13" s="7">
        <f>IF(AD12&gt;=1,(MAX(1,ROUND('Rules &amp; Formulas'!B18*(1+0.3*AE12)*(1+0.4*AF12),0)))*(1000/'Rules &amp; Formulas'!B19)*MIN(0.95,'Rules &amp; Formulas'!B20*SQRT(1+0.55*(AG12&gt;=1))),0)</f>
        <v/>
      </c>
      <c r="U13" s="7">
        <f>S13+T13</f>
        <v/>
      </c>
      <c r="V13" s="7">
        <f>IF(I12&gt;=IF((IFERROR(VLOOKUP(C13,Monsters!$T$4:$AH$15,15,FALSE),0))=0,120,IFERROR(VLOOKUP(C13,Monsters!$T$4:$AH$15,15,FALSE),0)),"YES","no")</f>
        <v/>
      </c>
      <c r="W13" s="7">
        <f>IF(AND(B13="Fight boss",E13="OK"),IF((((105/'Rules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Formulas'!B20*SQRT(1+0.55*(AG12&gt;=1))),0)))),"")</f>
        <v/>
      </c>
      <c r="X13" s="7">
        <f>IF(AND(B13="Fight boss",E13="OK"),IF((IF((((105/'Rules &amp; Formulas'!B10)*'Rules &amp; Formulas'!B11+IF(AD12&gt;=1,(MAX(1,ROUND('Rules &amp; Formulas'!B18*(1+0.3*AE12)*(1+0.4*AF12),0)))*(1000/'Rules &amp; Formulas'!B19)*MIN(0.95,'Rules &amp; Formulas'!B20*SQRT(1+0.55*(AG12&gt;=1))),0)))&lt;=0,9999,(IFERROR(VLOOKUP(C13,Monsters!$T$4:$AH$15,2,FALSE),0))/(((105/'Rules &amp; Formulas'!B10)*'Rules &amp; Formulas'!B11+IF(AD12&gt;=1,(MAX(1,ROUND('Rules &amp; Formulas'!B18*(1+0.3*AE12)*(1+0.4*AF12),0)))*(1000/'Rules &amp; Formulas'!B19)*MIN(0.95,'Rules &amp; Formulas'!B20*SQRT(1+0.55*(AG12&gt;=1))),0))))&lt;='Rules &amp; Formulas'!B12),"WIN","LOSE"),"")</f>
        <v/>
      </c>
      <c r="Y13" s="7">
        <f>IF(B13="Go AFK",MIN(IF(B13="Go AFK",IF(D13="",0,D13),0),Z12/60),"")</f>
        <v/>
      </c>
      <c r="Z13" s="7">
        <f>('Rules &amp; Formulas'!B13+30*AI13)</f>
        <v/>
      </c>
      <c r="AA13">
        <f>COUNTIFS($B$3:$B13,"Buy upgrade",$C$3:$C13,"Idle Power")</f>
        <v/>
      </c>
      <c r="AB13">
        <f>COUNTIFS($B$3:$B13,"Buy upgrade",$C$3:$C13,"Iron Blade")</f>
        <v/>
      </c>
      <c r="AC13">
        <f>COUNTIFS($B$3:$B13,"Buy upgrade",$C$3:$C13,"Steel Blade")</f>
        <v/>
      </c>
      <c r="AD13">
        <f>COUNTIFS($B$3:$B13,"Hire hunter",$C$3:$C13,"Briar")+COUNTIFS($B$3:$B13,"Buy upgrade",$C$3:$C13,"Hire Briar")</f>
        <v/>
      </c>
      <c r="AE13">
        <f>COUNTIFS($B$3:$B13,"Buy upgrade",$C$3:$C13,"Hunter Power")</f>
        <v/>
      </c>
      <c r="AF13">
        <f>COUNTIFS($B$3:$B13,"Buy upgrade",$C$3:$C13,"Bigger Hits")</f>
        <v/>
      </c>
      <c r="AG13">
        <f>COUNTIFS($B$3:$B13,"Buy upgrade",$C$3:$C13,"Swift Walk")</f>
        <v/>
      </c>
      <c r="AH13">
        <f>COUNTIFS($B$3:$B13,"Buy upgrade",$C$3:$C13,"Loot Luck")</f>
        <v/>
      </c>
      <c r="AI13">
        <f>COUNTIFS($B$3:$B13,"Buy upgrade",$C$3:$C13,"Offline Cap")</f>
        <v/>
      </c>
      <c r="AJ13">
        <f>COUNTIFS($B$3:$B13,"Buy upgrade",$C$3:$C13,"Bigger Food Stock")</f>
        <v/>
      </c>
      <c r="AK13">
        <f>COUNTIFS($B$3:$B13,"Buy upgrade",$C$3:$C13,"Food Efficiency")</f>
        <v/>
      </c>
    </row>
    <row r="14">
      <c r="A14" t="n">
        <v>12</v>
      </c>
      <c r="B14" s="6" t="inlineStr">
        <is>
          <t>Fight boss</t>
        </is>
      </c>
      <c r="C14" s="6" t="inlineStr">
        <is>
          <t>Elder Thornpelt</t>
        </is>
      </c>
      <c r="D14" s="6" t="n"/>
      <c r="E14" s="7">
        <f>IF(B14="","",IF(OR(B14="Hunt",B14="Go AFK"),IF(C14="","Can't","OK"),IF(B14="Fight boss",IF(I13&lt;IF((IFERROR(VLOOKUP(C14,Monsters!$T$4:$AH$15,15,FALSE),0))=0,120,IFERROR(VLOOKUP(C14,Monsters!$T$4:$AH$15,15,FALSE),0)),"Can't","OK"),IF(B14="Hire hunter",IF(AND(C14="Briar",AD13&gt;=1),"Can't",IF(H13&lt;IF(C14="Briar",140,IF(C14="Quill",3650,IF(C14="Moss",4850,IF(C14="Ember",12200,0)))),"Can't","OK")),IF(OR(B14="Buy upgrade",B14="Forge/Scrapwork buy"),IF(IFERROR(VLOOKUP(C14,Upgrades!$N$4:$T$47,2,FALSE),0)="points","Can't",IF(IFERROR(VLOOKUP(C14,Upgrades!$N$4:$T$47,2,FALSE),0)="gold",IF(H13&lt;IFERROR(FLOOR(IFERROR(VLOOKUP(C14,Upgrades!$N$4:$T$47,3,FALSE),0)*(IFERROR(VLOOKUP(C14,Upgrades!$N$4:$T$47,4,FALSE),0)^(COUNTIFS($B$3:$B13,"Buy upgrade",$C$3:$C13,C14)+COUNTIFS($B$3:$B13,"Hire hunter",$C$3:$C13,C14)+COUNTIFS($B$3:$B13,"Forge/Scrapwork buy",$C$3:$C13,C14))),1),0),"Can't","OK"),IF(IFERROR(VLOOKUP(C14,Upgrades!$N$4:$T$47,2,FALSE),0)="scraps",IF(J13&lt;IFERROR(FLOOR(IFERROR(VLOOKUP(C14,Upgrades!$N$4:$T$47,3,FALSE),0)*(IFERROR(VLOOKUP(C14,Upgrades!$N$4:$T$47,4,FALSE),0)^(COUNTIFS($B$3:$B13,"Buy upgrade",$C$3:$C13,C14)+COUNTIFS($B$3:$B13,"Hire hunter",$C$3:$C13,C14)+COUNTIFS($B$3:$B13,"Forge/Scrapwork buy",$C$3:$C13,C14))),1),0),"Can't","OK"),IF(IFERROR(VLOOKUP(C14,Upgrades!$N$4:$T$47,2,FALSE),0)="mats","Can't","OK")))),"Check")))))</f>
        <v/>
      </c>
      <c r="F14" s="7">
        <f>IF(B14="","",IF(AND(B14="Fight boss",I13&lt;IF((IFERROR(VLOOKUP(C14,Monsters!$T$4:$AH$15,15,FALSE),0))=0,120,IFERROR(VLOOKUP(C14,Monsters!$T$4:$AH$15,15,FALSE),0))),"Can't — need "&amp;TEXT(IF((IFERROR(VLOOKUP(C14,Monsters!$T$4:$AH$15,15,FALSE),0))=0,120,IFERROR(VLOOKUP(C14,Monsters!$T$4:$AH$15,15,FALSE),0))-I13,"0.0")&amp;" more Slayer points on the meter",IF(AND(B14="Hire hunter",C14="Briar",AD13&gt;=1),"Can't — already hired",IF(AND(B14="Hire hunter",H13&lt;IF(C14="Briar",140,IF(C14="Quill",3650,IF(C14="Moss",4850,IF(C14="Ember",12200,0))))),"Can't — need "&amp;TEXT(IF(C14="Briar",140,IF(C14="Quill",3650,IF(C14="Moss",4850,IF(C14="Ember",12200,0))))-H13,"0")&amp;" more gold",IF(AND(OR(B14="Buy upgrade",B14="Forge/Scrapwork buy"),IFERROR(VLOOKUP(C14,Upgrades!$N$4:$T$47,2,FALSE),0)="points"),"Can't — Sp-wallet spends not tracked here",IF(AND(OR(B14="Buy upgrade",B14="Forge/Scrapwork buy"),IFERROR(VLOOKUP(C14,Upgrades!$N$4:$T$47,2,FALSE),0)="gold",H13&lt;IFERROR(FLOOR(IFERROR(VLOOKUP(C14,Upgrades!$N$4:$T$47,3,FALSE),0)*(IFERROR(VLOOKUP(C14,Upgrades!$N$4:$T$47,4,FALSE),0)^(COUNTIFS($B$3:$B13,"Buy upgrade",$C$3:$C13,C14)+COUNTIFS($B$3:$B13,"Hire hunter",$C$3:$C13,C14)+COUNTIFS($B$3:$B13,"Forge/Scrapwork buy",$C$3:$C13,C14))),1),0)),"Can't — need "&amp;TEXT(IFERROR(FLOOR(IFERROR(VLOOKUP(C14,Upgrades!$N$4:$T$47,3,FALSE),0)*(IFERROR(VLOOKUP(C14,Upgrades!$N$4:$T$47,4,FALSE),0)^(COUNTIFS($B$3:$B13,"Buy upgrade",$C$3:$C13,C14)+COUNTIFS($B$3:$B13,"Hire hunter",$C$3:$C13,C14)+COUNTIFS($B$3:$B13,"Forge/Scrapwork buy",$C$3:$C13,C14))),1),0)-H13,"0")&amp;" more gold",IF(AND(OR(B14="Buy upgrade",B14="Forge/Scrapwork buy"),IFERROR(VLOOKUP(C14,Upgrades!$N$4:$T$47,2,FALSE),0)="scraps",J13&lt;IFERROR(FLOOR(IFERROR(VLOOKUP(C14,Upgrades!$N$4:$T$47,3,FALSE),0)*(IFERROR(VLOOKUP(C14,Upgrades!$N$4:$T$47,4,FALSE),0)^(COUNTIFS($B$3:$B13,"Buy upgrade",$C$3:$C13,C14)+COUNTIFS($B$3:$B13,"Hire hunter",$C$3:$C13,C14)+COUNTIFS($B$3:$B13,"Forge/Scrapwork buy",$C$3:$C13,C14))),1),0)),"Can't — need "&amp;TEXT(IFERROR(FLOOR(IFERROR(VLOOKUP(C14,Upgrades!$N$4:$T$47,3,FALSE),0)*(IFERROR(VLOOKUP(C14,Upgrades!$N$4:$T$47,4,FALSE),0)^(COUNTIFS($B$3:$B13,"Buy upgrade",$C$3:$C13,C14)+COUNTIFS($B$3:$B13,"Hire hunter",$C$3:$C13,C14)+COUNTIFS($B$3:$B13,"Forge/Scrapwork buy",$C$3:$C13,C14))),1),0)-J13,"0")&amp;" more scraps",IF(AND(B14="Fight boss",E14="OK",(IF((((105/'Rules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Formulas'!B12)),"WIN — boss down, next Level unlocks",IF(AND(B14="Fight boss",E14="OK"),"LOSE — TTK "&amp;TEXT(IF((((105/'Rules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Formulas'!B20*SQRT(1+0.55*(AG13&gt;=1))),0)))),"0")&amp;"s &gt; patience "&amp;TEXT('Rules &amp; Formulas'!B12,"0")&amp;"s (leave resets HP)",IF(B14="Go AFK","AFK resolved (see AFK counted h)","Applied")))))))))</f>
        <v/>
      </c>
      <c r="G14" s="7">
        <f>IF(AND((E14="OK"),B14="Fight boss",(IF((((105/'Rules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Formulas'!B12),C14="Elder Thornpelt"),2,IF(AND((E14="OK"),B14="Fight boss",(IF((((105/'Rules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Formulas'!B12),C14="Ashfang Alpha"),3,G13))</f>
        <v/>
      </c>
      <c r="H14" s="7">
        <f>MAX(0,H13+IF(AND((E14="OK"),B14="Hunt"),(IF(B14="Hunt",(('Rules &amp; Formulas'!B4*N13*('Rules &amp; Formulas'!B5+O13)*IFERROR(VLOOKUP(C14,Monsters!$T$4:$AH$15,10,FALSE),0)*IFERROR(VLOOKUP(C14,Monsters!$T$4:$AH$15,9,FALSE),0))*'Rules &amp; Formulas'!B6)*IF(D14="",0,D14),0))*(IFERROR(VLOOKUP(C14,Monsters!$T$4:$AH$15,3,FALSE),0))*(1+0.1*AH13)+(IF(OR(B14&lt;&gt;"Hunt",IFERROR(VLOOKUP(C14,Monsters!$T$4:$AH$15,6,FALSE),0)=0),0,FLOOR((IF(B14="Hunt",(('Rules &amp; Formulas'!B4*N13*('Rules &amp; Formulas'!B5+O13)*IFERROR(VLOOKUP(C14,Monsters!$T$4:$AH$15,10,FALSE),0)*IFERROR(VLOOKUP(C14,Monsters!$T$4:$AH$15,9,FALSE),0))*'Rules &amp; Formulas'!B6)*IF(D14="",0,D14),0))/MAX(1,IFERROR(VLOOKUP(C14,Monsters!$T$4:$AH$15,6,FALSE),0)),1)))*(IFERROR(VLOOKUP(C14,Monsters!$T$4:$AH$15,7,FALSE),0))*0.5*(1+0.1*AH13),0)+IF(AND((E14="OK"),B14="Go AFK"),(IF(B14="Go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AFK",IF(D14="",0,D14),0),Z13/60)*60)),0))*(IFERROR(VLOOKUP(C14,Monsters!$T$4:$AH$15,3,FALSE),0))*(1+0.1*AH13)+(IF(OR(B14&lt;&gt;"Go AFK",IFERROR(VLOOKUP(C14,Monsters!$T$4:$AH$15,6,FALSE),0)=0),0,FLOOR((IF(B14="Go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AFK",IF(D14="",0,D14),0),Z13/60)*60)),0))/MAX(1,IFERROR(VLOOKUP(C14,Monsters!$T$4:$AH$15,6,FALSE),0)),1)))*(IFERROR(VLOOKUP(C14,Monsters!$T$4:$AH$15,7,FALSE),0))*0.5*(1+0.1*AH13),0)+IF(AND((E14="OK"),B14="Fight boss",(IF((((105/'Rules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Formulas'!B12)),IFERROR(VLOOKUP(C14,Monsters!$T$4:$AH$15,3,FALSE),0),0)-IF(AND((E14="OK"),OR(B14="Buy upgrade",B14="Forge/Scrapwork buy"),IFERROR(VLOOKUP(C14,Upgrades!$N$4:$T$47,2,FALSE),0)="gold"),IFERROR(FLOOR(IFERROR(VLOOKUP(C14,Upgrades!$N$4:$T$47,3,FALSE),0)*(IFERROR(VLOOKUP(C14,Upgrades!$N$4:$T$47,4,FALSE),0)^(COUNTIFS($B$3:$B13,"Buy upgrade",$C$3:$C13,C14)+COUNTIFS($B$3:$B13,"Hire hunter",$C$3:$C13,C14)+COUNTIFS($B$3:$B13,"Forge/Scrapwork buy",$C$3:$C13,C14))),1),0),0)-IF(AND((E14="OK"),B14="Hire hunter"),IF(C14="Briar",140,IF(C14="Quill",3650,IF(C14="Moss",4850,IF(C14="Ember",12200,0)))),0))</f>
        <v/>
      </c>
      <c r="I14" s="7">
        <f>IF(AND((E14="OK"),B14="Fight boss",(IF((((105/'Rules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Formulas'!B12)),0,MIN(IF(G13&lt;=1,120,IF(G13=2,280,600)),I13+IF(AND((E14="OK"),B14="Hunt"),((IF(B14="Hunt",(('Rules &amp; Formulas'!B4*N13*('Rules &amp; Formulas'!B5+O13)*IFERROR(VLOOKUP(C14,Monsters!$T$4:$AH$15,10,FALSE),0)*IFERROR(VLOOKUP(C14,Monsters!$T$4:$AH$15,9,FALSE),0))*'Rules &amp; Formulas'!B6)*IF(D14="",0,D14),0))*(IFERROR(VLOOKUP(C14,Monsters!$T$4:$AH$15,4,FALSE),0))+(IF(OR(B14&lt;&gt;"Hunt",IFERROR(VLOOKUP(C14,Monsters!$T$4:$AH$15,6,FALSE),0)=0),0,FLOOR((IF(B14="Hunt",(('Rules &amp; Formulas'!B4*N13*('Rules &amp; Formulas'!B5+O13)*IFERROR(VLOOKUP(C14,Monsters!$T$4:$AH$15,10,FALSE),0)*IFERROR(VLOOKUP(C14,Monsters!$T$4:$AH$15,9,FALSE),0))*'Rules &amp; Formulas'!B6)*IF(D14="",0,D14),0))/MAX(1,IFERROR(VLOOKUP(C14,Monsters!$T$4:$AH$15,6,FALSE),0)),1)))*(IFERROR(VLOOKUP(C14,Monsters!$T$4:$AH$15,7,FALSE),0))),0)+IF(AND((E14="OK"),B14="Go AFK"),((IF(B14="Go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AFK",IF(D14="",0,D14),0),Z13/60)*60)),0))*(IFERROR(VLOOKUP(C14,Monsters!$T$4:$AH$15,4,FALSE),0))+(IF(OR(B14&lt;&gt;"Go AFK",IFERROR(VLOOKUP(C14,Monsters!$T$4:$AH$15,6,FALSE),0)=0),0,FLOOR((IF(B14="Go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AFK",IF(D14="",0,D14),0),Z13/60)*60)),0))/MAX(1,IFERROR(VLOOKUP(C14,Monsters!$T$4:$AH$15,6,FALSE),0)),1)))*(IFERROR(VLOOKUP(C14,Monsters!$T$4:$AH$15,7,FALSE),0))),0)))</f>
        <v/>
      </c>
      <c r="J14" s="7">
        <f>MAX(0,J13+IF(AND((E14="OK"),B14="Hunt"),(IF(B14="Hunt",(('Rules &amp; Formulas'!B4*N13*('Rules &amp; Formulas'!B5+O13)*IFERROR(VLOOKUP(C14,Monsters!$T$4:$AH$15,10,FALSE),0)*IFERROR(VLOOKUP(C14,Monsters!$T$4:$AH$15,9,FALSE),0))*'Rules &amp; Formulas'!B6)*IF(D14="",0,D14),0))*(IFERROR(VLOOKUP(C14,Monsters!$T$4:$AH$15,5,FALSE),0)),0)+IF(AND((E14="OK"),B14="Go AFK"),(IF(B14="Go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AFK",IF(D14="",0,D14),0),Z13/60)*60)),0))*(IFERROR(VLOOKUP(C14,Monsters!$T$4:$AH$15,5,FALSE),0)),0)-IF(AND((E14="OK"),OR(B14="Buy upgrade",B14="Forge/Scrapwork buy"),IFERROR(VLOOKUP(C14,Upgrades!$N$4:$T$47,2,FALSE),0)="scraps"),IFERROR(FLOOR(IFERROR(VLOOKUP(C14,Upgrades!$N$4:$T$47,3,FALSE),0)*(IFERROR(VLOOKUP(C14,Upgrades!$N$4:$T$47,4,FALSE),0)^(COUNTIFS($B$3:$B13,"Buy upgrade",$C$3:$C13,C14)+COUNTIFS($B$3:$B13,"Hire hunter",$C$3:$C13,C14)+COUNTIFS($B$3:$B13,"Forge/Scrapwork buy",$C$3:$C13,C14))),1),0),0))</f>
        <v/>
      </c>
      <c r="K14" s="7">
        <f>MAX(0,K13+IF(AND((E14="OK"),B14="Hunt"),IF(C14="Thornpelt Bear",(IF(B14="Hunt",(('Rules &amp; Formulas'!B4*N13*('Rules &amp; Formulas'!B5+O13)*IFERROR(VLOOKUP(C14,Monsters!$T$4:$AH$15,10,FALSE),0)*IFERROR(VLOOKUP(C14,Monsters!$T$4:$AH$15,9,FALSE),0))*'Rules &amp; Formulas'!B6)*IF(D14="",0,D14),0))*0.12,0),0)+IF(AND((E14="OK"),B14="Go AFK"),IF(C14="Thornpelt Bear",(IF(B14="Go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AFK",IF(D14="",0,D14),0),Z13/60)*60)),0))*0.12,0),0))</f>
        <v/>
      </c>
      <c r="L14" s="7">
        <f>MAX(0,L13+IF(AND((E14="OK"),B14="Hunt"),IF(C14="Dire Thornpelt",(IF(B14="Hunt",(('Rules &amp; Formulas'!B4*N13*('Rules &amp; Formulas'!B5+O13)*IFERROR(VLOOKUP(C14,Monsters!$T$4:$AH$15,10,FALSE),0)*IFERROR(VLOOKUP(C14,Monsters!$T$4:$AH$15,9,FALSE),0))*'Rules &amp; Formulas'!B6)*IF(D14="",0,D14),0))*0.1,0),0)+IF(AND((E14="OK"),B14="Go AFK"),IF(C14="Dire Thornpelt",(IF(B14="Go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AFK",IF(D14="",0,D14),0),Z13/60)*60)),0))*0.1,0),0))</f>
        <v/>
      </c>
      <c r="M14" s="7">
        <f>IF(AND((E14="OK"),B14="Go AFK"),MAX(0,MIN(('Rules &amp; Formulas'!B15+25*AJ13),M13+('Rules &amp; Formulas'!B14+0.4*AJ13)*(MIN(IF(B14="Go AFK",IF(D14="",0,D14),0),Z13/60)*60))-(IF(B14="Go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AFK",IF(D14="",0,D14),0),Z13/60)*60)),0))*(IF((IFERROR(VLOOKUP(C14,Monsters!$T$4:$AH$15,8,FALSE),0))=0,0.35,IFERROR(VLOOKUP(C14,Monsters!$T$4:$AH$15,8,FALSE),0))/(1+0.08*AK13))),MIN(('Rules &amp; Formulas'!B15+25*AJ14),M13))</f>
        <v/>
      </c>
      <c r="N14" s="7">
        <f>(1+0.08+0.12*AA14+0.12*AB14+0.16*AC14)</f>
        <v/>
      </c>
      <c r="O14" s="7">
        <f>((AD14&gt;=1)*1*(1+0.3*AE14))</f>
        <v/>
      </c>
      <c r="P14" s="7">
        <f>IF(OR(B14="Hunt",B14="Go AFK"),(('Rules &amp; Formulas'!B4*N13*('Rules &amp; Formulas'!B5+O13)*IFERROR(VLOOKUP(C14,Monsters!$T$4:$AH$15,10,FALSE),0)*IFERROR(VLOOKUP(C14,Monsters!$T$4:$AH$15,9,FALSE),0))*'Rules &amp; Formulas'!B6),"")</f>
        <v/>
      </c>
      <c r="Q14" s="7">
        <f>IF(OR(B14="Hunt",B14="Go AFK"),('Rules &amp; Formulas'!B4*N13*('Rules &amp; Formulas'!B5+O13)*IFERROR(VLOOKUP(C14,Monsters!$T$4:$AH$15,10,FALSE),0)*IFERROR(VLOOKUP(C14,Monsters!$T$4:$AH$15,9,FALSE),0)),"")</f>
        <v/>
      </c>
      <c r="R14" s="7">
        <f>IF(AND((E14="OK"),B14="Hunt"),IF(B14="Hunt",(('Rules &amp; Formulas'!B4*N13*('Rules &amp; Formulas'!B5+O13)*IFERROR(VLOOKUP(C14,Monsters!$T$4:$AH$15,10,FALSE),0)*IFERROR(VLOOKUP(C14,Monsters!$T$4:$AH$15,9,FALSE),0))*'Rules &amp; Formulas'!B6)*IF(D14="",0,D14),0),IF(AND((E14="OK"),B14="Go AFK"),IF(B14="Go AFK",MIN(IF((IF((IFERROR(VLOOKUP(C14,Monsters!$T$4:$AH$15,8,FALSE),0))=0,0.35,IFERROR(VLOOKUP(C14,Monsters!$T$4:$AH$15,8,FALSE),0))/(1+0.08*AK13))&lt;=0,999999,FLOOR(MIN(('Rules &amp; Formulas'!B15+25*AJ13),M13+('Rules &amp; Formulas'!B14+0.4*AJ13)*(MIN(IF(B14="Go AFK",IF(D14="",0,D14),0),Z13/60)*60))/(IF((IFERROR(VLOOKUP(C14,Monsters!$T$4:$AH$15,8,FALSE),0))=0,0.35,IFERROR(VLOOKUP(C14,Monsters!$T$4:$AH$15,8,FALSE),0))/(1+0.08*AK13)),1)),('Rules &amp; Formulas'!B4*N13*('Rules &amp; Formulas'!B5+O13)*IFERROR(VLOOKUP(C14,Monsters!$T$4:$AH$15,10,FALSE),0)*IFERROR(VLOOKUP(C14,Monsters!$T$4:$AH$15,9,FALSE),0))*(MIN(IF(B14="Go AFK",IF(D14="",0,D14),0),Z13/60)*60)),0),0))</f>
        <v/>
      </c>
      <c r="S14" s="7">
        <f>(105/'Rules &amp; Formulas'!B10)*'Rules &amp; Formulas'!B11</f>
        <v/>
      </c>
      <c r="T14" s="7">
        <f>IF(AD13&gt;=1,(MAX(1,ROUND('Rules &amp; Formulas'!B18*(1+0.3*AE13)*(1+0.4*AF13),0)))*(1000/'Rules &amp; Formulas'!B19)*MIN(0.95,'Rules &amp; Formulas'!B20*SQRT(1+0.55*(AG13&gt;=1))),0)</f>
        <v/>
      </c>
      <c r="U14" s="7">
        <f>S14+T14</f>
        <v/>
      </c>
      <c r="V14" s="7">
        <f>IF(I13&gt;=IF((IFERROR(VLOOKUP(C14,Monsters!$T$4:$AH$15,15,FALSE),0))=0,120,IFERROR(VLOOKUP(C14,Monsters!$T$4:$AH$15,15,FALSE),0)),"YES","no")</f>
        <v/>
      </c>
      <c r="W14" s="7">
        <f>IF(AND(B14="Fight boss",E14="OK"),IF((((105/'Rules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Formulas'!B20*SQRT(1+0.55*(AG13&gt;=1))),0)))),"")</f>
        <v/>
      </c>
      <c r="X14" s="7">
        <f>IF(AND(B14="Fight boss",E14="OK"),IF((IF((((105/'Rules &amp; Formulas'!B10)*'Rules &amp; Formulas'!B11+IF(AD13&gt;=1,(MAX(1,ROUND('Rules &amp; Formulas'!B18*(1+0.3*AE13)*(1+0.4*AF13),0)))*(1000/'Rules &amp; Formulas'!B19)*MIN(0.95,'Rules &amp; Formulas'!B20*SQRT(1+0.55*(AG13&gt;=1))),0)))&lt;=0,9999,(IFERROR(VLOOKUP(C14,Monsters!$T$4:$AH$15,2,FALSE),0))/(((105/'Rules &amp; Formulas'!B10)*'Rules &amp; Formulas'!B11+IF(AD13&gt;=1,(MAX(1,ROUND('Rules &amp; Formulas'!B18*(1+0.3*AE13)*(1+0.4*AF13),0)))*(1000/'Rules &amp; Formulas'!B19)*MIN(0.95,'Rules &amp; Formulas'!B20*SQRT(1+0.55*(AG13&gt;=1))),0))))&lt;='Rules &amp; Formulas'!B12),"WIN","LOSE"),"")</f>
        <v/>
      </c>
      <c r="Y14" s="7">
        <f>IF(B14="Go AFK",MIN(IF(B14="Go AFK",IF(D14="",0,D14),0),Z13/60),"")</f>
        <v/>
      </c>
      <c r="Z14" s="7">
        <f>('Rules &amp; Formulas'!B13+30*AI14)</f>
        <v/>
      </c>
      <c r="AA14">
        <f>COUNTIFS($B$3:$B14,"Buy upgrade",$C$3:$C14,"Idle Power")</f>
        <v/>
      </c>
      <c r="AB14">
        <f>COUNTIFS($B$3:$B14,"Buy upgrade",$C$3:$C14,"Iron Blade")</f>
        <v/>
      </c>
      <c r="AC14">
        <f>COUNTIFS($B$3:$B14,"Buy upgrade",$C$3:$C14,"Steel Blade")</f>
        <v/>
      </c>
      <c r="AD14">
        <f>COUNTIFS($B$3:$B14,"Hire hunter",$C$3:$C14,"Briar")+COUNTIFS($B$3:$B14,"Buy upgrade",$C$3:$C14,"Hire Briar")</f>
        <v/>
      </c>
      <c r="AE14">
        <f>COUNTIFS($B$3:$B14,"Buy upgrade",$C$3:$C14,"Hunter Power")</f>
        <v/>
      </c>
      <c r="AF14">
        <f>COUNTIFS($B$3:$B14,"Buy upgrade",$C$3:$C14,"Bigger Hits")</f>
        <v/>
      </c>
      <c r="AG14">
        <f>COUNTIFS($B$3:$B14,"Buy upgrade",$C$3:$C14,"Swift Walk")</f>
        <v/>
      </c>
      <c r="AH14">
        <f>COUNTIFS($B$3:$B14,"Buy upgrade",$C$3:$C14,"Loot Luck")</f>
        <v/>
      </c>
      <c r="AI14">
        <f>COUNTIFS($B$3:$B14,"Buy upgrade",$C$3:$C14,"Offline Cap")</f>
        <v/>
      </c>
      <c r="AJ14">
        <f>COUNTIFS($B$3:$B14,"Buy upgrade",$C$3:$C14,"Bigger Food Stock")</f>
        <v/>
      </c>
      <c r="AK14">
        <f>COUNTIFS($B$3:$B14,"Buy upgrade",$C$3:$C14,"Food Efficiency")</f>
        <v/>
      </c>
    </row>
    <row r="15">
      <c r="A15" t="n">
        <v>13</v>
      </c>
      <c r="B15" s="6" t="inlineStr">
        <is>
          <t>Hunt</t>
        </is>
      </c>
      <c r="C15" s="6" t="inlineStr">
        <is>
          <t>Thornpelt Bear</t>
        </is>
      </c>
      <c r="D15" s="6" t="n">
        <v>12</v>
      </c>
      <c r="E15" s="7">
        <f>IF(B15="","",IF(OR(B15="Hunt",B15="Go AFK"),IF(C15="","Can't","OK"),IF(B15="Fight boss",IF(I14&lt;IF((IFERROR(VLOOKUP(C15,Monsters!$T$4:$AH$15,15,FALSE),0))=0,120,IFERROR(VLOOKUP(C15,Monsters!$T$4:$AH$15,15,FALSE),0)),"Can't","OK"),IF(B15="Hire hunter",IF(AND(C15="Briar",AD14&gt;=1),"Can't",IF(H14&lt;IF(C15="Briar",140,IF(C15="Quill",3650,IF(C15="Moss",4850,IF(C15="Ember",12200,0)))),"Can't","OK")),IF(OR(B15="Buy upgrade",B15="Forge/Scrapwork buy"),IF(IFERROR(VLOOKUP(C15,Upgrades!$N$4:$T$47,2,FALSE),0)="points","Can't",IF(IFERROR(VLOOKUP(C15,Upgrades!$N$4:$T$47,2,FALSE),0)="gold",IF(H14&lt;IFERROR(FLOOR(IFERROR(VLOOKUP(C15,Upgrades!$N$4:$T$47,3,FALSE),0)*(IFERROR(VLOOKUP(C15,Upgrades!$N$4:$T$47,4,FALSE),0)^(COUNTIFS($B$3:$B14,"Buy upgrade",$C$3:$C14,C15)+COUNTIFS($B$3:$B14,"Hire hunter",$C$3:$C14,C15)+COUNTIFS($B$3:$B14,"Forge/Scrapwork buy",$C$3:$C14,C15))),1),0),"Can't","OK"),IF(IFERROR(VLOOKUP(C15,Upgrades!$N$4:$T$47,2,FALSE),0)="scraps",IF(J14&lt;IFERROR(FLOOR(IFERROR(VLOOKUP(C15,Upgrades!$N$4:$T$47,3,FALSE),0)*(IFERROR(VLOOKUP(C15,Upgrades!$N$4:$T$47,4,FALSE),0)^(COUNTIFS($B$3:$B14,"Buy upgrade",$C$3:$C14,C15)+COUNTIFS($B$3:$B14,"Hire hunter",$C$3:$C14,C15)+COUNTIFS($B$3:$B14,"Forge/Scrapwork buy",$C$3:$C14,C15))),1),0),"Can't","OK"),IF(IFERROR(VLOOKUP(C15,Upgrades!$N$4:$T$47,2,FALSE),0)="mats","Can't","OK")))),"Check")))))</f>
        <v/>
      </c>
      <c r="F15" s="7">
        <f>IF(B15="","",IF(AND(B15="Fight boss",I14&lt;IF((IFERROR(VLOOKUP(C15,Monsters!$T$4:$AH$15,15,FALSE),0))=0,120,IFERROR(VLOOKUP(C15,Monsters!$T$4:$AH$15,15,FALSE),0))),"Can't — need "&amp;TEXT(IF((IFERROR(VLOOKUP(C15,Monsters!$T$4:$AH$15,15,FALSE),0))=0,120,IFERROR(VLOOKUP(C15,Monsters!$T$4:$AH$15,15,FALSE),0))-I14,"0.0")&amp;" more Slayer points on the meter",IF(AND(B15="Hire hunter",C15="Briar",AD14&gt;=1),"Can't — already hired",IF(AND(B15="Hire hunter",H14&lt;IF(C15="Briar",140,IF(C15="Quill",3650,IF(C15="Moss",4850,IF(C15="Ember",12200,0))))),"Can't — need "&amp;TEXT(IF(C15="Briar",140,IF(C15="Quill",3650,IF(C15="Moss",4850,IF(C15="Ember",12200,0))))-H14,"0")&amp;" more gold",IF(AND(OR(B15="Buy upgrade",B15="Forge/Scrapwork buy"),IFERROR(VLOOKUP(C15,Upgrades!$N$4:$T$47,2,FALSE),0)="points"),"Can't — Sp-wallet spends not tracked here",IF(AND(OR(B15="Buy upgrade",B15="Forge/Scrapwork buy"),IFERROR(VLOOKUP(C15,Upgrades!$N$4:$T$47,2,FALSE),0)="gold",H14&lt;IFERROR(FLOOR(IFERROR(VLOOKUP(C15,Upgrades!$N$4:$T$47,3,FALSE),0)*(IFERROR(VLOOKUP(C15,Upgrades!$N$4:$T$47,4,FALSE),0)^(COUNTIFS($B$3:$B14,"Buy upgrade",$C$3:$C14,C15)+COUNTIFS($B$3:$B14,"Hire hunter",$C$3:$C14,C15)+COUNTIFS($B$3:$B14,"Forge/Scrapwork buy",$C$3:$C14,C15))),1),0)),"Can't — need "&amp;TEXT(IFERROR(FLOOR(IFERROR(VLOOKUP(C15,Upgrades!$N$4:$T$47,3,FALSE),0)*(IFERROR(VLOOKUP(C15,Upgrades!$N$4:$T$47,4,FALSE),0)^(COUNTIFS($B$3:$B14,"Buy upgrade",$C$3:$C14,C15)+COUNTIFS($B$3:$B14,"Hire hunter",$C$3:$C14,C15)+COUNTIFS($B$3:$B14,"Forge/Scrapwork buy",$C$3:$C14,C15))),1),0)-H14,"0")&amp;" more gold",IF(AND(OR(B15="Buy upgrade",B15="Forge/Scrapwork buy"),IFERROR(VLOOKUP(C15,Upgrades!$N$4:$T$47,2,FALSE),0)="scraps",J14&lt;IFERROR(FLOOR(IFERROR(VLOOKUP(C15,Upgrades!$N$4:$T$47,3,FALSE),0)*(IFERROR(VLOOKUP(C15,Upgrades!$N$4:$T$47,4,FALSE),0)^(COUNTIFS($B$3:$B14,"Buy upgrade",$C$3:$C14,C15)+COUNTIFS($B$3:$B14,"Hire hunter",$C$3:$C14,C15)+COUNTIFS($B$3:$B14,"Forge/Scrapwork buy",$C$3:$C14,C15))),1),0)),"Can't — need "&amp;TEXT(IFERROR(FLOOR(IFERROR(VLOOKUP(C15,Upgrades!$N$4:$T$47,3,FALSE),0)*(IFERROR(VLOOKUP(C15,Upgrades!$N$4:$T$47,4,FALSE),0)^(COUNTIFS($B$3:$B14,"Buy upgrade",$C$3:$C14,C15)+COUNTIFS($B$3:$B14,"Hire hunter",$C$3:$C14,C15)+COUNTIFS($B$3:$B14,"Forge/Scrapwork buy",$C$3:$C14,C15))),1),0)-J14,"0")&amp;" more scraps",IF(AND(B15="Fight boss",E15="OK",(IF((((105/'Rules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Formulas'!B12)),"WIN — boss down, next Level unlocks",IF(AND(B15="Fight boss",E15="OK"),"LOSE — TTK "&amp;TEXT(IF((((105/'Rules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Formulas'!B20*SQRT(1+0.55*(AG14&gt;=1))),0)))),"0")&amp;"s &gt; patience "&amp;TEXT('Rules &amp; Formulas'!B12,"0")&amp;"s (leave resets HP)",IF(B15="Go AFK","AFK resolved (see AFK counted h)","Applied")))))))))</f>
        <v/>
      </c>
      <c r="G15" s="7">
        <f>IF(AND((E15="OK"),B15="Fight boss",(IF((((105/'Rules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Formulas'!B12),C15="Elder Thornpelt"),2,IF(AND((E15="OK"),B15="Fight boss",(IF((((105/'Rules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Formulas'!B12),C15="Ashfang Alpha"),3,G14))</f>
        <v/>
      </c>
      <c r="H15" s="7">
        <f>MAX(0,H14+IF(AND((E15="OK"),B15="Hunt"),(IF(B15="Hunt",(('Rules &amp; Formulas'!B4*N14*('Rules &amp; Formulas'!B5+O14)*IFERROR(VLOOKUP(C15,Monsters!$T$4:$AH$15,10,FALSE),0)*IFERROR(VLOOKUP(C15,Monsters!$T$4:$AH$15,9,FALSE),0))*'Rules &amp; Formulas'!B6)*IF(D15="",0,D15),0))*(IFERROR(VLOOKUP(C15,Monsters!$T$4:$AH$15,3,FALSE),0))*(1+0.1*AH14)+(IF(OR(B15&lt;&gt;"Hunt",IFERROR(VLOOKUP(C15,Monsters!$T$4:$AH$15,6,FALSE),0)=0),0,FLOOR((IF(B15="Hunt",(('Rules &amp; Formulas'!B4*N14*('Rules &amp; Formulas'!B5+O14)*IFERROR(VLOOKUP(C15,Monsters!$T$4:$AH$15,10,FALSE),0)*IFERROR(VLOOKUP(C15,Monsters!$T$4:$AH$15,9,FALSE),0))*'Rules &amp; Formulas'!B6)*IF(D15="",0,D15),0))/MAX(1,IFERROR(VLOOKUP(C15,Monsters!$T$4:$AH$15,6,FALSE),0)),1)))*(IFERROR(VLOOKUP(C15,Monsters!$T$4:$AH$15,7,FALSE),0))*0.5*(1+0.1*AH14),0)+IF(AND((E15="OK"),B15="Go AFK"),(IF(B15="Go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AFK",IF(D15="",0,D15),0),Z14/60)*60)),0))*(IFERROR(VLOOKUP(C15,Monsters!$T$4:$AH$15,3,FALSE),0))*(1+0.1*AH14)+(IF(OR(B15&lt;&gt;"Go AFK",IFERROR(VLOOKUP(C15,Monsters!$T$4:$AH$15,6,FALSE),0)=0),0,FLOOR((IF(B15="Go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AFK",IF(D15="",0,D15),0),Z14/60)*60)),0))/MAX(1,IFERROR(VLOOKUP(C15,Monsters!$T$4:$AH$15,6,FALSE),0)),1)))*(IFERROR(VLOOKUP(C15,Monsters!$T$4:$AH$15,7,FALSE),0))*0.5*(1+0.1*AH14),0)+IF(AND((E15="OK"),B15="Fight boss",(IF((((105/'Rules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Formulas'!B12)),IFERROR(VLOOKUP(C15,Monsters!$T$4:$AH$15,3,FALSE),0),0)-IF(AND((E15="OK"),OR(B15="Buy upgrade",B15="Forge/Scrapwork buy"),IFERROR(VLOOKUP(C15,Upgrades!$N$4:$T$47,2,FALSE),0)="gold"),IFERROR(FLOOR(IFERROR(VLOOKUP(C15,Upgrades!$N$4:$T$47,3,FALSE),0)*(IFERROR(VLOOKUP(C15,Upgrades!$N$4:$T$47,4,FALSE),0)^(COUNTIFS($B$3:$B14,"Buy upgrade",$C$3:$C14,C15)+COUNTIFS($B$3:$B14,"Hire hunter",$C$3:$C14,C15)+COUNTIFS($B$3:$B14,"Forge/Scrapwork buy",$C$3:$C14,C15))),1),0),0)-IF(AND((E15="OK"),B15="Hire hunter"),IF(C15="Briar",140,IF(C15="Quill",3650,IF(C15="Moss",4850,IF(C15="Ember",12200,0)))),0))</f>
        <v/>
      </c>
      <c r="I15" s="7">
        <f>IF(AND((E15="OK"),B15="Fight boss",(IF((((105/'Rules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Formulas'!B12)),0,MIN(IF(G14&lt;=1,120,IF(G14=2,280,600)),I14+IF(AND((E15="OK"),B15="Hunt"),((IF(B15="Hunt",(('Rules &amp; Formulas'!B4*N14*('Rules &amp; Formulas'!B5+O14)*IFERROR(VLOOKUP(C15,Monsters!$T$4:$AH$15,10,FALSE),0)*IFERROR(VLOOKUP(C15,Monsters!$T$4:$AH$15,9,FALSE),0))*'Rules &amp; Formulas'!B6)*IF(D15="",0,D15),0))*(IFERROR(VLOOKUP(C15,Monsters!$T$4:$AH$15,4,FALSE),0))+(IF(OR(B15&lt;&gt;"Hunt",IFERROR(VLOOKUP(C15,Monsters!$T$4:$AH$15,6,FALSE),0)=0),0,FLOOR((IF(B15="Hunt",(('Rules &amp; Formulas'!B4*N14*('Rules &amp; Formulas'!B5+O14)*IFERROR(VLOOKUP(C15,Monsters!$T$4:$AH$15,10,FALSE),0)*IFERROR(VLOOKUP(C15,Monsters!$T$4:$AH$15,9,FALSE),0))*'Rules &amp; Formulas'!B6)*IF(D15="",0,D15),0))/MAX(1,IFERROR(VLOOKUP(C15,Monsters!$T$4:$AH$15,6,FALSE),0)),1)))*(IFERROR(VLOOKUP(C15,Monsters!$T$4:$AH$15,7,FALSE),0))),0)+IF(AND((E15="OK"),B15="Go AFK"),((IF(B15="Go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AFK",IF(D15="",0,D15),0),Z14/60)*60)),0))*(IFERROR(VLOOKUP(C15,Monsters!$T$4:$AH$15,4,FALSE),0))+(IF(OR(B15&lt;&gt;"Go AFK",IFERROR(VLOOKUP(C15,Monsters!$T$4:$AH$15,6,FALSE),0)=0),0,FLOOR((IF(B15="Go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AFK",IF(D15="",0,D15),0),Z14/60)*60)),0))/MAX(1,IFERROR(VLOOKUP(C15,Monsters!$T$4:$AH$15,6,FALSE),0)),1)))*(IFERROR(VLOOKUP(C15,Monsters!$T$4:$AH$15,7,FALSE),0))),0)))</f>
        <v/>
      </c>
      <c r="J15" s="7">
        <f>MAX(0,J14+IF(AND((E15="OK"),B15="Hunt"),(IF(B15="Hunt",(('Rules &amp; Formulas'!B4*N14*('Rules &amp; Formulas'!B5+O14)*IFERROR(VLOOKUP(C15,Monsters!$T$4:$AH$15,10,FALSE),0)*IFERROR(VLOOKUP(C15,Monsters!$T$4:$AH$15,9,FALSE),0))*'Rules &amp; Formulas'!B6)*IF(D15="",0,D15),0))*(IFERROR(VLOOKUP(C15,Monsters!$T$4:$AH$15,5,FALSE),0)),0)+IF(AND((E15="OK"),B15="Go AFK"),(IF(B15="Go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AFK",IF(D15="",0,D15),0),Z14/60)*60)),0))*(IFERROR(VLOOKUP(C15,Monsters!$T$4:$AH$15,5,FALSE),0)),0)-IF(AND((E15="OK"),OR(B15="Buy upgrade",B15="Forge/Scrapwork buy"),IFERROR(VLOOKUP(C15,Upgrades!$N$4:$T$47,2,FALSE),0)="scraps"),IFERROR(FLOOR(IFERROR(VLOOKUP(C15,Upgrades!$N$4:$T$47,3,FALSE),0)*(IFERROR(VLOOKUP(C15,Upgrades!$N$4:$T$47,4,FALSE),0)^(COUNTIFS($B$3:$B14,"Buy upgrade",$C$3:$C14,C15)+COUNTIFS($B$3:$B14,"Hire hunter",$C$3:$C14,C15)+COUNTIFS($B$3:$B14,"Forge/Scrapwork buy",$C$3:$C14,C15))),1),0),0))</f>
        <v/>
      </c>
      <c r="K15" s="7">
        <f>MAX(0,K14+IF(AND((E15="OK"),B15="Hunt"),IF(C15="Thornpelt Bear",(IF(B15="Hunt",(('Rules &amp; Formulas'!B4*N14*('Rules &amp; Formulas'!B5+O14)*IFERROR(VLOOKUP(C15,Monsters!$T$4:$AH$15,10,FALSE),0)*IFERROR(VLOOKUP(C15,Monsters!$T$4:$AH$15,9,FALSE),0))*'Rules &amp; Formulas'!B6)*IF(D15="",0,D15),0))*0.12,0),0)+IF(AND((E15="OK"),B15="Go AFK"),IF(C15="Thornpelt Bear",(IF(B15="Go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AFK",IF(D15="",0,D15),0),Z14/60)*60)),0))*0.12,0),0))</f>
        <v/>
      </c>
      <c r="L15" s="7">
        <f>MAX(0,L14+IF(AND((E15="OK"),B15="Hunt"),IF(C15="Dire Thornpelt",(IF(B15="Hunt",(('Rules &amp; Formulas'!B4*N14*('Rules &amp; Formulas'!B5+O14)*IFERROR(VLOOKUP(C15,Monsters!$T$4:$AH$15,10,FALSE),0)*IFERROR(VLOOKUP(C15,Monsters!$T$4:$AH$15,9,FALSE),0))*'Rules &amp; Formulas'!B6)*IF(D15="",0,D15),0))*0.1,0),0)+IF(AND((E15="OK"),B15="Go AFK"),IF(C15="Dire Thornpelt",(IF(B15="Go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AFK",IF(D15="",0,D15),0),Z14/60)*60)),0))*0.1,0),0))</f>
        <v/>
      </c>
      <c r="M15" s="7">
        <f>IF(AND((E15="OK"),B15="Go AFK"),MAX(0,MIN(('Rules &amp; Formulas'!B15+25*AJ14),M14+('Rules &amp; Formulas'!B14+0.4*AJ14)*(MIN(IF(B15="Go AFK",IF(D15="",0,D15),0),Z14/60)*60))-(IF(B15="Go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AFK",IF(D15="",0,D15),0),Z14/60)*60)),0))*(IF((IFERROR(VLOOKUP(C15,Monsters!$T$4:$AH$15,8,FALSE),0))=0,0.35,IFERROR(VLOOKUP(C15,Monsters!$T$4:$AH$15,8,FALSE),0))/(1+0.08*AK14))),MIN(('Rules &amp; Formulas'!B15+25*AJ15),M14))</f>
        <v/>
      </c>
      <c r="N15" s="7">
        <f>(1+0.08+0.12*AA15+0.12*AB15+0.16*AC15)</f>
        <v/>
      </c>
      <c r="O15" s="7">
        <f>((AD15&gt;=1)*1*(1+0.3*AE15))</f>
        <v/>
      </c>
      <c r="P15" s="7">
        <f>IF(OR(B15="Hunt",B15="Go AFK"),(('Rules &amp; Formulas'!B4*N14*('Rules &amp; Formulas'!B5+O14)*IFERROR(VLOOKUP(C15,Monsters!$T$4:$AH$15,10,FALSE),0)*IFERROR(VLOOKUP(C15,Monsters!$T$4:$AH$15,9,FALSE),0))*'Rules &amp; Formulas'!B6),"")</f>
        <v/>
      </c>
      <c r="Q15" s="7">
        <f>IF(OR(B15="Hunt",B15="Go AFK"),('Rules &amp; Formulas'!B4*N14*('Rules &amp; Formulas'!B5+O14)*IFERROR(VLOOKUP(C15,Monsters!$T$4:$AH$15,10,FALSE),0)*IFERROR(VLOOKUP(C15,Monsters!$T$4:$AH$15,9,FALSE),0)),"")</f>
        <v/>
      </c>
      <c r="R15" s="7">
        <f>IF(AND((E15="OK"),B15="Hunt"),IF(B15="Hunt",(('Rules &amp; Formulas'!B4*N14*('Rules &amp; Formulas'!B5+O14)*IFERROR(VLOOKUP(C15,Monsters!$T$4:$AH$15,10,FALSE),0)*IFERROR(VLOOKUP(C15,Monsters!$T$4:$AH$15,9,FALSE),0))*'Rules &amp; Formulas'!B6)*IF(D15="",0,D15),0),IF(AND((E15="OK"),B15="Go AFK"),IF(B15="Go AFK",MIN(IF((IF((IFERROR(VLOOKUP(C15,Monsters!$T$4:$AH$15,8,FALSE),0))=0,0.35,IFERROR(VLOOKUP(C15,Monsters!$T$4:$AH$15,8,FALSE),0))/(1+0.08*AK14))&lt;=0,999999,FLOOR(MIN(('Rules &amp; Formulas'!B15+25*AJ14),M14+('Rules &amp; Formulas'!B14+0.4*AJ14)*(MIN(IF(B15="Go AFK",IF(D15="",0,D15),0),Z14/60)*60))/(IF((IFERROR(VLOOKUP(C15,Monsters!$T$4:$AH$15,8,FALSE),0))=0,0.35,IFERROR(VLOOKUP(C15,Monsters!$T$4:$AH$15,8,FALSE),0))/(1+0.08*AK14)),1)),('Rules &amp; Formulas'!B4*N14*('Rules &amp; Formulas'!B5+O14)*IFERROR(VLOOKUP(C15,Monsters!$T$4:$AH$15,10,FALSE),0)*IFERROR(VLOOKUP(C15,Monsters!$T$4:$AH$15,9,FALSE),0))*(MIN(IF(B15="Go AFK",IF(D15="",0,D15),0),Z14/60)*60)),0),0))</f>
        <v/>
      </c>
      <c r="S15" s="7">
        <f>(105/'Rules &amp; Formulas'!B10)*'Rules &amp; Formulas'!B11</f>
        <v/>
      </c>
      <c r="T15" s="7">
        <f>IF(AD14&gt;=1,(MAX(1,ROUND('Rules &amp; Formulas'!B18*(1+0.3*AE14)*(1+0.4*AF14),0)))*(1000/'Rules &amp; Formulas'!B19)*MIN(0.95,'Rules &amp; Formulas'!B20*SQRT(1+0.55*(AG14&gt;=1))),0)</f>
        <v/>
      </c>
      <c r="U15" s="7">
        <f>S15+T15</f>
        <v/>
      </c>
      <c r="V15" s="7">
        <f>IF(I14&gt;=IF((IFERROR(VLOOKUP(C15,Monsters!$T$4:$AH$15,15,FALSE),0))=0,120,IFERROR(VLOOKUP(C15,Monsters!$T$4:$AH$15,15,FALSE),0)),"YES","no")</f>
        <v/>
      </c>
      <c r="W15" s="7">
        <f>IF(AND(B15="Fight boss",E15="OK"),IF((((105/'Rules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Formulas'!B20*SQRT(1+0.55*(AG14&gt;=1))),0)))),"")</f>
        <v/>
      </c>
      <c r="X15" s="7">
        <f>IF(AND(B15="Fight boss",E15="OK"),IF((IF((((105/'Rules &amp; Formulas'!B10)*'Rules &amp; Formulas'!B11+IF(AD14&gt;=1,(MAX(1,ROUND('Rules &amp; Formulas'!B18*(1+0.3*AE14)*(1+0.4*AF14),0)))*(1000/'Rules &amp; Formulas'!B19)*MIN(0.95,'Rules &amp; Formulas'!B20*SQRT(1+0.55*(AG14&gt;=1))),0)))&lt;=0,9999,(IFERROR(VLOOKUP(C15,Monsters!$T$4:$AH$15,2,FALSE),0))/(((105/'Rules &amp; Formulas'!B10)*'Rules &amp; Formulas'!B11+IF(AD14&gt;=1,(MAX(1,ROUND('Rules &amp; Formulas'!B18*(1+0.3*AE14)*(1+0.4*AF14),0)))*(1000/'Rules &amp; Formulas'!B19)*MIN(0.95,'Rules &amp; Formulas'!B20*SQRT(1+0.55*(AG14&gt;=1))),0))))&lt;='Rules &amp; Formulas'!B12),"WIN","LOSE"),"")</f>
        <v/>
      </c>
      <c r="Y15" s="7">
        <f>IF(B15="Go AFK",MIN(IF(B15="Go AFK",IF(D15="",0,D15),0),Z14/60),"")</f>
        <v/>
      </c>
      <c r="Z15" s="7">
        <f>('Rules &amp; Formulas'!B13+30*AI15)</f>
        <v/>
      </c>
      <c r="AA15">
        <f>COUNTIFS($B$3:$B15,"Buy upgrade",$C$3:$C15,"Idle Power")</f>
        <v/>
      </c>
      <c r="AB15">
        <f>COUNTIFS($B$3:$B15,"Buy upgrade",$C$3:$C15,"Iron Blade")</f>
        <v/>
      </c>
      <c r="AC15">
        <f>COUNTIFS($B$3:$B15,"Buy upgrade",$C$3:$C15,"Steel Blade")</f>
        <v/>
      </c>
      <c r="AD15">
        <f>COUNTIFS($B$3:$B15,"Hire hunter",$C$3:$C15,"Briar")+COUNTIFS($B$3:$B15,"Buy upgrade",$C$3:$C15,"Hire Briar")</f>
        <v/>
      </c>
      <c r="AE15">
        <f>COUNTIFS($B$3:$B15,"Buy upgrade",$C$3:$C15,"Hunter Power")</f>
        <v/>
      </c>
      <c r="AF15">
        <f>COUNTIFS($B$3:$B15,"Buy upgrade",$C$3:$C15,"Bigger Hits")</f>
        <v/>
      </c>
      <c r="AG15">
        <f>COUNTIFS($B$3:$B15,"Buy upgrade",$C$3:$C15,"Swift Walk")</f>
        <v/>
      </c>
      <c r="AH15">
        <f>COUNTIFS($B$3:$B15,"Buy upgrade",$C$3:$C15,"Loot Luck")</f>
        <v/>
      </c>
      <c r="AI15">
        <f>COUNTIFS($B$3:$B15,"Buy upgrade",$C$3:$C15,"Offline Cap")</f>
        <v/>
      </c>
      <c r="AJ15">
        <f>COUNTIFS($B$3:$B15,"Buy upgrade",$C$3:$C15,"Bigger Food Stock")</f>
        <v/>
      </c>
      <c r="AK15">
        <f>COUNTIFS($B$3:$B15,"Buy upgrade",$C$3:$C15,"Food Efficiency")</f>
        <v/>
      </c>
    </row>
    <row r="16">
      <c r="A16" t="n">
        <v>14</v>
      </c>
      <c r="B16" s="6" t="inlineStr">
        <is>
          <t>Buy upgrade</t>
        </is>
      </c>
      <c r="C16" s="6" t="inlineStr">
        <is>
          <t>Hunter Power</t>
        </is>
      </c>
      <c r="D16" s="6" t="n"/>
      <c r="E16" s="7">
        <f>IF(B16="","",IF(OR(B16="Hunt",B16="Go AFK"),IF(C16="","Can't","OK"),IF(B16="Fight boss",IF(I15&lt;IF((IFERROR(VLOOKUP(C16,Monsters!$T$4:$AH$15,15,FALSE),0))=0,120,IFERROR(VLOOKUP(C16,Monsters!$T$4:$AH$15,15,FALSE),0)),"Can't","OK"),IF(B16="Hire hunter",IF(AND(C16="Briar",AD15&gt;=1),"Can't",IF(H15&lt;IF(C16="Briar",140,IF(C16="Quill",3650,IF(C16="Moss",4850,IF(C16="Ember",12200,0)))),"Can't","OK")),IF(OR(B16="Buy upgrade",B16="Forge/Scrapwork buy"),IF(IFERROR(VLOOKUP(C16,Upgrades!$N$4:$T$47,2,FALSE),0)="points","Can't",IF(IFERROR(VLOOKUP(C16,Upgrades!$N$4:$T$47,2,FALSE),0)="gold",IF(H15&lt;IFERROR(FLOOR(IFERROR(VLOOKUP(C16,Upgrades!$N$4:$T$47,3,FALSE),0)*(IFERROR(VLOOKUP(C16,Upgrades!$N$4:$T$47,4,FALSE),0)^(COUNTIFS($B$3:$B15,"Buy upgrade",$C$3:$C15,C16)+COUNTIFS($B$3:$B15,"Hire hunter",$C$3:$C15,C16)+COUNTIFS($B$3:$B15,"Forge/Scrapwork buy",$C$3:$C15,C16))),1),0),"Can't","OK"),IF(IFERROR(VLOOKUP(C16,Upgrades!$N$4:$T$47,2,FALSE),0)="scraps",IF(J15&lt;IFERROR(FLOOR(IFERROR(VLOOKUP(C16,Upgrades!$N$4:$T$47,3,FALSE),0)*(IFERROR(VLOOKUP(C16,Upgrades!$N$4:$T$47,4,FALSE),0)^(COUNTIFS($B$3:$B15,"Buy upgrade",$C$3:$C15,C16)+COUNTIFS($B$3:$B15,"Hire hunter",$C$3:$C15,C16)+COUNTIFS($B$3:$B15,"Forge/Scrapwork buy",$C$3:$C15,C16))),1),0),"Can't","OK"),IF(IFERROR(VLOOKUP(C16,Upgrades!$N$4:$T$47,2,FALSE),0)="mats","Can't","OK")))),"Check")))))</f>
        <v/>
      </c>
      <c r="F16" s="7">
        <f>IF(B16="","",IF(AND(B16="Fight boss",I15&lt;IF((IFERROR(VLOOKUP(C16,Monsters!$T$4:$AH$15,15,FALSE),0))=0,120,IFERROR(VLOOKUP(C16,Monsters!$T$4:$AH$15,15,FALSE),0))),"Can't — need "&amp;TEXT(IF((IFERROR(VLOOKUP(C16,Monsters!$T$4:$AH$15,15,FALSE),0))=0,120,IFERROR(VLOOKUP(C16,Monsters!$T$4:$AH$15,15,FALSE),0))-I15,"0.0")&amp;" more Slayer points on the meter",IF(AND(B16="Hire hunter",C16="Briar",AD15&gt;=1),"Can't — already hired",IF(AND(B16="Hire hunter",H15&lt;IF(C16="Briar",140,IF(C16="Quill",3650,IF(C16="Moss",4850,IF(C16="Ember",12200,0))))),"Can't — need "&amp;TEXT(IF(C16="Briar",140,IF(C16="Quill",3650,IF(C16="Moss",4850,IF(C16="Ember",12200,0))))-H15,"0")&amp;" more gold",IF(AND(OR(B16="Buy upgrade",B16="Forge/Scrapwork buy"),IFERROR(VLOOKUP(C16,Upgrades!$N$4:$T$47,2,FALSE),0)="points"),"Can't — Sp-wallet spends not tracked here",IF(AND(OR(B16="Buy upgrade",B16="Forge/Scrapwork buy"),IFERROR(VLOOKUP(C16,Upgrades!$N$4:$T$47,2,FALSE),0)="gold",H15&lt;IFERROR(FLOOR(IFERROR(VLOOKUP(C16,Upgrades!$N$4:$T$47,3,FALSE),0)*(IFERROR(VLOOKUP(C16,Upgrades!$N$4:$T$47,4,FALSE),0)^(COUNTIFS($B$3:$B15,"Buy upgrade",$C$3:$C15,C16)+COUNTIFS($B$3:$B15,"Hire hunter",$C$3:$C15,C16)+COUNTIFS($B$3:$B15,"Forge/Scrapwork buy",$C$3:$C15,C16))),1),0)),"Can't — need "&amp;TEXT(IFERROR(FLOOR(IFERROR(VLOOKUP(C16,Upgrades!$N$4:$T$47,3,FALSE),0)*(IFERROR(VLOOKUP(C16,Upgrades!$N$4:$T$47,4,FALSE),0)^(COUNTIFS($B$3:$B15,"Buy upgrade",$C$3:$C15,C16)+COUNTIFS($B$3:$B15,"Hire hunter",$C$3:$C15,C16)+COUNTIFS($B$3:$B15,"Forge/Scrapwork buy",$C$3:$C15,C16))),1),0)-H15,"0")&amp;" more gold",IF(AND(OR(B16="Buy upgrade",B16="Forge/Scrapwork buy"),IFERROR(VLOOKUP(C16,Upgrades!$N$4:$T$47,2,FALSE),0)="scraps",J15&lt;IFERROR(FLOOR(IFERROR(VLOOKUP(C16,Upgrades!$N$4:$T$47,3,FALSE),0)*(IFERROR(VLOOKUP(C16,Upgrades!$N$4:$T$47,4,FALSE),0)^(COUNTIFS($B$3:$B15,"Buy upgrade",$C$3:$C15,C16)+COUNTIFS($B$3:$B15,"Hire hunter",$C$3:$C15,C16)+COUNTIFS($B$3:$B15,"Forge/Scrapwork buy",$C$3:$C15,C16))),1),0)),"Can't — need "&amp;TEXT(IFERROR(FLOOR(IFERROR(VLOOKUP(C16,Upgrades!$N$4:$T$47,3,FALSE),0)*(IFERROR(VLOOKUP(C16,Upgrades!$N$4:$T$47,4,FALSE),0)^(COUNTIFS($B$3:$B15,"Buy upgrade",$C$3:$C15,C16)+COUNTIFS($B$3:$B15,"Hire hunter",$C$3:$C15,C16)+COUNTIFS($B$3:$B15,"Forge/Scrapwork buy",$C$3:$C15,C16))),1),0)-J15,"0")&amp;" more scraps",IF(AND(B16="Fight boss",E16="OK",(IF((((105/'Rules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Formulas'!B12)),"WIN — boss down, next Level unlocks",IF(AND(B16="Fight boss",E16="OK"),"LOSE — TTK "&amp;TEXT(IF((((105/'Rules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Formulas'!B20*SQRT(1+0.55*(AG15&gt;=1))),0)))),"0")&amp;"s &gt; patience "&amp;TEXT('Rules &amp; Formulas'!B12,"0")&amp;"s (leave resets HP)",IF(B16="Go AFK","AFK resolved (see AFK counted h)","Applied")))))))))</f>
        <v/>
      </c>
      <c r="G16" s="7">
        <f>IF(AND((E16="OK"),B16="Fight boss",(IF((((105/'Rules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Formulas'!B12),C16="Elder Thornpelt"),2,IF(AND((E16="OK"),B16="Fight boss",(IF((((105/'Rules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Formulas'!B12),C16="Ashfang Alpha"),3,G15))</f>
        <v/>
      </c>
      <c r="H16" s="7">
        <f>MAX(0,H15+IF(AND((E16="OK"),B16="Hunt"),(IF(B16="Hunt",(('Rules &amp; Formulas'!B4*N15*('Rules &amp; Formulas'!B5+O15)*IFERROR(VLOOKUP(C16,Monsters!$T$4:$AH$15,10,FALSE),0)*IFERROR(VLOOKUP(C16,Monsters!$T$4:$AH$15,9,FALSE),0))*'Rules &amp; Formulas'!B6)*IF(D16="",0,D16),0))*(IFERROR(VLOOKUP(C16,Monsters!$T$4:$AH$15,3,FALSE),0))*(1+0.1*AH15)+(IF(OR(B16&lt;&gt;"Hunt",IFERROR(VLOOKUP(C16,Monsters!$T$4:$AH$15,6,FALSE),0)=0),0,FLOOR((IF(B16="Hunt",(('Rules &amp; Formulas'!B4*N15*('Rules &amp; Formulas'!B5+O15)*IFERROR(VLOOKUP(C16,Monsters!$T$4:$AH$15,10,FALSE),0)*IFERROR(VLOOKUP(C16,Monsters!$T$4:$AH$15,9,FALSE),0))*'Rules &amp; Formulas'!B6)*IF(D16="",0,D16),0))/MAX(1,IFERROR(VLOOKUP(C16,Monsters!$T$4:$AH$15,6,FALSE),0)),1)))*(IFERROR(VLOOKUP(C16,Monsters!$T$4:$AH$15,7,FALSE),0))*0.5*(1+0.1*AH15),0)+IF(AND((E16="OK"),B16="Go AFK"),(IF(B16="Go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AFK",IF(D16="",0,D16),0),Z15/60)*60)),0))*(IFERROR(VLOOKUP(C16,Monsters!$T$4:$AH$15,3,FALSE),0))*(1+0.1*AH15)+(IF(OR(B16&lt;&gt;"Go AFK",IFERROR(VLOOKUP(C16,Monsters!$T$4:$AH$15,6,FALSE),0)=0),0,FLOOR((IF(B16="Go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AFK",IF(D16="",0,D16),0),Z15/60)*60)),0))/MAX(1,IFERROR(VLOOKUP(C16,Monsters!$T$4:$AH$15,6,FALSE),0)),1)))*(IFERROR(VLOOKUP(C16,Monsters!$T$4:$AH$15,7,FALSE),0))*0.5*(1+0.1*AH15),0)+IF(AND((E16="OK"),B16="Fight boss",(IF((((105/'Rules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Formulas'!B12)),IFERROR(VLOOKUP(C16,Monsters!$T$4:$AH$15,3,FALSE),0),0)-IF(AND((E16="OK"),OR(B16="Buy upgrade",B16="Forge/Scrapwork buy"),IFERROR(VLOOKUP(C16,Upgrades!$N$4:$T$47,2,FALSE),0)="gold"),IFERROR(FLOOR(IFERROR(VLOOKUP(C16,Upgrades!$N$4:$T$47,3,FALSE),0)*(IFERROR(VLOOKUP(C16,Upgrades!$N$4:$T$47,4,FALSE),0)^(COUNTIFS($B$3:$B15,"Buy upgrade",$C$3:$C15,C16)+COUNTIFS($B$3:$B15,"Hire hunter",$C$3:$C15,C16)+COUNTIFS($B$3:$B15,"Forge/Scrapwork buy",$C$3:$C15,C16))),1),0),0)-IF(AND((E16="OK"),B16="Hire hunter"),IF(C16="Briar",140,IF(C16="Quill",3650,IF(C16="Moss",4850,IF(C16="Ember",12200,0)))),0))</f>
        <v/>
      </c>
      <c r="I16" s="7">
        <f>IF(AND((E16="OK"),B16="Fight boss",(IF((((105/'Rules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Formulas'!B12)),0,MIN(IF(G15&lt;=1,120,IF(G15=2,280,600)),I15+IF(AND((E16="OK"),B16="Hunt"),((IF(B16="Hunt",(('Rules &amp; Formulas'!B4*N15*('Rules &amp; Formulas'!B5+O15)*IFERROR(VLOOKUP(C16,Monsters!$T$4:$AH$15,10,FALSE),0)*IFERROR(VLOOKUP(C16,Monsters!$T$4:$AH$15,9,FALSE),0))*'Rules &amp; Formulas'!B6)*IF(D16="",0,D16),0))*(IFERROR(VLOOKUP(C16,Monsters!$T$4:$AH$15,4,FALSE),0))+(IF(OR(B16&lt;&gt;"Hunt",IFERROR(VLOOKUP(C16,Monsters!$T$4:$AH$15,6,FALSE),0)=0),0,FLOOR((IF(B16="Hunt",(('Rules &amp; Formulas'!B4*N15*('Rules &amp; Formulas'!B5+O15)*IFERROR(VLOOKUP(C16,Monsters!$T$4:$AH$15,10,FALSE),0)*IFERROR(VLOOKUP(C16,Monsters!$T$4:$AH$15,9,FALSE),0))*'Rules &amp; Formulas'!B6)*IF(D16="",0,D16),0))/MAX(1,IFERROR(VLOOKUP(C16,Monsters!$T$4:$AH$15,6,FALSE),0)),1)))*(IFERROR(VLOOKUP(C16,Monsters!$T$4:$AH$15,7,FALSE),0))),0)+IF(AND((E16="OK"),B16="Go AFK"),((IF(B16="Go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AFK",IF(D16="",0,D16),0),Z15/60)*60)),0))*(IFERROR(VLOOKUP(C16,Monsters!$T$4:$AH$15,4,FALSE),0))+(IF(OR(B16&lt;&gt;"Go AFK",IFERROR(VLOOKUP(C16,Monsters!$T$4:$AH$15,6,FALSE),0)=0),0,FLOOR((IF(B16="Go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AFK",IF(D16="",0,D16),0),Z15/60)*60)),0))/MAX(1,IFERROR(VLOOKUP(C16,Monsters!$T$4:$AH$15,6,FALSE),0)),1)))*(IFERROR(VLOOKUP(C16,Monsters!$T$4:$AH$15,7,FALSE),0))),0)))</f>
        <v/>
      </c>
      <c r="J16" s="7">
        <f>MAX(0,J15+IF(AND((E16="OK"),B16="Hunt"),(IF(B16="Hunt",(('Rules &amp; Formulas'!B4*N15*('Rules &amp; Formulas'!B5+O15)*IFERROR(VLOOKUP(C16,Monsters!$T$4:$AH$15,10,FALSE),0)*IFERROR(VLOOKUP(C16,Monsters!$T$4:$AH$15,9,FALSE),0))*'Rules &amp; Formulas'!B6)*IF(D16="",0,D16),0))*(IFERROR(VLOOKUP(C16,Monsters!$T$4:$AH$15,5,FALSE),0)),0)+IF(AND((E16="OK"),B16="Go AFK"),(IF(B16="Go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AFK",IF(D16="",0,D16),0),Z15/60)*60)),0))*(IFERROR(VLOOKUP(C16,Monsters!$T$4:$AH$15,5,FALSE),0)),0)-IF(AND((E16="OK"),OR(B16="Buy upgrade",B16="Forge/Scrapwork buy"),IFERROR(VLOOKUP(C16,Upgrades!$N$4:$T$47,2,FALSE),0)="scraps"),IFERROR(FLOOR(IFERROR(VLOOKUP(C16,Upgrades!$N$4:$T$47,3,FALSE),0)*(IFERROR(VLOOKUP(C16,Upgrades!$N$4:$T$47,4,FALSE),0)^(COUNTIFS($B$3:$B15,"Buy upgrade",$C$3:$C15,C16)+COUNTIFS($B$3:$B15,"Hire hunter",$C$3:$C15,C16)+COUNTIFS($B$3:$B15,"Forge/Scrapwork buy",$C$3:$C15,C16))),1),0),0))</f>
        <v/>
      </c>
      <c r="K16" s="7">
        <f>MAX(0,K15+IF(AND((E16="OK"),B16="Hunt"),IF(C16="Thornpelt Bear",(IF(B16="Hunt",(('Rules &amp; Formulas'!B4*N15*('Rules &amp; Formulas'!B5+O15)*IFERROR(VLOOKUP(C16,Monsters!$T$4:$AH$15,10,FALSE),0)*IFERROR(VLOOKUP(C16,Monsters!$T$4:$AH$15,9,FALSE),0))*'Rules &amp; Formulas'!B6)*IF(D16="",0,D16),0))*0.12,0),0)+IF(AND((E16="OK"),B16="Go AFK"),IF(C16="Thornpelt Bear",(IF(B16="Go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AFK",IF(D16="",0,D16),0),Z15/60)*60)),0))*0.12,0),0))</f>
        <v/>
      </c>
      <c r="L16" s="7">
        <f>MAX(0,L15+IF(AND((E16="OK"),B16="Hunt"),IF(C16="Dire Thornpelt",(IF(B16="Hunt",(('Rules &amp; Formulas'!B4*N15*('Rules &amp; Formulas'!B5+O15)*IFERROR(VLOOKUP(C16,Monsters!$T$4:$AH$15,10,FALSE),0)*IFERROR(VLOOKUP(C16,Monsters!$T$4:$AH$15,9,FALSE),0))*'Rules &amp; Formulas'!B6)*IF(D16="",0,D16),0))*0.1,0),0)+IF(AND((E16="OK"),B16="Go AFK"),IF(C16="Dire Thornpelt",(IF(B16="Go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AFK",IF(D16="",0,D16),0),Z15/60)*60)),0))*0.1,0),0))</f>
        <v/>
      </c>
      <c r="M16" s="7">
        <f>IF(AND((E16="OK"),B16="Go AFK"),MAX(0,MIN(('Rules &amp; Formulas'!B15+25*AJ15),M15+('Rules &amp; Formulas'!B14+0.4*AJ15)*(MIN(IF(B16="Go AFK",IF(D16="",0,D16),0),Z15/60)*60))-(IF(B16="Go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AFK",IF(D16="",0,D16),0),Z15/60)*60)),0))*(IF((IFERROR(VLOOKUP(C16,Monsters!$T$4:$AH$15,8,FALSE),0))=0,0.35,IFERROR(VLOOKUP(C16,Monsters!$T$4:$AH$15,8,FALSE),0))/(1+0.08*AK15))),MIN(('Rules &amp; Formulas'!B15+25*AJ16),M15))</f>
        <v/>
      </c>
      <c r="N16" s="7">
        <f>(1+0.08+0.12*AA16+0.12*AB16+0.16*AC16)</f>
        <v/>
      </c>
      <c r="O16" s="7">
        <f>((AD16&gt;=1)*1*(1+0.3*AE16))</f>
        <v/>
      </c>
      <c r="P16" s="7">
        <f>IF(OR(B16="Hunt",B16="Go AFK"),(('Rules &amp; Formulas'!B4*N15*('Rules &amp; Formulas'!B5+O15)*IFERROR(VLOOKUP(C16,Monsters!$T$4:$AH$15,10,FALSE),0)*IFERROR(VLOOKUP(C16,Monsters!$T$4:$AH$15,9,FALSE),0))*'Rules &amp; Formulas'!B6),"")</f>
        <v/>
      </c>
      <c r="Q16" s="7">
        <f>IF(OR(B16="Hunt",B16="Go AFK"),('Rules &amp; Formulas'!B4*N15*('Rules &amp; Formulas'!B5+O15)*IFERROR(VLOOKUP(C16,Monsters!$T$4:$AH$15,10,FALSE),0)*IFERROR(VLOOKUP(C16,Monsters!$T$4:$AH$15,9,FALSE),0)),"")</f>
        <v/>
      </c>
      <c r="R16" s="7">
        <f>IF(AND((E16="OK"),B16="Hunt"),IF(B16="Hunt",(('Rules &amp; Formulas'!B4*N15*('Rules &amp; Formulas'!B5+O15)*IFERROR(VLOOKUP(C16,Monsters!$T$4:$AH$15,10,FALSE),0)*IFERROR(VLOOKUP(C16,Monsters!$T$4:$AH$15,9,FALSE),0))*'Rules &amp; Formulas'!B6)*IF(D16="",0,D16),0),IF(AND((E16="OK"),B16="Go AFK"),IF(B16="Go AFK",MIN(IF((IF((IFERROR(VLOOKUP(C16,Monsters!$T$4:$AH$15,8,FALSE),0))=0,0.35,IFERROR(VLOOKUP(C16,Monsters!$T$4:$AH$15,8,FALSE),0))/(1+0.08*AK15))&lt;=0,999999,FLOOR(MIN(('Rules &amp; Formulas'!B15+25*AJ15),M15+('Rules &amp; Formulas'!B14+0.4*AJ15)*(MIN(IF(B16="Go AFK",IF(D16="",0,D16),0),Z15/60)*60))/(IF((IFERROR(VLOOKUP(C16,Monsters!$T$4:$AH$15,8,FALSE),0))=0,0.35,IFERROR(VLOOKUP(C16,Monsters!$T$4:$AH$15,8,FALSE),0))/(1+0.08*AK15)),1)),('Rules &amp; Formulas'!B4*N15*('Rules &amp; Formulas'!B5+O15)*IFERROR(VLOOKUP(C16,Monsters!$T$4:$AH$15,10,FALSE),0)*IFERROR(VLOOKUP(C16,Monsters!$T$4:$AH$15,9,FALSE),0))*(MIN(IF(B16="Go AFK",IF(D16="",0,D16),0),Z15/60)*60)),0),0))</f>
        <v/>
      </c>
      <c r="S16" s="7">
        <f>(105/'Rules &amp; Formulas'!B10)*'Rules &amp; Formulas'!B11</f>
        <v/>
      </c>
      <c r="T16" s="7">
        <f>IF(AD15&gt;=1,(MAX(1,ROUND('Rules &amp; Formulas'!B18*(1+0.3*AE15)*(1+0.4*AF15),0)))*(1000/'Rules &amp; Formulas'!B19)*MIN(0.95,'Rules &amp; Formulas'!B20*SQRT(1+0.55*(AG15&gt;=1))),0)</f>
        <v/>
      </c>
      <c r="U16" s="7">
        <f>S16+T16</f>
        <v/>
      </c>
      <c r="V16" s="7">
        <f>IF(I15&gt;=IF((IFERROR(VLOOKUP(C16,Monsters!$T$4:$AH$15,15,FALSE),0))=0,120,IFERROR(VLOOKUP(C16,Monsters!$T$4:$AH$15,15,FALSE),0)),"YES","no")</f>
        <v/>
      </c>
      <c r="W16" s="7">
        <f>IF(AND(B16="Fight boss",E16="OK"),IF((((105/'Rules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Formulas'!B20*SQRT(1+0.55*(AG15&gt;=1))),0)))),"")</f>
        <v/>
      </c>
      <c r="X16" s="7">
        <f>IF(AND(B16="Fight boss",E16="OK"),IF((IF((((105/'Rules &amp; Formulas'!B10)*'Rules &amp; Formulas'!B11+IF(AD15&gt;=1,(MAX(1,ROUND('Rules &amp; Formulas'!B18*(1+0.3*AE15)*(1+0.4*AF15),0)))*(1000/'Rules &amp; Formulas'!B19)*MIN(0.95,'Rules &amp; Formulas'!B20*SQRT(1+0.55*(AG15&gt;=1))),0)))&lt;=0,9999,(IFERROR(VLOOKUP(C16,Monsters!$T$4:$AH$15,2,FALSE),0))/(((105/'Rules &amp; Formulas'!B10)*'Rules &amp; Formulas'!B11+IF(AD15&gt;=1,(MAX(1,ROUND('Rules &amp; Formulas'!B18*(1+0.3*AE15)*(1+0.4*AF15),0)))*(1000/'Rules &amp; Formulas'!B19)*MIN(0.95,'Rules &amp; Formulas'!B20*SQRT(1+0.55*(AG15&gt;=1))),0))))&lt;='Rules &amp; Formulas'!B12),"WIN","LOSE"),"")</f>
        <v/>
      </c>
      <c r="Y16" s="7">
        <f>IF(B16="Go AFK",MIN(IF(B16="Go AFK",IF(D16="",0,D16),0),Z15/60),"")</f>
        <v/>
      </c>
      <c r="Z16" s="7">
        <f>('Rules &amp; Formulas'!B13+30*AI16)</f>
        <v/>
      </c>
      <c r="AA16">
        <f>COUNTIFS($B$3:$B16,"Buy upgrade",$C$3:$C16,"Idle Power")</f>
        <v/>
      </c>
      <c r="AB16">
        <f>COUNTIFS($B$3:$B16,"Buy upgrade",$C$3:$C16,"Iron Blade")</f>
        <v/>
      </c>
      <c r="AC16">
        <f>COUNTIFS($B$3:$B16,"Buy upgrade",$C$3:$C16,"Steel Blade")</f>
        <v/>
      </c>
      <c r="AD16">
        <f>COUNTIFS($B$3:$B16,"Hire hunter",$C$3:$C16,"Briar")+COUNTIFS($B$3:$B16,"Buy upgrade",$C$3:$C16,"Hire Briar")</f>
        <v/>
      </c>
      <c r="AE16">
        <f>COUNTIFS($B$3:$B16,"Buy upgrade",$C$3:$C16,"Hunter Power")</f>
        <v/>
      </c>
      <c r="AF16">
        <f>COUNTIFS($B$3:$B16,"Buy upgrade",$C$3:$C16,"Bigger Hits")</f>
        <v/>
      </c>
      <c r="AG16">
        <f>COUNTIFS($B$3:$B16,"Buy upgrade",$C$3:$C16,"Swift Walk")</f>
        <v/>
      </c>
      <c r="AH16">
        <f>COUNTIFS($B$3:$B16,"Buy upgrade",$C$3:$C16,"Loot Luck")</f>
        <v/>
      </c>
      <c r="AI16">
        <f>COUNTIFS($B$3:$B16,"Buy upgrade",$C$3:$C16,"Offline Cap")</f>
        <v/>
      </c>
      <c r="AJ16">
        <f>COUNTIFS($B$3:$B16,"Buy upgrade",$C$3:$C16,"Bigger Food Stock")</f>
        <v/>
      </c>
      <c r="AK16">
        <f>COUNTIFS($B$3:$B16,"Buy upgrade",$C$3:$C16,"Food Efficiency")</f>
        <v/>
      </c>
    </row>
    <row r="17">
      <c r="A17" t="n">
        <v>15</v>
      </c>
      <c r="B17" s="6" t="inlineStr">
        <is>
          <t>Buy upgrade</t>
        </is>
      </c>
      <c r="C17" s="6" t="inlineStr">
        <is>
          <t>Idle Power</t>
        </is>
      </c>
      <c r="D17" s="6" t="n"/>
      <c r="E17" s="7">
        <f>IF(B17="","",IF(OR(B17="Hunt",B17="Go AFK"),IF(C17="","Can't","OK"),IF(B17="Fight boss",IF(I16&lt;IF((IFERROR(VLOOKUP(C17,Monsters!$T$4:$AH$15,15,FALSE),0))=0,120,IFERROR(VLOOKUP(C17,Monsters!$T$4:$AH$15,15,FALSE),0)),"Can't","OK"),IF(B17="Hire hunter",IF(AND(C17="Briar",AD16&gt;=1),"Can't",IF(H16&lt;IF(C17="Briar",140,IF(C17="Quill",3650,IF(C17="Moss",4850,IF(C17="Ember",12200,0)))),"Can't","OK")),IF(OR(B17="Buy upgrade",B17="Forge/Scrapwork buy"),IF(IFERROR(VLOOKUP(C17,Upgrades!$N$4:$T$47,2,FALSE),0)="points","Can't",IF(IFERROR(VLOOKUP(C17,Upgrades!$N$4:$T$47,2,FALSE),0)="gold",IF(H16&lt;IFERROR(FLOOR(IFERROR(VLOOKUP(C17,Upgrades!$N$4:$T$47,3,FALSE),0)*(IFERROR(VLOOKUP(C17,Upgrades!$N$4:$T$47,4,FALSE),0)^(COUNTIFS($B$3:$B16,"Buy upgrade",$C$3:$C16,C17)+COUNTIFS($B$3:$B16,"Hire hunter",$C$3:$C16,C17)+COUNTIFS($B$3:$B16,"Forge/Scrapwork buy",$C$3:$C16,C17))),1),0),"Can't","OK"),IF(IFERROR(VLOOKUP(C17,Upgrades!$N$4:$T$47,2,FALSE),0)="scraps",IF(J16&lt;IFERROR(FLOOR(IFERROR(VLOOKUP(C17,Upgrades!$N$4:$T$47,3,FALSE),0)*(IFERROR(VLOOKUP(C17,Upgrades!$N$4:$T$47,4,FALSE),0)^(COUNTIFS($B$3:$B16,"Buy upgrade",$C$3:$C16,C17)+COUNTIFS($B$3:$B16,"Hire hunter",$C$3:$C16,C17)+COUNTIFS($B$3:$B16,"Forge/Scrapwork buy",$C$3:$C16,C17))),1),0),"Can't","OK"),IF(IFERROR(VLOOKUP(C17,Upgrades!$N$4:$T$47,2,FALSE),0)="mats","Can't","OK")))),"Check")))))</f>
        <v/>
      </c>
      <c r="F17" s="7">
        <f>IF(B17="","",IF(AND(B17="Fight boss",I16&lt;IF((IFERROR(VLOOKUP(C17,Monsters!$T$4:$AH$15,15,FALSE),0))=0,120,IFERROR(VLOOKUP(C17,Monsters!$T$4:$AH$15,15,FALSE),0))),"Can't — need "&amp;TEXT(IF((IFERROR(VLOOKUP(C17,Monsters!$T$4:$AH$15,15,FALSE),0))=0,120,IFERROR(VLOOKUP(C17,Monsters!$T$4:$AH$15,15,FALSE),0))-I16,"0.0")&amp;" more Slayer points on the meter",IF(AND(B17="Hire hunter",C17="Briar",AD16&gt;=1),"Can't — already hired",IF(AND(B17="Hire hunter",H16&lt;IF(C17="Briar",140,IF(C17="Quill",3650,IF(C17="Moss",4850,IF(C17="Ember",12200,0))))),"Can't — need "&amp;TEXT(IF(C17="Briar",140,IF(C17="Quill",3650,IF(C17="Moss",4850,IF(C17="Ember",12200,0))))-H16,"0")&amp;" more gold",IF(AND(OR(B17="Buy upgrade",B17="Forge/Scrapwork buy"),IFERROR(VLOOKUP(C17,Upgrades!$N$4:$T$47,2,FALSE),0)="points"),"Can't — Sp-wallet spends not tracked here",IF(AND(OR(B17="Buy upgrade",B17="Forge/Scrapwork buy"),IFERROR(VLOOKUP(C17,Upgrades!$N$4:$T$47,2,FALSE),0)="gold",H16&lt;IFERROR(FLOOR(IFERROR(VLOOKUP(C17,Upgrades!$N$4:$T$47,3,FALSE),0)*(IFERROR(VLOOKUP(C17,Upgrades!$N$4:$T$47,4,FALSE),0)^(COUNTIFS($B$3:$B16,"Buy upgrade",$C$3:$C16,C17)+COUNTIFS($B$3:$B16,"Hire hunter",$C$3:$C16,C17)+COUNTIFS($B$3:$B16,"Forge/Scrapwork buy",$C$3:$C16,C17))),1),0)),"Can't — need "&amp;TEXT(IFERROR(FLOOR(IFERROR(VLOOKUP(C17,Upgrades!$N$4:$T$47,3,FALSE),0)*(IFERROR(VLOOKUP(C17,Upgrades!$N$4:$T$47,4,FALSE),0)^(COUNTIFS($B$3:$B16,"Buy upgrade",$C$3:$C16,C17)+COUNTIFS($B$3:$B16,"Hire hunter",$C$3:$C16,C17)+COUNTIFS($B$3:$B16,"Forge/Scrapwork buy",$C$3:$C16,C17))),1),0)-H16,"0")&amp;" more gold",IF(AND(OR(B17="Buy upgrade",B17="Forge/Scrapwork buy"),IFERROR(VLOOKUP(C17,Upgrades!$N$4:$T$47,2,FALSE),0)="scraps",J16&lt;IFERROR(FLOOR(IFERROR(VLOOKUP(C17,Upgrades!$N$4:$T$47,3,FALSE),0)*(IFERROR(VLOOKUP(C17,Upgrades!$N$4:$T$47,4,FALSE),0)^(COUNTIFS($B$3:$B16,"Buy upgrade",$C$3:$C16,C17)+COUNTIFS($B$3:$B16,"Hire hunter",$C$3:$C16,C17)+COUNTIFS($B$3:$B16,"Forge/Scrapwork buy",$C$3:$C16,C17))),1),0)),"Can't — need "&amp;TEXT(IFERROR(FLOOR(IFERROR(VLOOKUP(C17,Upgrades!$N$4:$T$47,3,FALSE),0)*(IFERROR(VLOOKUP(C17,Upgrades!$N$4:$T$47,4,FALSE),0)^(COUNTIFS($B$3:$B16,"Buy upgrade",$C$3:$C16,C17)+COUNTIFS($B$3:$B16,"Hire hunter",$C$3:$C16,C17)+COUNTIFS($B$3:$B16,"Forge/Scrapwork buy",$C$3:$C16,C17))),1),0)-J16,"0")&amp;" more scraps",IF(AND(B17="Fight boss",E17="OK",(IF((((105/'Rules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Formulas'!B12)),"WIN — boss down, next Level unlocks",IF(AND(B17="Fight boss",E17="OK"),"LOSE — TTK "&amp;TEXT(IF((((105/'Rules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Formulas'!B20*SQRT(1+0.55*(AG16&gt;=1))),0)))),"0")&amp;"s &gt; patience "&amp;TEXT('Rules &amp; Formulas'!B12,"0")&amp;"s (leave resets HP)",IF(B17="Go AFK","AFK resolved (see AFK counted h)","Applied")))))))))</f>
        <v/>
      </c>
      <c r="G17" s="7">
        <f>IF(AND((E17="OK"),B17="Fight boss",(IF((((105/'Rules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Formulas'!B12),C17="Elder Thornpelt"),2,IF(AND((E17="OK"),B17="Fight boss",(IF((((105/'Rules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Formulas'!B12),C17="Ashfang Alpha"),3,G16))</f>
        <v/>
      </c>
      <c r="H17" s="7">
        <f>MAX(0,H16+IF(AND((E17="OK"),B17="Hunt"),(IF(B17="Hunt",(('Rules &amp; Formulas'!B4*N16*('Rules &amp; Formulas'!B5+O16)*IFERROR(VLOOKUP(C17,Monsters!$T$4:$AH$15,10,FALSE),0)*IFERROR(VLOOKUP(C17,Monsters!$T$4:$AH$15,9,FALSE),0))*'Rules &amp; Formulas'!B6)*IF(D17="",0,D17),0))*(IFERROR(VLOOKUP(C17,Monsters!$T$4:$AH$15,3,FALSE),0))*(1+0.1*AH16)+(IF(OR(B17&lt;&gt;"Hunt",IFERROR(VLOOKUP(C17,Monsters!$T$4:$AH$15,6,FALSE),0)=0),0,FLOOR((IF(B17="Hunt",(('Rules &amp; Formulas'!B4*N16*('Rules &amp; Formulas'!B5+O16)*IFERROR(VLOOKUP(C17,Monsters!$T$4:$AH$15,10,FALSE),0)*IFERROR(VLOOKUP(C17,Monsters!$T$4:$AH$15,9,FALSE),0))*'Rules &amp; Formulas'!B6)*IF(D17="",0,D17),0))/MAX(1,IFERROR(VLOOKUP(C17,Monsters!$T$4:$AH$15,6,FALSE),0)),1)))*(IFERROR(VLOOKUP(C17,Monsters!$T$4:$AH$15,7,FALSE),0))*0.5*(1+0.1*AH16),0)+IF(AND((E17="OK"),B17="Go AFK"),(IF(B17="Go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AFK",IF(D17="",0,D17),0),Z16/60)*60)),0))*(IFERROR(VLOOKUP(C17,Monsters!$T$4:$AH$15,3,FALSE),0))*(1+0.1*AH16)+(IF(OR(B17&lt;&gt;"Go AFK",IFERROR(VLOOKUP(C17,Monsters!$T$4:$AH$15,6,FALSE),0)=0),0,FLOOR((IF(B17="Go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AFK",IF(D17="",0,D17),0),Z16/60)*60)),0))/MAX(1,IFERROR(VLOOKUP(C17,Monsters!$T$4:$AH$15,6,FALSE),0)),1)))*(IFERROR(VLOOKUP(C17,Monsters!$T$4:$AH$15,7,FALSE),0))*0.5*(1+0.1*AH16),0)+IF(AND((E17="OK"),B17="Fight boss",(IF((((105/'Rules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Formulas'!B12)),IFERROR(VLOOKUP(C17,Monsters!$T$4:$AH$15,3,FALSE),0),0)-IF(AND((E17="OK"),OR(B17="Buy upgrade",B17="Forge/Scrapwork buy"),IFERROR(VLOOKUP(C17,Upgrades!$N$4:$T$47,2,FALSE),0)="gold"),IFERROR(FLOOR(IFERROR(VLOOKUP(C17,Upgrades!$N$4:$T$47,3,FALSE),0)*(IFERROR(VLOOKUP(C17,Upgrades!$N$4:$T$47,4,FALSE),0)^(COUNTIFS($B$3:$B16,"Buy upgrade",$C$3:$C16,C17)+COUNTIFS($B$3:$B16,"Hire hunter",$C$3:$C16,C17)+COUNTIFS($B$3:$B16,"Forge/Scrapwork buy",$C$3:$C16,C17))),1),0),0)-IF(AND((E17="OK"),B17="Hire hunter"),IF(C17="Briar",140,IF(C17="Quill",3650,IF(C17="Moss",4850,IF(C17="Ember",12200,0)))),0))</f>
        <v/>
      </c>
      <c r="I17" s="7">
        <f>IF(AND((E17="OK"),B17="Fight boss",(IF((((105/'Rules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Formulas'!B12)),0,MIN(IF(G16&lt;=1,120,IF(G16=2,280,600)),I16+IF(AND((E17="OK"),B17="Hunt"),((IF(B17="Hunt",(('Rules &amp; Formulas'!B4*N16*('Rules &amp; Formulas'!B5+O16)*IFERROR(VLOOKUP(C17,Monsters!$T$4:$AH$15,10,FALSE),0)*IFERROR(VLOOKUP(C17,Monsters!$T$4:$AH$15,9,FALSE),0))*'Rules &amp; Formulas'!B6)*IF(D17="",0,D17),0))*(IFERROR(VLOOKUP(C17,Monsters!$T$4:$AH$15,4,FALSE),0))+(IF(OR(B17&lt;&gt;"Hunt",IFERROR(VLOOKUP(C17,Monsters!$T$4:$AH$15,6,FALSE),0)=0),0,FLOOR((IF(B17="Hunt",(('Rules &amp; Formulas'!B4*N16*('Rules &amp; Formulas'!B5+O16)*IFERROR(VLOOKUP(C17,Monsters!$T$4:$AH$15,10,FALSE),0)*IFERROR(VLOOKUP(C17,Monsters!$T$4:$AH$15,9,FALSE),0))*'Rules &amp; Formulas'!B6)*IF(D17="",0,D17),0))/MAX(1,IFERROR(VLOOKUP(C17,Monsters!$T$4:$AH$15,6,FALSE),0)),1)))*(IFERROR(VLOOKUP(C17,Monsters!$T$4:$AH$15,7,FALSE),0))),0)+IF(AND((E17="OK"),B17="Go AFK"),((IF(B17="Go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AFK",IF(D17="",0,D17),0),Z16/60)*60)),0))*(IFERROR(VLOOKUP(C17,Monsters!$T$4:$AH$15,4,FALSE),0))+(IF(OR(B17&lt;&gt;"Go AFK",IFERROR(VLOOKUP(C17,Monsters!$T$4:$AH$15,6,FALSE),0)=0),0,FLOOR((IF(B17="Go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AFK",IF(D17="",0,D17),0),Z16/60)*60)),0))/MAX(1,IFERROR(VLOOKUP(C17,Monsters!$T$4:$AH$15,6,FALSE),0)),1)))*(IFERROR(VLOOKUP(C17,Monsters!$T$4:$AH$15,7,FALSE),0))),0)))</f>
        <v/>
      </c>
      <c r="J17" s="7">
        <f>MAX(0,J16+IF(AND((E17="OK"),B17="Hunt"),(IF(B17="Hunt",(('Rules &amp; Formulas'!B4*N16*('Rules &amp; Formulas'!B5+O16)*IFERROR(VLOOKUP(C17,Monsters!$T$4:$AH$15,10,FALSE),0)*IFERROR(VLOOKUP(C17,Monsters!$T$4:$AH$15,9,FALSE),0))*'Rules &amp; Formulas'!B6)*IF(D17="",0,D17),0))*(IFERROR(VLOOKUP(C17,Monsters!$T$4:$AH$15,5,FALSE),0)),0)+IF(AND((E17="OK"),B17="Go AFK"),(IF(B17="Go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AFK",IF(D17="",0,D17),0),Z16/60)*60)),0))*(IFERROR(VLOOKUP(C17,Monsters!$T$4:$AH$15,5,FALSE),0)),0)-IF(AND((E17="OK"),OR(B17="Buy upgrade",B17="Forge/Scrapwork buy"),IFERROR(VLOOKUP(C17,Upgrades!$N$4:$T$47,2,FALSE),0)="scraps"),IFERROR(FLOOR(IFERROR(VLOOKUP(C17,Upgrades!$N$4:$T$47,3,FALSE),0)*(IFERROR(VLOOKUP(C17,Upgrades!$N$4:$T$47,4,FALSE),0)^(COUNTIFS($B$3:$B16,"Buy upgrade",$C$3:$C16,C17)+COUNTIFS($B$3:$B16,"Hire hunter",$C$3:$C16,C17)+COUNTIFS($B$3:$B16,"Forge/Scrapwork buy",$C$3:$C16,C17))),1),0),0))</f>
        <v/>
      </c>
      <c r="K17" s="7">
        <f>MAX(0,K16+IF(AND((E17="OK"),B17="Hunt"),IF(C17="Thornpelt Bear",(IF(B17="Hunt",(('Rules &amp; Formulas'!B4*N16*('Rules &amp; Formulas'!B5+O16)*IFERROR(VLOOKUP(C17,Monsters!$T$4:$AH$15,10,FALSE),0)*IFERROR(VLOOKUP(C17,Monsters!$T$4:$AH$15,9,FALSE),0))*'Rules &amp; Formulas'!B6)*IF(D17="",0,D17),0))*0.12,0),0)+IF(AND((E17="OK"),B17="Go AFK"),IF(C17="Thornpelt Bear",(IF(B17="Go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AFK",IF(D17="",0,D17),0),Z16/60)*60)),0))*0.12,0),0))</f>
        <v/>
      </c>
      <c r="L17" s="7">
        <f>MAX(0,L16+IF(AND((E17="OK"),B17="Hunt"),IF(C17="Dire Thornpelt",(IF(B17="Hunt",(('Rules &amp; Formulas'!B4*N16*('Rules &amp; Formulas'!B5+O16)*IFERROR(VLOOKUP(C17,Monsters!$T$4:$AH$15,10,FALSE),0)*IFERROR(VLOOKUP(C17,Monsters!$T$4:$AH$15,9,FALSE),0))*'Rules &amp; Formulas'!B6)*IF(D17="",0,D17),0))*0.1,0),0)+IF(AND((E17="OK"),B17="Go AFK"),IF(C17="Dire Thornpelt",(IF(B17="Go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AFK",IF(D17="",0,D17),0),Z16/60)*60)),0))*0.1,0),0))</f>
        <v/>
      </c>
      <c r="M17" s="7">
        <f>IF(AND((E17="OK"),B17="Go AFK"),MAX(0,MIN(('Rules &amp; Formulas'!B15+25*AJ16),M16+('Rules &amp; Formulas'!B14+0.4*AJ16)*(MIN(IF(B17="Go AFK",IF(D17="",0,D17),0),Z16/60)*60))-(IF(B17="Go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AFK",IF(D17="",0,D17),0),Z16/60)*60)),0))*(IF((IFERROR(VLOOKUP(C17,Monsters!$T$4:$AH$15,8,FALSE),0))=0,0.35,IFERROR(VLOOKUP(C17,Monsters!$T$4:$AH$15,8,FALSE),0))/(1+0.08*AK16))),MIN(('Rules &amp; Formulas'!B15+25*AJ17),M16))</f>
        <v/>
      </c>
      <c r="N17" s="7">
        <f>(1+0.08+0.12*AA17+0.12*AB17+0.16*AC17)</f>
        <v/>
      </c>
      <c r="O17" s="7">
        <f>((AD17&gt;=1)*1*(1+0.3*AE17))</f>
        <v/>
      </c>
      <c r="P17" s="7">
        <f>IF(OR(B17="Hunt",B17="Go AFK"),(('Rules &amp; Formulas'!B4*N16*('Rules &amp; Formulas'!B5+O16)*IFERROR(VLOOKUP(C17,Monsters!$T$4:$AH$15,10,FALSE),0)*IFERROR(VLOOKUP(C17,Monsters!$T$4:$AH$15,9,FALSE),0))*'Rules &amp; Formulas'!B6),"")</f>
        <v/>
      </c>
      <c r="Q17" s="7">
        <f>IF(OR(B17="Hunt",B17="Go AFK"),('Rules &amp; Formulas'!B4*N16*('Rules &amp; Formulas'!B5+O16)*IFERROR(VLOOKUP(C17,Monsters!$T$4:$AH$15,10,FALSE),0)*IFERROR(VLOOKUP(C17,Monsters!$T$4:$AH$15,9,FALSE),0)),"")</f>
        <v/>
      </c>
      <c r="R17" s="7">
        <f>IF(AND((E17="OK"),B17="Hunt"),IF(B17="Hunt",(('Rules &amp; Formulas'!B4*N16*('Rules &amp; Formulas'!B5+O16)*IFERROR(VLOOKUP(C17,Monsters!$T$4:$AH$15,10,FALSE),0)*IFERROR(VLOOKUP(C17,Monsters!$T$4:$AH$15,9,FALSE),0))*'Rules &amp; Formulas'!B6)*IF(D17="",0,D17),0),IF(AND((E17="OK"),B17="Go AFK"),IF(B17="Go AFK",MIN(IF((IF((IFERROR(VLOOKUP(C17,Monsters!$T$4:$AH$15,8,FALSE),0))=0,0.35,IFERROR(VLOOKUP(C17,Monsters!$T$4:$AH$15,8,FALSE),0))/(1+0.08*AK16))&lt;=0,999999,FLOOR(MIN(('Rules &amp; Formulas'!B15+25*AJ16),M16+('Rules &amp; Formulas'!B14+0.4*AJ16)*(MIN(IF(B17="Go AFK",IF(D17="",0,D17),0),Z16/60)*60))/(IF((IFERROR(VLOOKUP(C17,Monsters!$T$4:$AH$15,8,FALSE),0))=0,0.35,IFERROR(VLOOKUP(C17,Monsters!$T$4:$AH$15,8,FALSE),0))/(1+0.08*AK16)),1)),('Rules &amp; Formulas'!B4*N16*('Rules &amp; Formulas'!B5+O16)*IFERROR(VLOOKUP(C17,Monsters!$T$4:$AH$15,10,FALSE),0)*IFERROR(VLOOKUP(C17,Monsters!$T$4:$AH$15,9,FALSE),0))*(MIN(IF(B17="Go AFK",IF(D17="",0,D17),0),Z16/60)*60)),0),0))</f>
        <v/>
      </c>
      <c r="S17" s="7">
        <f>(105/'Rules &amp; Formulas'!B10)*'Rules &amp; Formulas'!B11</f>
        <v/>
      </c>
      <c r="T17" s="7">
        <f>IF(AD16&gt;=1,(MAX(1,ROUND('Rules &amp; Formulas'!B18*(1+0.3*AE16)*(1+0.4*AF16),0)))*(1000/'Rules &amp; Formulas'!B19)*MIN(0.95,'Rules &amp; Formulas'!B20*SQRT(1+0.55*(AG16&gt;=1))),0)</f>
        <v/>
      </c>
      <c r="U17" s="7">
        <f>S17+T17</f>
        <v/>
      </c>
      <c r="V17" s="7">
        <f>IF(I16&gt;=IF((IFERROR(VLOOKUP(C17,Monsters!$T$4:$AH$15,15,FALSE),0))=0,120,IFERROR(VLOOKUP(C17,Monsters!$T$4:$AH$15,15,FALSE),0)),"YES","no")</f>
        <v/>
      </c>
      <c r="W17" s="7">
        <f>IF(AND(B17="Fight boss",E17="OK"),IF((((105/'Rules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Formulas'!B20*SQRT(1+0.55*(AG16&gt;=1))),0)))),"")</f>
        <v/>
      </c>
      <c r="X17" s="7">
        <f>IF(AND(B17="Fight boss",E17="OK"),IF((IF((((105/'Rules &amp; Formulas'!B10)*'Rules &amp; Formulas'!B11+IF(AD16&gt;=1,(MAX(1,ROUND('Rules &amp; Formulas'!B18*(1+0.3*AE16)*(1+0.4*AF16),0)))*(1000/'Rules &amp; Formulas'!B19)*MIN(0.95,'Rules &amp; Formulas'!B20*SQRT(1+0.55*(AG16&gt;=1))),0)))&lt;=0,9999,(IFERROR(VLOOKUP(C17,Monsters!$T$4:$AH$15,2,FALSE),0))/(((105/'Rules &amp; Formulas'!B10)*'Rules &amp; Formulas'!B11+IF(AD16&gt;=1,(MAX(1,ROUND('Rules &amp; Formulas'!B18*(1+0.3*AE16)*(1+0.4*AF16),0)))*(1000/'Rules &amp; Formulas'!B19)*MIN(0.95,'Rules &amp; Formulas'!B20*SQRT(1+0.55*(AG16&gt;=1))),0))))&lt;='Rules &amp; Formulas'!B12),"WIN","LOSE"),"")</f>
        <v/>
      </c>
      <c r="Y17" s="7">
        <f>IF(B17="Go AFK",MIN(IF(B17="Go AFK",IF(D17="",0,D17),0),Z16/60),"")</f>
        <v/>
      </c>
      <c r="Z17" s="7">
        <f>('Rules &amp; Formulas'!B13+30*AI17)</f>
        <v/>
      </c>
      <c r="AA17">
        <f>COUNTIFS($B$3:$B17,"Buy upgrade",$C$3:$C17,"Idle Power")</f>
        <v/>
      </c>
      <c r="AB17">
        <f>COUNTIFS($B$3:$B17,"Buy upgrade",$C$3:$C17,"Iron Blade")</f>
        <v/>
      </c>
      <c r="AC17">
        <f>COUNTIFS($B$3:$B17,"Buy upgrade",$C$3:$C17,"Steel Blade")</f>
        <v/>
      </c>
      <c r="AD17">
        <f>COUNTIFS($B$3:$B17,"Hire hunter",$C$3:$C17,"Briar")+COUNTIFS($B$3:$B17,"Buy upgrade",$C$3:$C17,"Hire Briar")</f>
        <v/>
      </c>
      <c r="AE17">
        <f>COUNTIFS($B$3:$B17,"Buy upgrade",$C$3:$C17,"Hunter Power")</f>
        <v/>
      </c>
      <c r="AF17">
        <f>COUNTIFS($B$3:$B17,"Buy upgrade",$C$3:$C17,"Bigger Hits")</f>
        <v/>
      </c>
      <c r="AG17">
        <f>COUNTIFS($B$3:$B17,"Buy upgrade",$C$3:$C17,"Swift Walk")</f>
        <v/>
      </c>
      <c r="AH17">
        <f>COUNTIFS($B$3:$B17,"Buy upgrade",$C$3:$C17,"Loot Luck")</f>
        <v/>
      </c>
      <c r="AI17">
        <f>COUNTIFS($B$3:$B17,"Buy upgrade",$C$3:$C17,"Offline Cap")</f>
        <v/>
      </c>
      <c r="AJ17">
        <f>COUNTIFS($B$3:$B17,"Buy upgrade",$C$3:$C17,"Bigger Food Stock")</f>
        <v/>
      </c>
      <c r="AK17">
        <f>COUNTIFS($B$3:$B17,"Buy upgrade",$C$3:$C17,"Food Efficiency")</f>
        <v/>
      </c>
    </row>
    <row r="18">
      <c r="A18" t="n">
        <v>16</v>
      </c>
      <c r="B18" s="6" t="inlineStr">
        <is>
          <t>Go AFK</t>
        </is>
      </c>
      <c r="C18" s="6" t="inlineStr">
        <is>
          <t>Thornpelt Bear</t>
        </is>
      </c>
      <c r="D18" s="6" t="n">
        <v>4</v>
      </c>
      <c r="E18" s="7">
        <f>IF(B18="","",IF(OR(B18="Hunt",B18="Go AFK"),IF(C18="","Can't","OK"),IF(B18="Fight boss",IF(I17&lt;IF((IFERROR(VLOOKUP(C18,Monsters!$T$4:$AH$15,15,FALSE),0))=0,120,IFERROR(VLOOKUP(C18,Monsters!$T$4:$AH$15,15,FALSE),0)),"Can't","OK"),IF(B18="Hire hunter",IF(AND(C18="Briar",AD17&gt;=1),"Can't",IF(H17&lt;IF(C18="Briar",140,IF(C18="Quill",3650,IF(C18="Moss",4850,IF(C18="Ember",12200,0)))),"Can't","OK")),IF(OR(B18="Buy upgrade",B18="Forge/Scrapwork buy"),IF(IFERROR(VLOOKUP(C18,Upgrades!$N$4:$T$47,2,FALSE),0)="points","Can't",IF(IFERROR(VLOOKUP(C18,Upgrades!$N$4:$T$47,2,FALSE),0)="gold",IF(H17&lt;IFERROR(FLOOR(IFERROR(VLOOKUP(C18,Upgrades!$N$4:$T$47,3,FALSE),0)*(IFERROR(VLOOKUP(C18,Upgrades!$N$4:$T$47,4,FALSE),0)^(COUNTIFS($B$3:$B17,"Buy upgrade",$C$3:$C17,C18)+COUNTIFS($B$3:$B17,"Hire hunter",$C$3:$C17,C18)+COUNTIFS($B$3:$B17,"Forge/Scrapwork buy",$C$3:$C17,C18))),1),0),"Can't","OK"),IF(IFERROR(VLOOKUP(C18,Upgrades!$N$4:$T$47,2,FALSE),0)="scraps",IF(J17&lt;IFERROR(FLOOR(IFERROR(VLOOKUP(C18,Upgrades!$N$4:$T$47,3,FALSE),0)*(IFERROR(VLOOKUP(C18,Upgrades!$N$4:$T$47,4,FALSE),0)^(COUNTIFS($B$3:$B17,"Buy upgrade",$C$3:$C17,C18)+COUNTIFS($B$3:$B17,"Hire hunter",$C$3:$C17,C18)+COUNTIFS($B$3:$B17,"Forge/Scrapwork buy",$C$3:$C17,C18))),1),0),"Can't","OK"),IF(IFERROR(VLOOKUP(C18,Upgrades!$N$4:$T$47,2,FALSE),0)="mats","Can't","OK")))),"Check")))))</f>
        <v/>
      </c>
      <c r="F18" s="7">
        <f>IF(B18="","",IF(AND(B18="Fight boss",I17&lt;IF((IFERROR(VLOOKUP(C18,Monsters!$T$4:$AH$15,15,FALSE),0))=0,120,IFERROR(VLOOKUP(C18,Monsters!$T$4:$AH$15,15,FALSE),0))),"Can't — need "&amp;TEXT(IF((IFERROR(VLOOKUP(C18,Monsters!$T$4:$AH$15,15,FALSE),0))=0,120,IFERROR(VLOOKUP(C18,Monsters!$T$4:$AH$15,15,FALSE),0))-I17,"0.0")&amp;" more Slayer points on the meter",IF(AND(B18="Hire hunter",C18="Briar",AD17&gt;=1),"Can't — already hired",IF(AND(B18="Hire hunter",H17&lt;IF(C18="Briar",140,IF(C18="Quill",3650,IF(C18="Moss",4850,IF(C18="Ember",12200,0))))),"Can't — need "&amp;TEXT(IF(C18="Briar",140,IF(C18="Quill",3650,IF(C18="Moss",4850,IF(C18="Ember",12200,0))))-H17,"0")&amp;" more gold",IF(AND(OR(B18="Buy upgrade",B18="Forge/Scrapwork buy"),IFERROR(VLOOKUP(C18,Upgrades!$N$4:$T$47,2,FALSE),0)="points"),"Can't — Sp-wallet spends not tracked here",IF(AND(OR(B18="Buy upgrade",B18="Forge/Scrapwork buy"),IFERROR(VLOOKUP(C18,Upgrades!$N$4:$T$47,2,FALSE),0)="gold",H17&lt;IFERROR(FLOOR(IFERROR(VLOOKUP(C18,Upgrades!$N$4:$T$47,3,FALSE),0)*(IFERROR(VLOOKUP(C18,Upgrades!$N$4:$T$47,4,FALSE),0)^(COUNTIFS($B$3:$B17,"Buy upgrade",$C$3:$C17,C18)+COUNTIFS($B$3:$B17,"Hire hunter",$C$3:$C17,C18)+COUNTIFS($B$3:$B17,"Forge/Scrapwork buy",$C$3:$C17,C18))),1),0)),"Can't — need "&amp;TEXT(IFERROR(FLOOR(IFERROR(VLOOKUP(C18,Upgrades!$N$4:$T$47,3,FALSE),0)*(IFERROR(VLOOKUP(C18,Upgrades!$N$4:$T$47,4,FALSE),0)^(COUNTIFS($B$3:$B17,"Buy upgrade",$C$3:$C17,C18)+COUNTIFS($B$3:$B17,"Hire hunter",$C$3:$C17,C18)+COUNTIFS($B$3:$B17,"Forge/Scrapwork buy",$C$3:$C17,C18))),1),0)-H17,"0")&amp;" more gold",IF(AND(OR(B18="Buy upgrade",B18="Forge/Scrapwork buy"),IFERROR(VLOOKUP(C18,Upgrades!$N$4:$T$47,2,FALSE),0)="scraps",J17&lt;IFERROR(FLOOR(IFERROR(VLOOKUP(C18,Upgrades!$N$4:$T$47,3,FALSE),0)*(IFERROR(VLOOKUP(C18,Upgrades!$N$4:$T$47,4,FALSE),0)^(COUNTIFS($B$3:$B17,"Buy upgrade",$C$3:$C17,C18)+COUNTIFS($B$3:$B17,"Hire hunter",$C$3:$C17,C18)+COUNTIFS($B$3:$B17,"Forge/Scrapwork buy",$C$3:$C17,C18))),1),0)),"Can't — need "&amp;TEXT(IFERROR(FLOOR(IFERROR(VLOOKUP(C18,Upgrades!$N$4:$T$47,3,FALSE),0)*(IFERROR(VLOOKUP(C18,Upgrades!$N$4:$T$47,4,FALSE),0)^(COUNTIFS($B$3:$B17,"Buy upgrade",$C$3:$C17,C18)+COUNTIFS($B$3:$B17,"Hire hunter",$C$3:$C17,C18)+COUNTIFS($B$3:$B17,"Forge/Scrapwork buy",$C$3:$C17,C18))),1),0)-J17,"0")&amp;" more scraps",IF(AND(B18="Fight boss",E18="OK",(IF((((105/'Rules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Formulas'!B12)),"WIN — boss down, next Level unlocks",IF(AND(B18="Fight boss",E18="OK"),"LOSE — TTK "&amp;TEXT(IF((((105/'Rules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Formulas'!B20*SQRT(1+0.55*(AG17&gt;=1))),0)))),"0")&amp;"s &gt; patience "&amp;TEXT('Rules &amp; Formulas'!B12,"0")&amp;"s (leave resets HP)",IF(B18="Go AFK","AFK resolved (see AFK counted h)","Applied")))))))))</f>
        <v/>
      </c>
      <c r="G18" s="7">
        <f>IF(AND((E18="OK"),B18="Fight boss",(IF((((105/'Rules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Formulas'!B12),C18="Elder Thornpelt"),2,IF(AND((E18="OK"),B18="Fight boss",(IF((((105/'Rules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Formulas'!B12),C18="Ashfang Alpha"),3,G17))</f>
        <v/>
      </c>
      <c r="H18" s="7">
        <f>MAX(0,H17+IF(AND((E18="OK"),B18="Hunt"),(IF(B18="Hunt",(('Rules &amp; Formulas'!B4*N17*('Rules &amp; Formulas'!B5+O17)*IFERROR(VLOOKUP(C18,Monsters!$T$4:$AH$15,10,FALSE),0)*IFERROR(VLOOKUP(C18,Monsters!$T$4:$AH$15,9,FALSE),0))*'Rules &amp; Formulas'!B6)*IF(D18="",0,D18),0))*(IFERROR(VLOOKUP(C18,Monsters!$T$4:$AH$15,3,FALSE),0))*(1+0.1*AH17)+(IF(OR(B18&lt;&gt;"Hunt",IFERROR(VLOOKUP(C18,Monsters!$T$4:$AH$15,6,FALSE),0)=0),0,FLOOR((IF(B18="Hunt",(('Rules &amp; Formulas'!B4*N17*('Rules &amp; Formulas'!B5+O17)*IFERROR(VLOOKUP(C18,Monsters!$T$4:$AH$15,10,FALSE),0)*IFERROR(VLOOKUP(C18,Monsters!$T$4:$AH$15,9,FALSE),0))*'Rules &amp; Formulas'!B6)*IF(D18="",0,D18),0))/MAX(1,IFERROR(VLOOKUP(C18,Monsters!$T$4:$AH$15,6,FALSE),0)),1)))*(IFERROR(VLOOKUP(C18,Monsters!$T$4:$AH$15,7,FALSE),0))*0.5*(1+0.1*AH17),0)+IF(AND((E18="OK"),B18="Go AFK"),(IF(B18="Go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AFK",IF(D18="",0,D18),0),Z17/60)*60)),0))*(IFERROR(VLOOKUP(C18,Monsters!$T$4:$AH$15,3,FALSE),0))*(1+0.1*AH17)+(IF(OR(B18&lt;&gt;"Go AFK",IFERROR(VLOOKUP(C18,Monsters!$T$4:$AH$15,6,FALSE),0)=0),0,FLOOR((IF(B18="Go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AFK",IF(D18="",0,D18),0),Z17/60)*60)),0))/MAX(1,IFERROR(VLOOKUP(C18,Monsters!$T$4:$AH$15,6,FALSE),0)),1)))*(IFERROR(VLOOKUP(C18,Monsters!$T$4:$AH$15,7,FALSE),0))*0.5*(1+0.1*AH17),0)+IF(AND((E18="OK"),B18="Fight boss",(IF((((105/'Rules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Formulas'!B12)),IFERROR(VLOOKUP(C18,Monsters!$T$4:$AH$15,3,FALSE),0),0)-IF(AND((E18="OK"),OR(B18="Buy upgrade",B18="Forge/Scrapwork buy"),IFERROR(VLOOKUP(C18,Upgrades!$N$4:$T$47,2,FALSE),0)="gold"),IFERROR(FLOOR(IFERROR(VLOOKUP(C18,Upgrades!$N$4:$T$47,3,FALSE),0)*(IFERROR(VLOOKUP(C18,Upgrades!$N$4:$T$47,4,FALSE),0)^(COUNTIFS($B$3:$B17,"Buy upgrade",$C$3:$C17,C18)+COUNTIFS($B$3:$B17,"Hire hunter",$C$3:$C17,C18)+COUNTIFS($B$3:$B17,"Forge/Scrapwork buy",$C$3:$C17,C18))),1),0),0)-IF(AND((E18="OK"),B18="Hire hunter"),IF(C18="Briar",140,IF(C18="Quill",3650,IF(C18="Moss",4850,IF(C18="Ember",12200,0)))),0))</f>
        <v/>
      </c>
      <c r="I18" s="7">
        <f>IF(AND((E18="OK"),B18="Fight boss",(IF((((105/'Rules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Formulas'!B12)),0,MIN(IF(G17&lt;=1,120,IF(G17=2,280,600)),I17+IF(AND((E18="OK"),B18="Hunt"),((IF(B18="Hunt",(('Rules &amp; Formulas'!B4*N17*('Rules &amp; Formulas'!B5+O17)*IFERROR(VLOOKUP(C18,Monsters!$T$4:$AH$15,10,FALSE),0)*IFERROR(VLOOKUP(C18,Monsters!$T$4:$AH$15,9,FALSE),0))*'Rules &amp; Formulas'!B6)*IF(D18="",0,D18),0))*(IFERROR(VLOOKUP(C18,Monsters!$T$4:$AH$15,4,FALSE),0))+(IF(OR(B18&lt;&gt;"Hunt",IFERROR(VLOOKUP(C18,Monsters!$T$4:$AH$15,6,FALSE),0)=0),0,FLOOR((IF(B18="Hunt",(('Rules &amp; Formulas'!B4*N17*('Rules &amp; Formulas'!B5+O17)*IFERROR(VLOOKUP(C18,Monsters!$T$4:$AH$15,10,FALSE),0)*IFERROR(VLOOKUP(C18,Monsters!$T$4:$AH$15,9,FALSE),0))*'Rules &amp; Formulas'!B6)*IF(D18="",0,D18),0))/MAX(1,IFERROR(VLOOKUP(C18,Monsters!$T$4:$AH$15,6,FALSE),0)),1)))*(IFERROR(VLOOKUP(C18,Monsters!$T$4:$AH$15,7,FALSE),0))),0)+IF(AND((E18="OK"),B18="Go AFK"),((IF(B18="Go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AFK",IF(D18="",0,D18),0),Z17/60)*60)),0))*(IFERROR(VLOOKUP(C18,Monsters!$T$4:$AH$15,4,FALSE),0))+(IF(OR(B18&lt;&gt;"Go AFK",IFERROR(VLOOKUP(C18,Monsters!$T$4:$AH$15,6,FALSE),0)=0),0,FLOOR((IF(B18="Go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AFK",IF(D18="",0,D18),0),Z17/60)*60)),0))/MAX(1,IFERROR(VLOOKUP(C18,Monsters!$T$4:$AH$15,6,FALSE),0)),1)))*(IFERROR(VLOOKUP(C18,Monsters!$T$4:$AH$15,7,FALSE),0))),0)))</f>
        <v/>
      </c>
      <c r="J18" s="7">
        <f>MAX(0,J17+IF(AND((E18="OK"),B18="Hunt"),(IF(B18="Hunt",(('Rules &amp; Formulas'!B4*N17*('Rules &amp; Formulas'!B5+O17)*IFERROR(VLOOKUP(C18,Monsters!$T$4:$AH$15,10,FALSE),0)*IFERROR(VLOOKUP(C18,Monsters!$T$4:$AH$15,9,FALSE),0))*'Rules &amp; Formulas'!B6)*IF(D18="",0,D18),0))*(IFERROR(VLOOKUP(C18,Monsters!$T$4:$AH$15,5,FALSE),0)),0)+IF(AND((E18="OK"),B18="Go AFK"),(IF(B18="Go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AFK",IF(D18="",0,D18),0),Z17/60)*60)),0))*(IFERROR(VLOOKUP(C18,Monsters!$T$4:$AH$15,5,FALSE),0)),0)-IF(AND((E18="OK"),OR(B18="Buy upgrade",B18="Forge/Scrapwork buy"),IFERROR(VLOOKUP(C18,Upgrades!$N$4:$T$47,2,FALSE),0)="scraps"),IFERROR(FLOOR(IFERROR(VLOOKUP(C18,Upgrades!$N$4:$T$47,3,FALSE),0)*(IFERROR(VLOOKUP(C18,Upgrades!$N$4:$T$47,4,FALSE),0)^(COUNTIFS($B$3:$B17,"Buy upgrade",$C$3:$C17,C18)+COUNTIFS($B$3:$B17,"Hire hunter",$C$3:$C17,C18)+COUNTIFS($B$3:$B17,"Forge/Scrapwork buy",$C$3:$C17,C18))),1),0),0))</f>
        <v/>
      </c>
      <c r="K18" s="7">
        <f>MAX(0,K17+IF(AND((E18="OK"),B18="Hunt"),IF(C18="Thornpelt Bear",(IF(B18="Hunt",(('Rules &amp; Formulas'!B4*N17*('Rules &amp; Formulas'!B5+O17)*IFERROR(VLOOKUP(C18,Monsters!$T$4:$AH$15,10,FALSE),0)*IFERROR(VLOOKUP(C18,Monsters!$T$4:$AH$15,9,FALSE),0))*'Rules &amp; Formulas'!B6)*IF(D18="",0,D18),0))*0.12,0),0)+IF(AND((E18="OK"),B18="Go AFK"),IF(C18="Thornpelt Bear",(IF(B18="Go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AFK",IF(D18="",0,D18),0),Z17/60)*60)),0))*0.12,0),0))</f>
        <v/>
      </c>
      <c r="L18" s="7">
        <f>MAX(0,L17+IF(AND((E18="OK"),B18="Hunt"),IF(C18="Dire Thornpelt",(IF(B18="Hunt",(('Rules &amp; Formulas'!B4*N17*('Rules &amp; Formulas'!B5+O17)*IFERROR(VLOOKUP(C18,Monsters!$T$4:$AH$15,10,FALSE),0)*IFERROR(VLOOKUP(C18,Monsters!$T$4:$AH$15,9,FALSE),0))*'Rules &amp; Formulas'!B6)*IF(D18="",0,D18),0))*0.1,0),0)+IF(AND((E18="OK"),B18="Go AFK"),IF(C18="Dire Thornpelt",(IF(B18="Go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AFK",IF(D18="",0,D18),0),Z17/60)*60)),0))*0.1,0),0))</f>
        <v/>
      </c>
      <c r="M18" s="7">
        <f>IF(AND((E18="OK"),B18="Go AFK"),MAX(0,MIN(('Rules &amp; Formulas'!B15+25*AJ17),M17+('Rules &amp; Formulas'!B14+0.4*AJ17)*(MIN(IF(B18="Go AFK",IF(D18="",0,D18),0),Z17/60)*60))-(IF(B18="Go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AFK",IF(D18="",0,D18),0),Z17/60)*60)),0))*(IF((IFERROR(VLOOKUP(C18,Monsters!$T$4:$AH$15,8,FALSE),0))=0,0.35,IFERROR(VLOOKUP(C18,Monsters!$T$4:$AH$15,8,FALSE),0))/(1+0.08*AK17))),MIN(('Rules &amp; Formulas'!B15+25*AJ18),M17))</f>
        <v/>
      </c>
      <c r="N18" s="7">
        <f>(1+0.08+0.12*AA18+0.12*AB18+0.16*AC18)</f>
        <v/>
      </c>
      <c r="O18" s="7">
        <f>((AD18&gt;=1)*1*(1+0.3*AE18))</f>
        <v/>
      </c>
      <c r="P18" s="7">
        <f>IF(OR(B18="Hunt",B18="Go AFK"),(('Rules &amp; Formulas'!B4*N17*('Rules &amp; Formulas'!B5+O17)*IFERROR(VLOOKUP(C18,Monsters!$T$4:$AH$15,10,FALSE),0)*IFERROR(VLOOKUP(C18,Monsters!$T$4:$AH$15,9,FALSE),0))*'Rules &amp; Formulas'!B6),"")</f>
        <v/>
      </c>
      <c r="Q18" s="7">
        <f>IF(OR(B18="Hunt",B18="Go AFK"),('Rules &amp; Formulas'!B4*N17*('Rules &amp; Formulas'!B5+O17)*IFERROR(VLOOKUP(C18,Monsters!$T$4:$AH$15,10,FALSE),0)*IFERROR(VLOOKUP(C18,Monsters!$T$4:$AH$15,9,FALSE),0)),"")</f>
        <v/>
      </c>
      <c r="R18" s="7">
        <f>IF(AND((E18="OK"),B18="Hunt"),IF(B18="Hunt",(('Rules &amp; Formulas'!B4*N17*('Rules &amp; Formulas'!B5+O17)*IFERROR(VLOOKUP(C18,Monsters!$T$4:$AH$15,10,FALSE),0)*IFERROR(VLOOKUP(C18,Monsters!$T$4:$AH$15,9,FALSE),0))*'Rules &amp; Formulas'!B6)*IF(D18="",0,D18),0),IF(AND((E18="OK"),B18="Go AFK"),IF(B18="Go AFK",MIN(IF((IF((IFERROR(VLOOKUP(C18,Monsters!$T$4:$AH$15,8,FALSE),0))=0,0.35,IFERROR(VLOOKUP(C18,Monsters!$T$4:$AH$15,8,FALSE),0))/(1+0.08*AK17))&lt;=0,999999,FLOOR(MIN(('Rules &amp; Formulas'!B15+25*AJ17),M17+('Rules &amp; Formulas'!B14+0.4*AJ17)*(MIN(IF(B18="Go AFK",IF(D18="",0,D18),0),Z17/60)*60))/(IF((IFERROR(VLOOKUP(C18,Monsters!$T$4:$AH$15,8,FALSE),0))=0,0.35,IFERROR(VLOOKUP(C18,Monsters!$T$4:$AH$15,8,FALSE),0))/(1+0.08*AK17)),1)),('Rules &amp; Formulas'!B4*N17*('Rules &amp; Formulas'!B5+O17)*IFERROR(VLOOKUP(C18,Monsters!$T$4:$AH$15,10,FALSE),0)*IFERROR(VLOOKUP(C18,Monsters!$T$4:$AH$15,9,FALSE),0))*(MIN(IF(B18="Go AFK",IF(D18="",0,D18),0),Z17/60)*60)),0),0))</f>
        <v/>
      </c>
      <c r="S18" s="7">
        <f>(105/'Rules &amp; Formulas'!B10)*'Rules &amp; Formulas'!B11</f>
        <v/>
      </c>
      <c r="T18" s="7">
        <f>IF(AD17&gt;=1,(MAX(1,ROUND('Rules &amp; Formulas'!B18*(1+0.3*AE17)*(1+0.4*AF17),0)))*(1000/'Rules &amp; Formulas'!B19)*MIN(0.95,'Rules &amp; Formulas'!B20*SQRT(1+0.55*(AG17&gt;=1))),0)</f>
        <v/>
      </c>
      <c r="U18" s="7">
        <f>S18+T18</f>
        <v/>
      </c>
      <c r="V18" s="7">
        <f>IF(I17&gt;=IF((IFERROR(VLOOKUP(C18,Monsters!$T$4:$AH$15,15,FALSE),0))=0,120,IFERROR(VLOOKUP(C18,Monsters!$T$4:$AH$15,15,FALSE),0)),"YES","no")</f>
        <v/>
      </c>
      <c r="W18" s="7">
        <f>IF(AND(B18="Fight boss",E18="OK"),IF((((105/'Rules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Formulas'!B20*SQRT(1+0.55*(AG17&gt;=1))),0)))),"")</f>
        <v/>
      </c>
      <c r="X18" s="7">
        <f>IF(AND(B18="Fight boss",E18="OK"),IF((IF((((105/'Rules &amp; Formulas'!B10)*'Rules &amp; Formulas'!B11+IF(AD17&gt;=1,(MAX(1,ROUND('Rules &amp; Formulas'!B18*(1+0.3*AE17)*(1+0.4*AF17),0)))*(1000/'Rules &amp; Formulas'!B19)*MIN(0.95,'Rules &amp; Formulas'!B20*SQRT(1+0.55*(AG17&gt;=1))),0)))&lt;=0,9999,(IFERROR(VLOOKUP(C18,Monsters!$T$4:$AH$15,2,FALSE),0))/(((105/'Rules &amp; Formulas'!B10)*'Rules &amp; Formulas'!B11+IF(AD17&gt;=1,(MAX(1,ROUND('Rules &amp; Formulas'!B18*(1+0.3*AE17)*(1+0.4*AF17),0)))*(1000/'Rules &amp; Formulas'!B19)*MIN(0.95,'Rules &amp; Formulas'!B20*SQRT(1+0.55*(AG17&gt;=1))),0))))&lt;='Rules &amp; Formulas'!B12),"WIN","LOSE"),"")</f>
        <v/>
      </c>
      <c r="Y18" s="7">
        <f>IF(B18="Go AFK",MIN(IF(B18="Go AFK",IF(D18="",0,D18),0),Z17/60),"")</f>
        <v/>
      </c>
      <c r="Z18" s="7">
        <f>('Rules &amp; Formulas'!B13+30*AI18)</f>
        <v/>
      </c>
      <c r="AA18">
        <f>COUNTIFS($B$3:$B18,"Buy upgrade",$C$3:$C18,"Idle Power")</f>
        <v/>
      </c>
      <c r="AB18">
        <f>COUNTIFS($B$3:$B18,"Buy upgrade",$C$3:$C18,"Iron Blade")</f>
        <v/>
      </c>
      <c r="AC18">
        <f>COUNTIFS($B$3:$B18,"Buy upgrade",$C$3:$C18,"Steel Blade")</f>
        <v/>
      </c>
      <c r="AD18">
        <f>COUNTIFS($B$3:$B18,"Hire hunter",$C$3:$C18,"Briar")+COUNTIFS($B$3:$B18,"Buy upgrade",$C$3:$C18,"Hire Briar")</f>
        <v/>
      </c>
      <c r="AE18">
        <f>COUNTIFS($B$3:$B18,"Buy upgrade",$C$3:$C18,"Hunter Power")</f>
        <v/>
      </c>
      <c r="AF18">
        <f>COUNTIFS($B$3:$B18,"Buy upgrade",$C$3:$C18,"Bigger Hits")</f>
        <v/>
      </c>
      <c r="AG18">
        <f>COUNTIFS($B$3:$B18,"Buy upgrade",$C$3:$C18,"Swift Walk")</f>
        <v/>
      </c>
      <c r="AH18">
        <f>COUNTIFS($B$3:$B18,"Buy upgrade",$C$3:$C18,"Loot Luck")</f>
        <v/>
      </c>
      <c r="AI18">
        <f>COUNTIFS($B$3:$B18,"Buy upgrade",$C$3:$C18,"Offline Cap")</f>
        <v/>
      </c>
      <c r="AJ18">
        <f>COUNTIFS($B$3:$B18,"Buy upgrade",$C$3:$C18,"Bigger Food Stock")</f>
        <v/>
      </c>
      <c r="AK18">
        <f>COUNTIFS($B$3:$B18,"Buy upgrade",$C$3:$C18,"Food Efficiency")</f>
        <v/>
      </c>
    </row>
    <row r="19">
      <c r="A19" t="n">
        <v>17</v>
      </c>
      <c r="B19" s="6" t="inlineStr">
        <is>
          <t>Hunt</t>
        </is>
      </c>
      <c r="C19" s="6" t="inlineStr">
        <is>
          <t>Thornpelt Bear</t>
        </is>
      </c>
      <c r="D19" s="6" t="n">
        <v>8</v>
      </c>
      <c r="E19" s="7">
        <f>IF(B19="","",IF(OR(B19="Hunt",B19="Go AFK"),IF(C19="","Can't","OK"),IF(B19="Fight boss",IF(I18&lt;IF((IFERROR(VLOOKUP(C19,Monsters!$T$4:$AH$15,15,FALSE),0))=0,120,IFERROR(VLOOKUP(C19,Monsters!$T$4:$AH$15,15,FALSE),0)),"Can't","OK"),IF(B19="Hire hunter",IF(AND(C19="Briar",AD18&gt;=1),"Can't",IF(H18&lt;IF(C19="Briar",140,IF(C19="Quill",3650,IF(C19="Moss",4850,IF(C19="Ember",12200,0)))),"Can't","OK")),IF(OR(B19="Buy upgrade",B19="Forge/Scrapwork buy"),IF(IFERROR(VLOOKUP(C19,Upgrades!$N$4:$T$47,2,FALSE),0)="points","Can't",IF(IFERROR(VLOOKUP(C19,Upgrades!$N$4:$T$47,2,FALSE),0)="gold",IF(H18&lt;IFERROR(FLOOR(IFERROR(VLOOKUP(C19,Upgrades!$N$4:$T$47,3,FALSE),0)*(IFERROR(VLOOKUP(C19,Upgrades!$N$4:$T$47,4,FALSE),0)^(COUNTIFS($B$3:$B18,"Buy upgrade",$C$3:$C18,C19)+COUNTIFS($B$3:$B18,"Hire hunter",$C$3:$C18,C19)+COUNTIFS($B$3:$B18,"Forge/Scrapwork buy",$C$3:$C18,C19))),1),0),"Can't","OK"),IF(IFERROR(VLOOKUP(C19,Upgrades!$N$4:$T$47,2,FALSE),0)="scraps",IF(J18&lt;IFERROR(FLOOR(IFERROR(VLOOKUP(C19,Upgrades!$N$4:$T$47,3,FALSE),0)*(IFERROR(VLOOKUP(C19,Upgrades!$N$4:$T$47,4,FALSE),0)^(COUNTIFS($B$3:$B18,"Buy upgrade",$C$3:$C18,C19)+COUNTIFS($B$3:$B18,"Hire hunter",$C$3:$C18,C19)+COUNTIFS($B$3:$B18,"Forge/Scrapwork buy",$C$3:$C18,C19))),1),0),"Can't","OK"),IF(IFERROR(VLOOKUP(C19,Upgrades!$N$4:$T$47,2,FALSE),0)="mats","Can't","OK")))),"Check")))))</f>
        <v/>
      </c>
      <c r="F19" s="7">
        <f>IF(B19="","",IF(AND(B19="Fight boss",I18&lt;IF((IFERROR(VLOOKUP(C19,Monsters!$T$4:$AH$15,15,FALSE),0))=0,120,IFERROR(VLOOKUP(C19,Monsters!$T$4:$AH$15,15,FALSE),0))),"Can't — need "&amp;TEXT(IF((IFERROR(VLOOKUP(C19,Monsters!$T$4:$AH$15,15,FALSE),0))=0,120,IFERROR(VLOOKUP(C19,Monsters!$T$4:$AH$15,15,FALSE),0))-I18,"0.0")&amp;" more Slayer points on the meter",IF(AND(B19="Hire hunter",C19="Briar",AD18&gt;=1),"Can't — already hired",IF(AND(B19="Hire hunter",H18&lt;IF(C19="Briar",140,IF(C19="Quill",3650,IF(C19="Moss",4850,IF(C19="Ember",12200,0))))),"Can't — need "&amp;TEXT(IF(C19="Briar",140,IF(C19="Quill",3650,IF(C19="Moss",4850,IF(C19="Ember",12200,0))))-H18,"0")&amp;" more gold",IF(AND(OR(B19="Buy upgrade",B19="Forge/Scrapwork buy"),IFERROR(VLOOKUP(C19,Upgrades!$N$4:$T$47,2,FALSE),0)="points"),"Can't — Sp-wallet spends not tracked here",IF(AND(OR(B19="Buy upgrade",B19="Forge/Scrapwork buy"),IFERROR(VLOOKUP(C19,Upgrades!$N$4:$T$47,2,FALSE),0)="gold",H18&lt;IFERROR(FLOOR(IFERROR(VLOOKUP(C19,Upgrades!$N$4:$T$47,3,FALSE),0)*(IFERROR(VLOOKUP(C19,Upgrades!$N$4:$T$47,4,FALSE),0)^(COUNTIFS($B$3:$B18,"Buy upgrade",$C$3:$C18,C19)+COUNTIFS($B$3:$B18,"Hire hunter",$C$3:$C18,C19)+COUNTIFS($B$3:$B18,"Forge/Scrapwork buy",$C$3:$C18,C19))),1),0)),"Can't — need "&amp;TEXT(IFERROR(FLOOR(IFERROR(VLOOKUP(C19,Upgrades!$N$4:$T$47,3,FALSE),0)*(IFERROR(VLOOKUP(C19,Upgrades!$N$4:$T$47,4,FALSE),0)^(COUNTIFS($B$3:$B18,"Buy upgrade",$C$3:$C18,C19)+COUNTIFS($B$3:$B18,"Hire hunter",$C$3:$C18,C19)+COUNTIFS($B$3:$B18,"Forge/Scrapwork buy",$C$3:$C18,C19))),1),0)-H18,"0")&amp;" more gold",IF(AND(OR(B19="Buy upgrade",B19="Forge/Scrapwork buy"),IFERROR(VLOOKUP(C19,Upgrades!$N$4:$T$47,2,FALSE),0)="scraps",J18&lt;IFERROR(FLOOR(IFERROR(VLOOKUP(C19,Upgrades!$N$4:$T$47,3,FALSE),0)*(IFERROR(VLOOKUP(C19,Upgrades!$N$4:$T$47,4,FALSE),0)^(COUNTIFS($B$3:$B18,"Buy upgrade",$C$3:$C18,C19)+COUNTIFS($B$3:$B18,"Hire hunter",$C$3:$C18,C19)+COUNTIFS($B$3:$B18,"Forge/Scrapwork buy",$C$3:$C18,C19))),1),0)),"Can't — need "&amp;TEXT(IFERROR(FLOOR(IFERROR(VLOOKUP(C19,Upgrades!$N$4:$T$47,3,FALSE),0)*(IFERROR(VLOOKUP(C19,Upgrades!$N$4:$T$47,4,FALSE),0)^(COUNTIFS($B$3:$B18,"Buy upgrade",$C$3:$C18,C19)+COUNTIFS($B$3:$B18,"Hire hunter",$C$3:$C18,C19)+COUNTIFS($B$3:$B18,"Forge/Scrapwork buy",$C$3:$C18,C19))),1),0)-J18,"0")&amp;" more scraps",IF(AND(B19="Fight boss",E19="OK",(IF((((105/'Rules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Formulas'!B12)),"WIN — boss down, next Level unlocks",IF(AND(B19="Fight boss",E19="OK"),"LOSE — TTK "&amp;TEXT(IF((((105/'Rules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Formulas'!B20*SQRT(1+0.55*(AG18&gt;=1))),0)))),"0")&amp;"s &gt; patience "&amp;TEXT('Rules &amp; Formulas'!B12,"0")&amp;"s (leave resets HP)",IF(B19="Go AFK","AFK resolved (see AFK counted h)","Applied")))))))))</f>
        <v/>
      </c>
      <c r="G19" s="7">
        <f>IF(AND((E19="OK"),B19="Fight boss",(IF((((105/'Rules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Formulas'!B12),C19="Elder Thornpelt"),2,IF(AND((E19="OK"),B19="Fight boss",(IF((((105/'Rules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Formulas'!B12),C19="Ashfang Alpha"),3,G18))</f>
        <v/>
      </c>
      <c r="H19" s="7">
        <f>MAX(0,H18+IF(AND((E19="OK"),B19="Hunt"),(IF(B19="Hunt",(('Rules &amp; Formulas'!B4*N18*('Rules &amp; Formulas'!B5+O18)*IFERROR(VLOOKUP(C19,Monsters!$T$4:$AH$15,10,FALSE),0)*IFERROR(VLOOKUP(C19,Monsters!$T$4:$AH$15,9,FALSE),0))*'Rules &amp; Formulas'!B6)*IF(D19="",0,D19),0))*(IFERROR(VLOOKUP(C19,Monsters!$T$4:$AH$15,3,FALSE),0))*(1+0.1*AH18)+(IF(OR(B19&lt;&gt;"Hunt",IFERROR(VLOOKUP(C19,Monsters!$T$4:$AH$15,6,FALSE),0)=0),0,FLOOR((IF(B19="Hunt",(('Rules &amp; Formulas'!B4*N18*('Rules &amp; Formulas'!B5+O18)*IFERROR(VLOOKUP(C19,Monsters!$T$4:$AH$15,10,FALSE),0)*IFERROR(VLOOKUP(C19,Monsters!$T$4:$AH$15,9,FALSE),0))*'Rules &amp; Formulas'!B6)*IF(D19="",0,D19),0))/MAX(1,IFERROR(VLOOKUP(C19,Monsters!$T$4:$AH$15,6,FALSE),0)),1)))*(IFERROR(VLOOKUP(C19,Monsters!$T$4:$AH$15,7,FALSE),0))*0.5*(1+0.1*AH18),0)+IF(AND((E19="OK"),B19="Go AFK"),(IF(B19="Go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AFK",IF(D19="",0,D19),0),Z18/60)*60)),0))*(IFERROR(VLOOKUP(C19,Monsters!$T$4:$AH$15,3,FALSE),0))*(1+0.1*AH18)+(IF(OR(B19&lt;&gt;"Go AFK",IFERROR(VLOOKUP(C19,Monsters!$T$4:$AH$15,6,FALSE),0)=0),0,FLOOR((IF(B19="Go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AFK",IF(D19="",0,D19),0),Z18/60)*60)),0))/MAX(1,IFERROR(VLOOKUP(C19,Monsters!$T$4:$AH$15,6,FALSE),0)),1)))*(IFERROR(VLOOKUP(C19,Monsters!$T$4:$AH$15,7,FALSE),0))*0.5*(1+0.1*AH18),0)+IF(AND((E19="OK"),B19="Fight boss",(IF((((105/'Rules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Formulas'!B12)),IFERROR(VLOOKUP(C19,Monsters!$T$4:$AH$15,3,FALSE),0),0)-IF(AND((E19="OK"),OR(B19="Buy upgrade",B19="Forge/Scrapwork buy"),IFERROR(VLOOKUP(C19,Upgrades!$N$4:$T$47,2,FALSE),0)="gold"),IFERROR(FLOOR(IFERROR(VLOOKUP(C19,Upgrades!$N$4:$T$47,3,FALSE),0)*(IFERROR(VLOOKUP(C19,Upgrades!$N$4:$T$47,4,FALSE),0)^(COUNTIFS($B$3:$B18,"Buy upgrade",$C$3:$C18,C19)+COUNTIFS($B$3:$B18,"Hire hunter",$C$3:$C18,C19)+COUNTIFS($B$3:$B18,"Forge/Scrapwork buy",$C$3:$C18,C19))),1),0),0)-IF(AND((E19="OK"),B19="Hire hunter"),IF(C19="Briar",140,IF(C19="Quill",3650,IF(C19="Moss",4850,IF(C19="Ember",12200,0)))),0))</f>
        <v/>
      </c>
      <c r="I19" s="7">
        <f>IF(AND((E19="OK"),B19="Fight boss",(IF((((105/'Rules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Formulas'!B12)),0,MIN(IF(G18&lt;=1,120,IF(G18=2,280,600)),I18+IF(AND((E19="OK"),B19="Hunt"),((IF(B19="Hunt",(('Rules &amp; Formulas'!B4*N18*('Rules &amp; Formulas'!B5+O18)*IFERROR(VLOOKUP(C19,Monsters!$T$4:$AH$15,10,FALSE),0)*IFERROR(VLOOKUP(C19,Monsters!$T$4:$AH$15,9,FALSE),0))*'Rules &amp; Formulas'!B6)*IF(D19="",0,D19),0))*(IFERROR(VLOOKUP(C19,Monsters!$T$4:$AH$15,4,FALSE),0))+(IF(OR(B19&lt;&gt;"Hunt",IFERROR(VLOOKUP(C19,Monsters!$T$4:$AH$15,6,FALSE),0)=0),0,FLOOR((IF(B19="Hunt",(('Rules &amp; Formulas'!B4*N18*('Rules &amp; Formulas'!B5+O18)*IFERROR(VLOOKUP(C19,Monsters!$T$4:$AH$15,10,FALSE),0)*IFERROR(VLOOKUP(C19,Monsters!$T$4:$AH$15,9,FALSE),0))*'Rules &amp; Formulas'!B6)*IF(D19="",0,D19),0))/MAX(1,IFERROR(VLOOKUP(C19,Monsters!$T$4:$AH$15,6,FALSE),0)),1)))*(IFERROR(VLOOKUP(C19,Monsters!$T$4:$AH$15,7,FALSE),0))),0)+IF(AND((E19="OK"),B19="Go AFK"),((IF(B19="Go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AFK",IF(D19="",0,D19),0),Z18/60)*60)),0))*(IFERROR(VLOOKUP(C19,Monsters!$T$4:$AH$15,4,FALSE),0))+(IF(OR(B19&lt;&gt;"Go AFK",IFERROR(VLOOKUP(C19,Monsters!$T$4:$AH$15,6,FALSE),0)=0),0,FLOOR((IF(B19="Go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AFK",IF(D19="",0,D19),0),Z18/60)*60)),0))/MAX(1,IFERROR(VLOOKUP(C19,Monsters!$T$4:$AH$15,6,FALSE),0)),1)))*(IFERROR(VLOOKUP(C19,Monsters!$T$4:$AH$15,7,FALSE),0))),0)))</f>
        <v/>
      </c>
      <c r="J19" s="7">
        <f>MAX(0,J18+IF(AND((E19="OK"),B19="Hunt"),(IF(B19="Hunt",(('Rules &amp; Formulas'!B4*N18*('Rules &amp; Formulas'!B5+O18)*IFERROR(VLOOKUP(C19,Monsters!$T$4:$AH$15,10,FALSE),0)*IFERROR(VLOOKUP(C19,Monsters!$T$4:$AH$15,9,FALSE),0))*'Rules &amp; Formulas'!B6)*IF(D19="",0,D19),0))*(IFERROR(VLOOKUP(C19,Monsters!$T$4:$AH$15,5,FALSE),0)),0)+IF(AND((E19="OK"),B19="Go AFK"),(IF(B19="Go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AFK",IF(D19="",0,D19),0),Z18/60)*60)),0))*(IFERROR(VLOOKUP(C19,Monsters!$T$4:$AH$15,5,FALSE),0)),0)-IF(AND((E19="OK"),OR(B19="Buy upgrade",B19="Forge/Scrapwork buy"),IFERROR(VLOOKUP(C19,Upgrades!$N$4:$T$47,2,FALSE),0)="scraps"),IFERROR(FLOOR(IFERROR(VLOOKUP(C19,Upgrades!$N$4:$T$47,3,FALSE),0)*(IFERROR(VLOOKUP(C19,Upgrades!$N$4:$T$47,4,FALSE),0)^(COUNTIFS($B$3:$B18,"Buy upgrade",$C$3:$C18,C19)+COUNTIFS($B$3:$B18,"Hire hunter",$C$3:$C18,C19)+COUNTIFS($B$3:$B18,"Forge/Scrapwork buy",$C$3:$C18,C19))),1),0),0))</f>
        <v/>
      </c>
      <c r="K19" s="7">
        <f>MAX(0,K18+IF(AND((E19="OK"),B19="Hunt"),IF(C19="Thornpelt Bear",(IF(B19="Hunt",(('Rules &amp; Formulas'!B4*N18*('Rules &amp; Formulas'!B5+O18)*IFERROR(VLOOKUP(C19,Monsters!$T$4:$AH$15,10,FALSE),0)*IFERROR(VLOOKUP(C19,Monsters!$T$4:$AH$15,9,FALSE),0))*'Rules &amp; Formulas'!B6)*IF(D19="",0,D19),0))*0.12,0),0)+IF(AND((E19="OK"),B19="Go AFK"),IF(C19="Thornpelt Bear",(IF(B19="Go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AFK",IF(D19="",0,D19),0),Z18/60)*60)),0))*0.12,0),0))</f>
        <v/>
      </c>
      <c r="L19" s="7">
        <f>MAX(0,L18+IF(AND((E19="OK"),B19="Hunt"),IF(C19="Dire Thornpelt",(IF(B19="Hunt",(('Rules &amp; Formulas'!B4*N18*('Rules &amp; Formulas'!B5+O18)*IFERROR(VLOOKUP(C19,Monsters!$T$4:$AH$15,10,FALSE),0)*IFERROR(VLOOKUP(C19,Monsters!$T$4:$AH$15,9,FALSE),0))*'Rules &amp; Formulas'!B6)*IF(D19="",0,D19),0))*0.1,0),0)+IF(AND((E19="OK"),B19="Go AFK"),IF(C19="Dire Thornpelt",(IF(B19="Go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AFK",IF(D19="",0,D19),0),Z18/60)*60)),0))*0.1,0),0))</f>
        <v/>
      </c>
      <c r="M19" s="7">
        <f>IF(AND((E19="OK"),B19="Go AFK"),MAX(0,MIN(('Rules &amp; Formulas'!B15+25*AJ18),M18+('Rules &amp; Formulas'!B14+0.4*AJ18)*(MIN(IF(B19="Go AFK",IF(D19="",0,D19),0),Z18/60)*60))-(IF(B19="Go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AFK",IF(D19="",0,D19),0),Z18/60)*60)),0))*(IF((IFERROR(VLOOKUP(C19,Monsters!$T$4:$AH$15,8,FALSE),0))=0,0.35,IFERROR(VLOOKUP(C19,Monsters!$T$4:$AH$15,8,FALSE),0))/(1+0.08*AK18))),MIN(('Rules &amp; Formulas'!B15+25*AJ19),M18))</f>
        <v/>
      </c>
      <c r="N19" s="7">
        <f>(1+0.08+0.12*AA19+0.12*AB19+0.16*AC19)</f>
        <v/>
      </c>
      <c r="O19" s="7">
        <f>((AD19&gt;=1)*1*(1+0.3*AE19))</f>
        <v/>
      </c>
      <c r="P19" s="7">
        <f>IF(OR(B19="Hunt",B19="Go AFK"),(('Rules &amp; Formulas'!B4*N18*('Rules &amp; Formulas'!B5+O18)*IFERROR(VLOOKUP(C19,Monsters!$T$4:$AH$15,10,FALSE),0)*IFERROR(VLOOKUP(C19,Monsters!$T$4:$AH$15,9,FALSE),0))*'Rules &amp; Formulas'!B6),"")</f>
        <v/>
      </c>
      <c r="Q19" s="7">
        <f>IF(OR(B19="Hunt",B19="Go AFK"),('Rules &amp; Formulas'!B4*N18*('Rules &amp; Formulas'!B5+O18)*IFERROR(VLOOKUP(C19,Monsters!$T$4:$AH$15,10,FALSE),0)*IFERROR(VLOOKUP(C19,Monsters!$T$4:$AH$15,9,FALSE),0)),"")</f>
        <v/>
      </c>
      <c r="R19" s="7">
        <f>IF(AND((E19="OK"),B19="Hunt"),IF(B19="Hunt",(('Rules &amp; Formulas'!B4*N18*('Rules &amp; Formulas'!B5+O18)*IFERROR(VLOOKUP(C19,Monsters!$T$4:$AH$15,10,FALSE),0)*IFERROR(VLOOKUP(C19,Monsters!$T$4:$AH$15,9,FALSE),0))*'Rules &amp; Formulas'!B6)*IF(D19="",0,D19),0),IF(AND((E19="OK"),B19="Go AFK"),IF(B19="Go AFK",MIN(IF((IF((IFERROR(VLOOKUP(C19,Monsters!$T$4:$AH$15,8,FALSE),0))=0,0.35,IFERROR(VLOOKUP(C19,Monsters!$T$4:$AH$15,8,FALSE),0))/(1+0.08*AK18))&lt;=0,999999,FLOOR(MIN(('Rules &amp; Formulas'!B15+25*AJ18),M18+('Rules &amp; Formulas'!B14+0.4*AJ18)*(MIN(IF(B19="Go AFK",IF(D19="",0,D19),0),Z18/60)*60))/(IF((IFERROR(VLOOKUP(C19,Monsters!$T$4:$AH$15,8,FALSE),0))=0,0.35,IFERROR(VLOOKUP(C19,Monsters!$T$4:$AH$15,8,FALSE),0))/(1+0.08*AK18)),1)),('Rules &amp; Formulas'!B4*N18*('Rules &amp; Formulas'!B5+O18)*IFERROR(VLOOKUP(C19,Monsters!$T$4:$AH$15,10,FALSE),0)*IFERROR(VLOOKUP(C19,Monsters!$T$4:$AH$15,9,FALSE),0))*(MIN(IF(B19="Go AFK",IF(D19="",0,D19),0),Z18/60)*60)),0),0))</f>
        <v/>
      </c>
      <c r="S19" s="7">
        <f>(105/'Rules &amp; Formulas'!B10)*'Rules &amp; Formulas'!B11</f>
        <v/>
      </c>
      <c r="T19" s="7">
        <f>IF(AD18&gt;=1,(MAX(1,ROUND('Rules &amp; Formulas'!B18*(1+0.3*AE18)*(1+0.4*AF18),0)))*(1000/'Rules &amp; Formulas'!B19)*MIN(0.95,'Rules &amp; Formulas'!B20*SQRT(1+0.55*(AG18&gt;=1))),0)</f>
        <v/>
      </c>
      <c r="U19" s="7">
        <f>S19+T19</f>
        <v/>
      </c>
      <c r="V19" s="7">
        <f>IF(I18&gt;=IF((IFERROR(VLOOKUP(C19,Monsters!$T$4:$AH$15,15,FALSE),0))=0,120,IFERROR(VLOOKUP(C19,Monsters!$T$4:$AH$15,15,FALSE),0)),"YES","no")</f>
        <v/>
      </c>
      <c r="W19" s="7">
        <f>IF(AND(B19="Fight boss",E19="OK"),IF((((105/'Rules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Formulas'!B20*SQRT(1+0.55*(AG18&gt;=1))),0)))),"")</f>
        <v/>
      </c>
      <c r="X19" s="7">
        <f>IF(AND(B19="Fight boss",E19="OK"),IF((IF((((105/'Rules &amp; Formulas'!B10)*'Rules &amp; Formulas'!B11+IF(AD18&gt;=1,(MAX(1,ROUND('Rules &amp; Formulas'!B18*(1+0.3*AE18)*(1+0.4*AF18),0)))*(1000/'Rules &amp; Formulas'!B19)*MIN(0.95,'Rules &amp; Formulas'!B20*SQRT(1+0.55*(AG18&gt;=1))),0)))&lt;=0,9999,(IFERROR(VLOOKUP(C19,Monsters!$T$4:$AH$15,2,FALSE),0))/(((105/'Rules &amp; Formulas'!B10)*'Rules &amp; Formulas'!B11+IF(AD18&gt;=1,(MAX(1,ROUND('Rules &amp; Formulas'!B18*(1+0.3*AE18)*(1+0.4*AF18),0)))*(1000/'Rules &amp; Formulas'!B19)*MIN(0.95,'Rules &amp; Formulas'!B20*SQRT(1+0.55*(AG18&gt;=1))),0))))&lt;='Rules &amp; Formulas'!B12),"WIN","LOSE"),"")</f>
        <v/>
      </c>
      <c r="Y19" s="7">
        <f>IF(B19="Go AFK",MIN(IF(B19="Go AFK",IF(D19="",0,D19),0),Z18/60),"")</f>
        <v/>
      </c>
      <c r="Z19" s="7">
        <f>('Rules &amp; Formulas'!B13+30*AI19)</f>
        <v/>
      </c>
      <c r="AA19">
        <f>COUNTIFS($B$3:$B19,"Buy upgrade",$C$3:$C19,"Idle Power")</f>
        <v/>
      </c>
      <c r="AB19">
        <f>COUNTIFS($B$3:$B19,"Buy upgrade",$C$3:$C19,"Iron Blade")</f>
        <v/>
      </c>
      <c r="AC19">
        <f>COUNTIFS($B$3:$B19,"Buy upgrade",$C$3:$C19,"Steel Blade")</f>
        <v/>
      </c>
      <c r="AD19">
        <f>COUNTIFS($B$3:$B19,"Hire hunter",$C$3:$C19,"Briar")+COUNTIFS($B$3:$B19,"Buy upgrade",$C$3:$C19,"Hire Briar")</f>
        <v/>
      </c>
      <c r="AE19">
        <f>COUNTIFS($B$3:$B19,"Buy upgrade",$C$3:$C19,"Hunter Power")</f>
        <v/>
      </c>
      <c r="AF19">
        <f>COUNTIFS($B$3:$B19,"Buy upgrade",$C$3:$C19,"Bigger Hits")</f>
        <v/>
      </c>
      <c r="AG19">
        <f>COUNTIFS($B$3:$B19,"Buy upgrade",$C$3:$C19,"Swift Walk")</f>
        <v/>
      </c>
      <c r="AH19">
        <f>COUNTIFS($B$3:$B19,"Buy upgrade",$C$3:$C19,"Loot Luck")</f>
        <v/>
      </c>
      <c r="AI19">
        <f>COUNTIFS($B$3:$B19,"Buy upgrade",$C$3:$C19,"Offline Cap")</f>
        <v/>
      </c>
      <c r="AJ19">
        <f>COUNTIFS($B$3:$B19,"Buy upgrade",$C$3:$C19,"Bigger Food Stock")</f>
        <v/>
      </c>
      <c r="AK19">
        <f>COUNTIFS($B$3:$B19,"Buy upgrade",$C$3:$C19,"Food Efficiency")</f>
        <v/>
      </c>
    </row>
    <row r="20">
      <c r="A20" t="n">
        <v>18</v>
      </c>
      <c r="B20" s="6" t="inlineStr">
        <is>
          <t>Buy upgrade</t>
        </is>
      </c>
      <c r="C20" s="6" t="inlineStr">
        <is>
          <t>Offline Cap</t>
        </is>
      </c>
      <c r="D20" s="6" t="n"/>
      <c r="E20" s="7">
        <f>IF(B20="","",IF(OR(B20="Hunt",B20="Go AFK"),IF(C20="","Can't","OK"),IF(B20="Fight boss",IF(I19&lt;IF((IFERROR(VLOOKUP(C20,Monsters!$T$4:$AH$15,15,FALSE),0))=0,120,IFERROR(VLOOKUP(C20,Monsters!$T$4:$AH$15,15,FALSE),0)),"Can't","OK"),IF(B20="Hire hunter",IF(AND(C20="Briar",AD19&gt;=1),"Can't",IF(H19&lt;IF(C20="Briar",140,IF(C20="Quill",3650,IF(C20="Moss",4850,IF(C20="Ember",12200,0)))),"Can't","OK")),IF(OR(B20="Buy upgrade",B20="Forge/Scrapwork buy"),IF(IFERROR(VLOOKUP(C20,Upgrades!$N$4:$T$47,2,FALSE),0)="points","Can't",IF(IFERROR(VLOOKUP(C20,Upgrades!$N$4:$T$47,2,FALSE),0)="gold",IF(H19&lt;IFERROR(FLOOR(IFERROR(VLOOKUP(C20,Upgrades!$N$4:$T$47,3,FALSE),0)*(IFERROR(VLOOKUP(C20,Upgrades!$N$4:$T$47,4,FALSE),0)^(COUNTIFS($B$3:$B19,"Buy upgrade",$C$3:$C19,C20)+COUNTIFS($B$3:$B19,"Hire hunter",$C$3:$C19,C20)+COUNTIFS($B$3:$B19,"Forge/Scrapwork buy",$C$3:$C19,C20))),1),0),"Can't","OK"),IF(IFERROR(VLOOKUP(C20,Upgrades!$N$4:$T$47,2,FALSE),0)="scraps",IF(J19&lt;IFERROR(FLOOR(IFERROR(VLOOKUP(C20,Upgrades!$N$4:$T$47,3,FALSE),0)*(IFERROR(VLOOKUP(C20,Upgrades!$N$4:$T$47,4,FALSE),0)^(COUNTIFS($B$3:$B19,"Buy upgrade",$C$3:$C19,C20)+COUNTIFS($B$3:$B19,"Hire hunter",$C$3:$C19,C20)+COUNTIFS($B$3:$B19,"Forge/Scrapwork buy",$C$3:$C19,C20))),1),0),"Can't","OK"),IF(IFERROR(VLOOKUP(C20,Upgrades!$N$4:$T$47,2,FALSE),0)="mats","Can't","OK")))),"Check")))))</f>
        <v/>
      </c>
      <c r="F20" s="7">
        <f>IF(B20="","",IF(AND(B20="Fight boss",I19&lt;IF((IFERROR(VLOOKUP(C20,Monsters!$T$4:$AH$15,15,FALSE),0))=0,120,IFERROR(VLOOKUP(C20,Monsters!$T$4:$AH$15,15,FALSE),0))),"Can't — need "&amp;TEXT(IF((IFERROR(VLOOKUP(C20,Monsters!$T$4:$AH$15,15,FALSE),0))=0,120,IFERROR(VLOOKUP(C20,Monsters!$T$4:$AH$15,15,FALSE),0))-I19,"0.0")&amp;" more Slayer points on the meter",IF(AND(B20="Hire hunter",C20="Briar",AD19&gt;=1),"Can't — already hired",IF(AND(B20="Hire hunter",H19&lt;IF(C20="Briar",140,IF(C20="Quill",3650,IF(C20="Moss",4850,IF(C20="Ember",12200,0))))),"Can't — need "&amp;TEXT(IF(C20="Briar",140,IF(C20="Quill",3650,IF(C20="Moss",4850,IF(C20="Ember",12200,0))))-H19,"0")&amp;" more gold",IF(AND(OR(B20="Buy upgrade",B20="Forge/Scrapwork buy"),IFERROR(VLOOKUP(C20,Upgrades!$N$4:$T$47,2,FALSE),0)="points"),"Can't — Sp-wallet spends not tracked here",IF(AND(OR(B20="Buy upgrade",B20="Forge/Scrapwork buy"),IFERROR(VLOOKUP(C20,Upgrades!$N$4:$T$47,2,FALSE),0)="gold",H19&lt;IFERROR(FLOOR(IFERROR(VLOOKUP(C20,Upgrades!$N$4:$T$47,3,FALSE),0)*(IFERROR(VLOOKUP(C20,Upgrades!$N$4:$T$47,4,FALSE),0)^(COUNTIFS($B$3:$B19,"Buy upgrade",$C$3:$C19,C20)+COUNTIFS($B$3:$B19,"Hire hunter",$C$3:$C19,C20)+COUNTIFS($B$3:$B19,"Forge/Scrapwork buy",$C$3:$C19,C20))),1),0)),"Can't — need "&amp;TEXT(IFERROR(FLOOR(IFERROR(VLOOKUP(C20,Upgrades!$N$4:$T$47,3,FALSE),0)*(IFERROR(VLOOKUP(C20,Upgrades!$N$4:$T$47,4,FALSE),0)^(COUNTIFS($B$3:$B19,"Buy upgrade",$C$3:$C19,C20)+COUNTIFS($B$3:$B19,"Hire hunter",$C$3:$C19,C20)+COUNTIFS($B$3:$B19,"Forge/Scrapwork buy",$C$3:$C19,C20))),1),0)-H19,"0")&amp;" more gold",IF(AND(OR(B20="Buy upgrade",B20="Forge/Scrapwork buy"),IFERROR(VLOOKUP(C20,Upgrades!$N$4:$T$47,2,FALSE),0)="scraps",J19&lt;IFERROR(FLOOR(IFERROR(VLOOKUP(C20,Upgrades!$N$4:$T$47,3,FALSE),0)*(IFERROR(VLOOKUP(C20,Upgrades!$N$4:$T$47,4,FALSE),0)^(COUNTIFS($B$3:$B19,"Buy upgrade",$C$3:$C19,C20)+COUNTIFS($B$3:$B19,"Hire hunter",$C$3:$C19,C20)+COUNTIFS($B$3:$B19,"Forge/Scrapwork buy",$C$3:$C19,C20))),1),0)),"Can't — need "&amp;TEXT(IFERROR(FLOOR(IFERROR(VLOOKUP(C20,Upgrades!$N$4:$T$47,3,FALSE),0)*(IFERROR(VLOOKUP(C20,Upgrades!$N$4:$T$47,4,FALSE),0)^(COUNTIFS($B$3:$B19,"Buy upgrade",$C$3:$C19,C20)+COUNTIFS($B$3:$B19,"Hire hunter",$C$3:$C19,C20)+COUNTIFS($B$3:$B19,"Forge/Scrapwork buy",$C$3:$C19,C20))),1),0)-J19,"0")&amp;" more scraps",IF(AND(B20="Fight boss",E20="OK",(IF((((105/'Rules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Formulas'!B12)),"WIN — boss down, next Level unlocks",IF(AND(B20="Fight boss",E20="OK"),"LOSE — TTK "&amp;TEXT(IF((((105/'Rules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Formulas'!B20*SQRT(1+0.55*(AG19&gt;=1))),0)))),"0")&amp;"s &gt; patience "&amp;TEXT('Rules &amp; Formulas'!B12,"0")&amp;"s (leave resets HP)",IF(B20="Go AFK","AFK resolved (see AFK counted h)","Applied")))))))))</f>
        <v/>
      </c>
      <c r="G20" s="7">
        <f>IF(AND((E20="OK"),B20="Fight boss",(IF((((105/'Rules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Formulas'!B12),C20="Elder Thornpelt"),2,IF(AND((E20="OK"),B20="Fight boss",(IF((((105/'Rules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Formulas'!B12),C20="Ashfang Alpha"),3,G19))</f>
        <v/>
      </c>
      <c r="H20" s="7">
        <f>MAX(0,H19+IF(AND((E20="OK"),B20="Hunt"),(IF(B20="Hunt",(('Rules &amp; Formulas'!B4*N19*('Rules &amp; Formulas'!B5+O19)*IFERROR(VLOOKUP(C20,Monsters!$T$4:$AH$15,10,FALSE),0)*IFERROR(VLOOKUP(C20,Monsters!$T$4:$AH$15,9,FALSE),0))*'Rules &amp; Formulas'!B6)*IF(D20="",0,D20),0))*(IFERROR(VLOOKUP(C20,Monsters!$T$4:$AH$15,3,FALSE),0))*(1+0.1*AH19)+(IF(OR(B20&lt;&gt;"Hunt",IFERROR(VLOOKUP(C20,Monsters!$T$4:$AH$15,6,FALSE),0)=0),0,FLOOR((IF(B20="Hunt",(('Rules &amp; Formulas'!B4*N19*('Rules &amp; Formulas'!B5+O19)*IFERROR(VLOOKUP(C20,Monsters!$T$4:$AH$15,10,FALSE),0)*IFERROR(VLOOKUP(C20,Monsters!$T$4:$AH$15,9,FALSE),0))*'Rules &amp; Formulas'!B6)*IF(D20="",0,D20),0))/MAX(1,IFERROR(VLOOKUP(C20,Monsters!$T$4:$AH$15,6,FALSE),0)),1)))*(IFERROR(VLOOKUP(C20,Monsters!$T$4:$AH$15,7,FALSE),0))*0.5*(1+0.1*AH19),0)+IF(AND((E20="OK"),B20="Go AFK"),(IF(B20="Go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AFK",IF(D20="",0,D20),0),Z19/60)*60)),0))*(IFERROR(VLOOKUP(C20,Monsters!$T$4:$AH$15,3,FALSE),0))*(1+0.1*AH19)+(IF(OR(B20&lt;&gt;"Go AFK",IFERROR(VLOOKUP(C20,Monsters!$T$4:$AH$15,6,FALSE),0)=0),0,FLOOR((IF(B20="Go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AFK",IF(D20="",0,D20),0),Z19/60)*60)),0))/MAX(1,IFERROR(VLOOKUP(C20,Monsters!$T$4:$AH$15,6,FALSE),0)),1)))*(IFERROR(VLOOKUP(C20,Monsters!$T$4:$AH$15,7,FALSE),0))*0.5*(1+0.1*AH19),0)+IF(AND((E20="OK"),B20="Fight boss",(IF((((105/'Rules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Formulas'!B12)),IFERROR(VLOOKUP(C20,Monsters!$T$4:$AH$15,3,FALSE),0),0)-IF(AND((E20="OK"),OR(B20="Buy upgrade",B20="Forge/Scrapwork buy"),IFERROR(VLOOKUP(C20,Upgrades!$N$4:$T$47,2,FALSE),0)="gold"),IFERROR(FLOOR(IFERROR(VLOOKUP(C20,Upgrades!$N$4:$T$47,3,FALSE),0)*(IFERROR(VLOOKUP(C20,Upgrades!$N$4:$T$47,4,FALSE),0)^(COUNTIFS($B$3:$B19,"Buy upgrade",$C$3:$C19,C20)+COUNTIFS($B$3:$B19,"Hire hunter",$C$3:$C19,C20)+COUNTIFS($B$3:$B19,"Forge/Scrapwork buy",$C$3:$C19,C20))),1),0),0)-IF(AND((E20="OK"),B20="Hire hunter"),IF(C20="Briar",140,IF(C20="Quill",3650,IF(C20="Moss",4850,IF(C20="Ember",12200,0)))),0))</f>
        <v/>
      </c>
      <c r="I20" s="7">
        <f>IF(AND((E20="OK"),B20="Fight boss",(IF((((105/'Rules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Formulas'!B12)),0,MIN(IF(G19&lt;=1,120,IF(G19=2,280,600)),I19+IF(AND((E20="OK"),B20="Hunt"),((IF(B20="Hunt",(('Rules &amp; Formulas'!B4*N19*('Rules &amp; Formulas'!B5+O19)*IFERROR(VLOOKUP(C20,Monsters!$T$4:$AH$15,10,FALSE),0)*IFERROR(VLOOKUP(C20,Monsters!$T$4:$AH$15,9,FALSE),0))*'Rules &amp; Formulas'!B6)*IF(D20="",0,D20),0))*(IFERROR(VLOOKUP(C20,Monsters!$T$4:$AH$15,4,FALSE),0))+(IF(OR(B20&lt;&gt;"Hunt",IFERROR(VLOOKUP(C20,Monsters!$T$4:$AH$15,6,FALSE),0)=0),0,FLOOR((IF(B20="Hunt",(('Rules &amp; Formulas'!B4*N19*('Rules &amp; Formulas'!B5+O19)*IFERROR(VLOOKUP(C20,Monsters!$T$4:$AH$15,10,FALSE),0)*IFERROR(VLOOKUP(C20,Monsters!$T$4:$AH$15,9,FALSE),0))*'Rules &amp; Formulas'!B6)*IF(D20="",0,D20),0))/MAX(1,IFERROR(VLOOKUP(C20,Monsters!$T$4:$AH$15,6,FALSE),0)),1)))*(IFERROR(VLOOKUP(C20,Monsters!$T$4:$AH$15,7,FALSE),0))),0)+IF(AND((E20="OK"),B20="Go AFK"),((IF(B20="Go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AFK",IF(D20="",0,D20),0),Z19/60)*60)),0))*(IFERROR(VLOOKUP(C20,Monsters!$T$4:$AH$15,4,FALSE),0))+(IF(OR(B20&lt;&gt;"Go AFK",IFERROR(VLOOKUP(C20,Monsters!$T$4:$AH$15,6,FALSE),0)=0),0,FLOOR((IF(B20="Go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AFK",IF(D20="",0,D20),0),Z19/60)*60)),0))/MAX(1,IFERROR(VLOOKUP(C20,Monsters!$T$4:$AH$15,6,FALSE),0)),1)))*(IFERROR(VLOOKUP(C20,Monsters!$T$4:$AH$15,7,FALSE),0))),0)))</f>
        <v/>
      </c>
      <c r="J20" s="7">
        <f>MAX(0,J19+IF(AND((E20="OK"),B20="Hunt"),(IF(B20="Hunt",(('Rules &amp; Formulas'!B4*N19*('Rules &amp; Formulas'!B5+O19)*IFERROR(VLOOKUP(C20,Monsters!$T$4:$AH$15,10,FALSE),0)*IFERROR(VLOOKUP(C20,Monsters!$T$4:$AH$15,9,FALSE),0))*'Rules &amp; Formulas'!B6)*IF(D20="",0,D20),0))*(IFERROR(VLOOKUP(C20,Monsters!$T$4:$AH$15,5,FALSE),0)),0)+IF(AND((E20="OK"),B20="Go AFK"),(IF(B20="Go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AFK",IF(D20="",0,D20),0),Z19/60)*60)),0))*(IFERROR(VLOOKUP(C20,Monsters!$T$4:$AH$15,5,FALSE),0)),0)-IF(AND((E20="OK"),OR(B20="Buy upgrade",B20="Forge/Scrapwork buy"),IFERROR(VLOOKUP(C20,Upgrades!$N$4:$T$47,2,FALSE),0)="scraps"),IFERROR(FLOOR(IFERROR(VLOOKUP(C20,Upgrades!$N$4:$T$47,3,FALSE),0)*(IFERROR(VLOOKUP(C20,Upgrades!$N$4:$T$47,4,FALSE),0)^(COUNTIFS($B$3:$B19,"Buy upgrade",$C$3:$C19,C20)+COUNTIFS($B$3:$B19,"Hire hunter",$C$3:$C19,C20)+COUNTIFS($B$3:$B19,"Forge/Scrapwork buy",$C$3:$C19,C20))),1),0),0))</f>
        <v/>
      </c>
      <c r="K20" s="7">
        <f>MAX(0,K19+IF(AND((E20="OK"),B20="Hunt"),IF(C20="Thornpelt Bear",(IF(B20="Hunt",(('Rules &amp; Formulas'!B4*N19*('Rules &amp; Formulas'!B5+O19)*IFERROR(VLOOKUP(C20,Monsters!$T$4:$AH$15,10,FALSE),0)*IFERROR(VLOOKUP(C20,Monsters!$T$4:$AH$15,9,FALSE),0))*'Rules &amp; Formulas'!B6)*IF(D20="",0,D20),0))*0.12,0),0)+IF(AND((E20="OK"),B20="Go AFK"),IF(C20="Thornpelt Bear",(IF(B20="Go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AFK",IF(D20="",0,D20),0),Z19/60)*60)),0))*0.12,0),0))</f>
        <v/>
      </c>
      <c r="L20" s="7">
        <f>MAX(0,L19+IF(AND((E20="OK"),B20="Hunt"),IF(C20="Dire Thornpelt",(IF(B20="Hunt",(('Rules &amp; Formulas'!B4*N19*('Rules &amp; Formulas'!B5+O19)*IFERROR(VLOOKUP(C20,Monsters!$T$4:$AH$15,10,FALSE),0)*IFERROR(VLOOKUP(C20,Monsters!$T$4:$AH$15,9,FALSE),0))*'Rules &amp; Formulas'!B6)*IF(D20="",0,D20),0))*0.1,0),0)+IF(AND((E20="OK"),B20="Go AFK"),IF(C20="Dire Thornpelt",(IF(B20="Go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AFK",IF(D20="",0,D20),0),Z19/60)*60)),0))*0.1,0),0))</f>
        <v/>
      </c>
      <c r="M20" s="7">
        <f>IF(AND((E20="OK"),B20="Go AFK"),MAX(0,MIN(('Rules &amp; Formulas'!B15+25*AJ19),M19+('Rules &amp; Formulas'!B14+0.4*AJ19)*(MIN(IF(B20="Go AFK",IF(D20="",0,D20),0),Z19/60)*60))-(IF(B20="Go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AFK",IF(D20="",0,D20),0),Z19/60)*60)),0))*(IF((IFERROR(VLOOKUP(C20,Monsters!$T$4:$AH$15,8,FALSE),0))=0,0.35,IFERROR(VLOOKUP(C20,Monsters!$T$4:$AH$15,8,FALSE),0))/(1+0.08*AK19))),MIN(('Rules &amp; Formulas'!B15+25*AJ20),M19))</f>
        <v/>
      </c>
      <c r="N20" s="7">
        <f>(1+0.08+0.12*AA20+0.12*AB20+0.16*AC20)</f>
        <v/>
      </c>
      <c r="O20" s="7">
        <f>((AD20&gt;=1)*1*(1+0.3*AE20))</f>
        <v/>
      </c>
      <c r="P20" s="7">
        <f>IF(OR(B20="Hunt",B20="Go AFK"),(('Rules &amp; Formulas'!B4*N19*('Rules &amp; Formulas'!B5+O19)*IFERROR(VLOOKUP(C20,Monsters!$T$4:$AH$15,10,FALSE),0)*IFERROR(VLOOKUP(C20,Monsters!$T$4:$AH$15,9,FALSE),0))*'Rules &amp; Formulas'!B6),"")</f>
        <v/>
      </c>
      <c r="Q20" s="7">
        <f>IF(OR(B20="Hunt",B20="Go AFK"),('Rules &amp; Formulas'!B4*N19*('Rules &amp; Formulas'!B5+O19)*IFERROR(VLOOKUP(C20,Monsters!$T$4:$AH$15,10,FALSE),0)*IFERROR(VLOOKUP(C20,Monsters!$T$4:$AH$15,9,FALSE),0)),"")</f>
        <v/>
      </c>
      <c r="R20" s="7">
        <f>IF(AND((E20="OK"),B20="Hunt"),IF(B20="Hunt",(('Rules &amp; Formulas'!B4*N19*('Rules &amp; Formulas'!B5+O19)*IFERROR(VLOOKUP(C20,Monsters!$T$4:$AH$15,10,FALSE),0)*IFERROR(VLOOKUP(C20,Monsters!$T$4:$AH$15,9,FALSE),0))*'Rules &amp; Formulas'!B6)*IF(D20="",0,D20),0),IF(AND((E20="OK"),B20="Go AFK"),IF(B20="Go AFK",MIN(IF((IF((IFERROR(VLOOKUP(C20,Monsters!$T$4:$AH$15,8,FALSE),0))=0,0.35,IFERROR(VLOOKUP(C20,Monsters!$T$4:$AH$15,8,FALSE),0))/(1+0.08*AK19))&lt;=0,999999,FLOOR(MIN(('Rules &amp; Formulas'!B15+25*AJ19),M19+('Rules &amp; Formulas'!B14+0.4*AJ19)*(MIN(IF(B20="Go AFK",IF(D20="",0,D20),0),Z19/60)*60))/(IF((IFERROR(VLOOKUP(C20,Monsters!$T$4:$AH$15,8,FALSE),0))=0,0.35,IFERROR(VLOOKUP(C20,Monsters!$T$4:$AH$15,8,FALSE),0))/(1+0.08*AK19)),1)),('Rules &amp; Formulas'!B4*N19*('Rules &amp; Formulas'!B5+O19)*IFERROR(VLOOKUP(C20,Monsters!$T$4:$AH$15,10,FALSE),0)*IFERROR(VLOOKUP(C20,Monsters!$T$4:$AH$15,9,FALSE),0))*(MIN(IF(B20="Go AFK",IF(D20="",0,D20),0),Z19/60)*60)),0),0))</f>
        <v/>
      </c>
      <c r="S20" s="7">
        <f>(105/'Rules &amp; Formulas'!B10)*'Rules &amp; Formulas'!B11</f>
        <v/>
      </c>
      <c r="T20" s="7">
        <f>IF(AD19&gt;=1,(MAX(1,ROUND('Rules &amp; Formulas'!B18*(1+0.3*AE19)*(1+0.4*AF19),0)))*(1000/'Rules &amp; Formulas'!B19)*MIN(0.95,'Rules &amp; Formulas'!B20*SQRT(1+0.55*(AG19&gt;=1))),0)</f>
        <v/>
      </c>
      <c r="U20" s="7">
        <f>S20+T20</f>
        <v/>
      </c>
      <c r="V20" s="7">
        <f>IF(I19&gt;=IF((IFERROR(VLOOKUP(C20,Monsters!$T$4:$AH$15,15,FALSE),0))=0,120,IFERROR(VLOOKUP(C20,Monsters!$T$4:$AH$15,15,FALSE),0)),"YES","no")</f>
        <v/>
      </c>
      <c r="W20" s="7">
        <f>IF(AND(B20="Fight boss",E20="OK"),IF((((105/'Rules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Formulas'!B20*SQRT(1+0.55*(AG19&gt;=1))),0)))),"")</f>
        <v/>
      </c>
      <c r="X20" s="7">
        <f>IF(AND(B20="Fight boss",E20="OK"),IF((IF((((105/'Rules &amp; Formulas'!B10)*'Rules &amp; Formulas'!B11+IF(AD19&gt;=1,(MAX(1,ROUND('Rules &amp; Formulas'!B18*(1+0.3*AE19)*(1+0.4*AF19),0)))*(1000/'Rules &amp; Formulas'!B19)*MIN(0.95,'Rules &amp; Formulas'!B20*SQRT(1+0.55*(AG19&gt;=1))),0)))&lt;=0,9999,(IFERROR(VLOOKUP(C20,Monsters!$T$4:$AH$15,2,FALSE),0))/(((105/'Rules &amp; Formulas'!B10)*'Rules &amp; Formulas'!B11+IF(AD19&gt;=1,(MAX(1,ROUND('Rules &amp; Formulas'!B18*(1+0.3*AE19)*(1+0.4*AF19),0)))*(1000/'Rules &amp; Formulas'!B19)*MIN(0.95,'Rules &amp; Formulas'!B20*SQRT(1+0.55*(AG19&gt;=1))),0))))&lt;='Rules &amp; Formulas'!B12),"WIN","LOSE"),"")</f>
        <v/>
      </c>
      <c r="Y20" s="7">
        <f>IF(B20="Go AFK",MIN(IF(B20="Go AFK",IF(D20="",0,D20),0),Z19/60),"")</f>
        <v/>
      </c>
      <c r="Z20" s="7">
        <f>('Rules &amp; Formulas'!B13+30*AI20)</f>
        <v/>
      </c>
      <c r="AA20">
        <f>COUNTIFS($B$3:$B20,"Buy upgrade",$C$3:$C20,"Idle Power")</f>
        <v/>
      </c>
      <c r="AB20">
        <f>COUNTIFS($B$3:$B20,"Buy upgrade",$C$3:$C20,"Iron Blade")</f>
        <v/>
      </c>
      <c r="AC20">
        <f>COUNTIFS($B$3:$B20,"Buy upgrade",$C$3:$C20,"Steel Blade")</f>
        <v/>
      </c>
      <c r="AD20">
        <f>COUNTIFS($B$3:$B20,"Hire hunter",$C$3:$C20,"Briar")+COUNTIFS($B$3:$B20,"Buy upgrade",$C$3:$C20,"Hire Briar")</f>
        <v/>
      </c>
      <c r="AE20">
        <f>COUNTIFS($B$3:$B20,"Buy upgrade",$C$3:$C20,"Hunter Power")</f>
        <v/>
      </c>
      <c r="AF20">
        <f>COUNTIFS($B$3:$B20,"Buy upgrade",$C$3:$C20,"Bigger Hits")</f>
        <v/>
      </c>
      <c r="AG20">
        <f>COUNTIFS($B$3:$B20,"Buy upgrade",$C$3:$C20,"Swift Walk")</f>
        <v/>
      </c>
      <c r="AH20">
        <f>COUNTIFS($B$3:$B20,"Buy upgrade",$C$3:$C20,"Loot Luck")</f>
        <v/>
      </c>
      <c r="AI20">
        <f>COUNTIFS($B$3:$B20,"Buy upgrade",$C$3:$C20,"Offline Cap")</f>
        <v/>
      </c>
      <c r="AJ20">
        <f>COUNTIFS($B$3:$B20,"Buy upgrade",$C$3:$C20,"Bigger Food Stock")</f>
        <v/>
      </c>
      <c r="AK20">
        <f>COUNTIFS($B$3:$B20,"Buy upgrade",$C$3:$C20,"Food Efficiency")</f>
        <v/>
      </c>
    </row>
    <row r="21">
      <c r="A21" t="n">
        <v>19</v>
      </c>
      <c r="B21" s="6" t="inlineStr">
        <is>
          <t>Buy upgrade</t>
        </is>
      </c>
      <c r="C21" s="6" t="inlineStr">
        <is>
          <t>Food Efficiency</t>
        </is>
      </c>
      <c r="D21" s="6" t="n"/>
      <c r="E21" s="7">
        <f>IF(B21="","",IF(OR(B21="Hunt",B21="Go AFK"),IF(C21="","Can't","OK"),IF(B21="Fight boss",IF(I20&lt;IF((IFERROR(VLOOKUP(C21,Monsters!$T$4:$AH$15,15,FALSE),0))=0,120,IFERROR(VLOOKUP(C21,Monsters!$T$4:$AH$15,15,FALSE),0)),"Can't","OK"),IF(B21="Hire hunter",IF(AND(C21="Briar",AD20&gt;=1),"Can't",IF(H20&lt;IF(C21="Briar",140,IF(C21="Quill",3650,IF(C21="Moss",4850,IF(C21="Ember",12200,0)))),"Can't","OK")),IF(OR(B21="Buy upgrade",B21="Forge/Scrapwork buy"),IF(IFERROR(VLOOKUP(C21,Upgrades!$N$4:$T$47,2,FALSE),0)="points","Can't",IF(IFERROR(VLOOKUP(C21,Upgrades!$N$4:$T$47,2,FALSE),0)="gold",IF(H20&lt;IFERROR(FLOOR(IFERROR(VLOOKUP(C21,Upgrades!$N$4:$T$47,3,FALSE),0)*(IFERROR(VLOOKUP(C21,Upgrades!$N$4:$T$47,4,FALSE),0)^(COUNTIFS($B$3:$B20,"Buy upgrade",$C$3:$C20,C21)+COUNTIFS($B$3:$B20,"Hire hunter",$C$3:$C20,C21)+COUNTIFS($B$3:$B20,"Forge/Scrapwork buy",$C$3:$C20,C21))),1),0),"Can't","OK"),IF(IFERROR(VLOOKUP(C21,Upgrades!$N$4:$T$47,2,FALSE),0)="scraps",IF(J20&lt;IFERROR(FLOOR(IFERROR(VLOOKUP(C21,Upgrades!$N$4:$T$47,3,FALSE),0)*(IFERROR(VLOOKUP(C21,Upgrades!$N$4:$T$47,4,FALSE),0)^(COUNTIFS($B$3:$B20,"Buy upgrade",$C$3:$C20,C21)+COUNTIFS($B$3:$B20,"Hire hunter",$C$3:$C20,C21)+COUNTIFS($B$3:$B20,"Forge/Scrapwork buy",$C$3:$C20,C21))),1),0),"Can't","OK"),IF(IFERROR(VLOOKUP(C21,Upgrades!$N$4:$T$47,2,FALSE),0)="mats","Can't","OK")))),"Check")))))</f>
        <v/>
      </c>
      <c r="F21" s="7">
        <f>IF(B21="","",IF(AND(B21="Fight boss",I20&lt;IF((IFERROR(VLOOKUP(C21,Monsters!$T$4:$AH$15,15,FALSE),0))=0,120,IFERROR(VLOOKUP(C21,Monsters!$T$4:$AH$15,15,FALSE),0))),"Can't — need "&amp;TEXT(IF((IFERROR(VLOOKUP(C21,Monsters!$T$4:$AH$15,15,FALSE),0))=0,120,IFERROR(VLOOKUP(C21,Monsters!$T$4:$AH$15,15,FALSE),0))-I20,"0.0")&amp;" more Slayer points on the meter",IF(AND(B21="Hire hunter",C21="Briar",AD20&gt;=1),"Can't — already hired",IF(AND(B21="Hire hunter",H20&lt;IF(C21="Briar",140,IF(C21="Quill",3650,IF(C21="Moss",4850,IF(C21="Ember",12200,0))))),"Can't — need "&amp;TEXT(IF(C21="Briar",140,IF(C21="Quill",3650,IF(C21="Moss",4850,IF(C21="Ember",12200,0))))-H20,"0")&amp;" more gold",IF(AND(OR(B21="Buy upgrade",B21="Forge/Scrapwork buy"),IFERROR(VLOOKUP(C21,Upgrades!$N$4:$T$47,2,FALSE),0)="points"),"Can't — Sp-wallet spends not tracked here",IF(AND(OR(B21="Buy upgrade",B21="Forge/Scrapwork buy"),IFERROR(VLOOKUP(C21,Upgrades!$N$4:$T$47,2,FALSE),0)="gold",H20&lt;IFERROR(FLOOR(IFERROR(VLOOKUP(C21,Upgrades!$N$4:$T$47,3,FALSE),0)*(IFERROR(VLOOKUP(C21,Upgrades!$N$4:$T$47,4,FALSE),0)^(COUNTIFS($B$3:$B20,"Buy upgrade",$C$3:$C20,C21)+COUNTIFS($B$3:$B20,"Hire hunter",$C$3:$C20,C21)+COUNTIFS($B$3:$B20,"Forge/Scrapwork buy",$C$3:$C20,C21))),1),0)),"Can't — need "&amp;TEXT(IFERROR(FLOOR(IFERROR(VLOOKUP(C21,Upgrades!$N$4:$T$47,3,FALSE),0)*(IFERROR(VLOOKUP(C21,Upgrades!$N$4:$T$47,4,FALSE),0)^(COUNTIFS($B$3:$B20,"Buy upgrade",$C$3:$C20,C21)+COUNTIFS($B$3:$B20,"Hire hunter",$C$3:$C20,C21)+COUNTIFS($B$3:$B20,"Forge/Scrapwork buy",$C$3:$C20,C21))),1),0)-H20,"0")&amp;" more gold",IF(AND(OR(B21="Buy upgrade",B21="Forge/Scrapwork buy"),IFERROR(VLOOKUP(C21,Upgrades!$N$4:$T$47,2,FALSE),0)="scraps",J20&lt;IFERROR(FLOOR(IFERROR(VLOOKUP(C21,Upgrades!$N$4:$T$47,3,FALSE),0)*(IFERROR(VLOOKUP(C21,Upgrades!$N$4:$T$47,4,FALSE),0)^(COUNTIFS($B$3:$B20,"Buy upgrade",$C$3:$C20,C21)+COUNTIFS($B$3:$B20,"Hire hunter",$C$3:$C20,C21)+COUNTIFS($B$3:$B20,"Forge/Scrapwork buy",$C$3:$C20,C21))),1),0)),"Can't — need "&amp;TEXT(IFERROR(FLOOR(IFERROR(VLOOKUP(C21,Upgrades!$N$4:$T$47,3,FALSE),0)*(IFERROR(VLOOKUP(C21,Upgrades!$N$4:$T$47,4,FALSE),0)^(COUNTIFS($B$3:$B20,"Buy upgrade",$C$3:$C20,C21)+COUNTIFS($B$3:$B20,"Hire hunter",$C$3:$C20,C21)+COUNTIFS($B$3:$B20,"Forge/Scrapwork buy",$C$3:$C20,C21))),1),0)-J20,"0")&amp;" more scraps",IF(AND(B21="Fight boss",E21="OK",(IF((((105/'Rules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Formulas'!B12)),"WIN — boss down, next Level unlocks",IF(AND(B21="Fight boss",E21="OK"),"LOSE — TTK "&amp;TEXT(IF((((105/'Rules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Formulas'!B20*SQRT(1+0.55*(AG20&gt;=1))),0)))),"0")&amp;"s &gt; patience "&amp;TEXT('Rules &amp; Formulas'!B12,"0")&amp;"s (leave resets HP)",IF(B21="Go AFK","AFK resolved (see AFK counted h)","Applied")))))))))</f>
        <v/>
      </c>
      <c r="G21" s="7">
        <f>IF(AND((E21="OK"),B21="Fight boss",(IF((((105/'Rules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Formulas'!B12),C21="Elder Thornpelt"),2,IF(AND((E21="OK"),B21="Fight boss",(IF((((105/'Rules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Formulas'!B12),C21="Ashfang Alpha"),3,G20))</f>
        <v/>
      </c>
      <c r="H21" s="7">
        <f>MAX(0,H20+IF(AND((E21="OK"),B21="Hunt"),(IF(B21="Hunt",(('Rules &amp; Formulas'!B4*N20*('Rules &amp; Formulas'!B5+O20)*IFERROR(VLOOKUP(C21,Monsters!$T$4:$AH$15,10,FALSE),0)*IFERROR(VLOOKUP(C21,Monsters!$T$4:$AH$15,9,FALSE),0))*'Rules &amp; Formulas'!B6)*IF(D21="",0,D21),0))*(IFERROR(VLOOKUP(C21,Monsters!$T$4:$AH$15,3,FALSE),0))*(1+0.1*AH20)+(IF(OR(B21&lt;&gt;"Hunt",IFERROR(VLOOKUP(C21,Monsters!$T$4:$AH$15,6,FALSE),0)=0),0,FLOOR((IF(B21="Hunt",(('Rules &amp; Formulas'!B4*N20*('Rules &amp; Formulas'!B5+O20)*IFERROR(VLOOKUP(C21,Monsters!$T$4:$AH$15,10,FALSE),0)*IFERROR(VLOOKUP(C21,Monsters!$T$4:$AH$15,9,FALSE),0))*'Rules &amp; Formulas'!B6)*IF(D21="",0,D21),0))/MAX(1,IFERROR(VLOOKUP(C21,Monsters!$T$4:$AH$15,6,FALSE),0)),1)))*(IFERROR(VLOOKUP(C21,Monsters!$T$4:$AH$15,7,FALSE),0))*0.5*(1+0.1*AH20),0)+IF(AND((E21="OK"),B21="Go AFK"),(IF(B21="Go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AFK",IF(D21="",0,D21),0),Z20/60)*60)),0))*(IFERROR(VLOOKUP(C21,Monsters!$T$4:$AH$15,3,FALSE),0))*(1+0.1*AH20)+(IF(OR(B21&lt;&gt;"Go AFK",IFERROR(VLOOKUP(C21,Monsters!$T$4:$AH$15,6,FALSE),0)=0),0,FLOOR((IF(B21="Go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AFK",IF(D21="",0,D21),0),Z20/60)*60)),0))/MAX(1,IFERROR(VLOOKUP(C21,Monsters!$T$4:$AH$15,6,FALSE),0)),1)))*(IFERROR(VLOOKUP(C21,Monsters!$T$4:$AH$15,7,FALSE),0))*0.5*(1+0.1*AH20),0)+IF(AND((E21="OK"),B21="Fight boss",(IF((((105/'Rules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Formulas'!B12)),IFERROR(VLOOKUP(C21,Monsters!$T$4:$AH$15,3,FALSE),0),0)-IF(AND((E21="OK"),OR(B21="Buy upgrade",B21="Forge/Scrapwork buy"),IFERROR(VLOOKUP(C21,Upgrades!$N$4:$T$47,2,FALSE),0)="gold"),IFERROR(FLOOR(IFERROR(VLOOKUP(C21,Upgrades!$N$4:$T$47,3,FALSE),0)*(IFERROR(VLOOKUP(C21,Upgrades!$N$4:$T$47,4,FALSE),0)^(COUNTIFS($B$3:$B20,"Buy upgrade",$C$3:$C20,C21)+COUNTIFS($B$3:$B20,"Hire hunter",$C$3:$C20,C21)+COUNTIFS($B$3:$B20,"Forge/Scrapwork buy",$C$3:$C20,C21))),1),0),0)-IF(AND((E21="OK"),B21="Hire hunter"),IF(C21="Briar",140,IF(C21="Quill",3650,IF(C21="Moss",4850,IF(C21="Ember",12200,0)))),0))</f>
        <v/>
      </c>
      <c r="I21" s="7">
        <f>IF(AND((E21="OK"),B21="Fight boss",(IF((((105/'Rules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Formulas'!B12)),0,MIN(IF(G20&lt;=1,120,IF(G20=2,280,600)),I20+IF(AND((E21="OK"),B21="Hunt"),((IF(B21="Hunt",(('Rules &amp; Formulas'!B4*N20*('Rules &amp; Formulas'!B5+O20)*IFERROR(VLOOKUP(C21,Monsters!$T$4:$AH$15,10,FALSE),0)*IFERROR(VLOOKUP(C21,Monsters!$T$4:$AH$15,9,FALSE),0))*'Rules &amp; Formulas'!B6)*IF(D21="",0,D21),0))*(IFERROR(VLOOKUP(C21,Monsters!$T$4:$AH$15,4,FALSE),0))+(IF(OR(B21&lt;&gt;"Hunt",IFERROR(VLOOKUP(C21,Monsters!$T$4:$AH$15,6,FALSE),0)=0),0,FLOOR((IF(B21="Hunt",(('Rules &amp; Formulas'!B4*N20*('Rules &amp; Formulas'!B5+O20)*IFERROR(VLOOKUP(C21,Monsters!$T$4:$AH$15,10,FALSE),0)*IFERROR(VLOOKUP(C21,Monsters!$T$4:$AH$15,9,FALSE),0))*'Rules &amp; Formulas'!B6)*IF(D21="",0,D21),0))/MAX(1,IFERROR(VLOOKUP(C21,Monsters!$T$4:$AH$15,6,FALSE),0)),1)))*(IFERROR(VLOOKUP(C21,Monsters!$T$4:$AH$15,7,FALSE),0))),0)+IF(AND((E21="OK"),B21="Go AFK"),((IF(B21="Go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AFK",IF(D21="",0,D21),0),Z20/60)*60)),0))*(IFERROR(VLOOKUP(C21,Monsters!$T$4:$AH$15,4,FALSE),0))+(IF(OR(B21&lt;&gt;"Go AFK",IFERROR(VLOOKUP(C21,Monsters!$T$4:$AH$15,6,FALSE),0)=0),0,FLOOR((IF(B21="Go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AFK",IF(D21="",0,D21),0),Z20/60)*60)),0))/MAX(1,IFERROR(VLOOKUP(C21,Monsters!$T$4:$AH$15,6,FALSE),0)),1)))*(IFERROR(VLOOKUP(C21,Monsters!$T$4:$AH$15,7,FALSE),0))),0)))</f>
        <v/>
      </c>
      <c r="J21" s="7">
        <f>MAX(0,J20+IF(AND((E21="OK"),B21="Hunt"),(IF(B21="Hunt",(('Rules &amp; Formulas'!B4*N20*('Rules &amp; Formulas'!B5+O20)*IFERROR(VLOOKUP(C21,Monsters!$T$4:$AH$15,10,FALSE),0)*IFERROR(VLOOKUP(C21,Monsters!$T$4:$AH$15,9,FALSE),0))*'Rules &amp; Formulas'!B6)*IF(D21="",0,D21),0))*(IFERROR(VLOOKUP(C21,Monsters!$T$4:$AH$15,5,FALSE),0)),0)+IF(AND((E21="OK"),B21="Go AFK"),(IF(B21="Go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AFK",IF(D21="",0,D21),0),Z20/60)*60)),0))*(IFERROR(VLOOKUP(C21,Monsters!$T$4:$AH$15,5,FALSE),0)),0)-IF(AND((E21="OK"),OR(B21="Buy upgrade",B21="Forge/Scrapwork buy"),IFERROR(VLOOKUP(C21,Upgrades!$N$4:$T$47,2,FALSE),0)="scraps"),IFERROR(FLOOR(IFERROR(VLOOKUP(C21,Upgrades!$N$4:$T$47,3,FALSE),0)*(IFERROR(VLOOKUP(C21,Upgrades!$N$4:$T$47,4,FALSE),0)^(COUNTIFS($B$3:$B20,"Buy upgrade",$C$3:$C20,C21)+COUNTIFS($B$3:$B20,"Hire hunter",$C$3:$C20,C21)+COUNTIFS($B$3:$B20,"Forge/Scrapwork buy",$C$3:$C20,C21))),1),0),0))</f>
        <v/>
      </c>
      <c r="K21" s="7">
        <f>MAX(0,K20+IF(AND((E21="OK"),B21="Hunt"),IF(C21="Thornpelt Bear",(IF(B21="Hunt",(('Rules &amp; Formulas'!B4*N20*('Rules &amp; Formulas'!B5+O20)*IFERROR(VLOOKUP(C21,Monsters!$T$4:$AH$15,10,FALSE),0)*IFERROR(VLOOKUP(C21,Monsters!$T$4:$AH$15,9,FALSE),0))*'Rules &amp; Formulas'!B6)*IF(D21="",0,D21),0))*0.12,0),0)+IF(AND((E21="OK"),B21="Go AFK"),IF(C21="Thornpelt Bear",(IF(B21="Go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AFK",IF(D21="",0,D21),0),Z20/60)*60)),0))*0.12,0),0))</f>
        <v/>
      </c>
      <c r="L21" s="7">
        <f>MAX(0,L20+IF(AND((E21="OK"),B21="Hunt"),IF(C21="Dire Thornpelt",(IF(B21="Hunt",(('Rules &amp; Formulas'!B4*N20*('Rules &amp; Formulas'!B5+O20)*IFERROR(VLOOKUP(C21,Monsters!$T$4:$AH$15,10,FALSE),0)*IFERROR(VLOOKUP(C21,Monsters!$T$4:$AH$15,9,FALSE),0))*'Rules &amp; Formulas'!B6)*IF(D21="",0,D21),0))*0.1,0),0)+IF(AND((E21="OK"),B21="Go AFK"),IF(C21="Dire Thornpelt",(IF(B21="Go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AFK",IF(D21="",0,D21),0),Z20/60)*60)),0))*0.1,0),0))</f>
        <v/>
      </c>
      <c r="M21" s="7">
        <f>IF(AND((E21="OK"),B21="Go AFK"),MAX(0,MIN(('Rules &amp; Formulas'!B15+25*AJ20),M20+('Rules &amp; Formulas'!B14+0.4*AJ20)*(MIN(IF(B21="Go AFK",IF(D21="",0,D21),0),Z20/60)*60))-(IF(B21="Go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AFK",IF(D21="",0,D21),0),Z20/60)*60)),0))*(IF((IFERROR(VLOOKUP(C21,Monsters!$T$4:$AH$15,8,FALSE),0))=0,0.35,IFERROR(VLOOKUP(C21,Monsters!$T$4:$AH$15,8,FALSE),0))/(1+0.08*AK20))),MIN(('Rules &amp; Formulas'!B15+25*AJ21),M20))</f>
        <v/>
      </c>
      <c r="N21" s="7">
        <f>(1+0.08+0.12*AA21+0.12*AB21+0.16*AC21)</f>
        <v/>
      </c>
      <c r="O21" s="7">
        <f>((AD21&gt;=1)*1*(1+0.3*AE21))</f>
        <v/>
      </c>
      <c r="P21" s="7">
        <f>IF(OR(B21="Hunt",B21="Go AFK"),(('Rules &amp; Formulas'!B4*N20*('Rules &amp; Formulas'!B5+O20)*IFERROR(VLOOKUP(C21,Monsters!$T$4:$AH$15,10,FALSE),0)*IFERROR(VLOOKUP(C21,Monsters!$T$4:$AH$15,9,FALSE),0))*'Rules &amp; Formulas'!B6),"")</f>
        <v/>
      </c>
      <c r="Q21" s="7">
        <f>IF(OR(B21="Hunt",B21="Go AFK"),('Rules &amp; Formulas'!B4*N20*('Rules &amp; Formulas'!B5+O20)*IFERROR(VLOOKUP(C21,Monsters!$T$4:$AH$15,10,FALSE),0)*IFERROR(VLOOKUP(C21,Monsters!$T$4:$AH$15,9,FALSE),0)),"")</f>
        <v/>
      </c>
      <c r="R21" s="7">
        <f>IF(AND((E21="OK"),B21="Hunt"),IF(B21="Hunt",(('Rules &amp; Formulas'!B4*N20*('Rules &amp; Formulas'!B5+O20)*IFERROR(VLOOKUP(C21,Monsters!$T$4:$AH$15,10,FALSE),0)*IFERROR(VLOOKUP(C21,Monsters!$T$4:$AH$15,9,FALSE),0))*'Rules &amp; Formulas'!B6)*IF(D21="",0,D21),0),IF(AND((E21="OK"),B21="Go AFK"),IF(B21="Go AFK",MIN(IF((IF((IFERROR(VLOOKUP(C21,Monsters!$T$4:$AH$15,8,FALSE),0))=0,0.35,IFERROR(VLOOKUP(C21,Monsters!$T$4:$AH$15,8,FALSE),0))/(1+0.08*AK20))&lt;=0,999999,FLOOR(MIN(('Rules &amp; Formulas'!B15+25*AJ20),M20+('Rules &amp; Formulas'!B14+0.4*AJ20)*(MIN(IF(B21="Go AFK",IF(D21="",0,D21),0),Z20/60)*60))/(IF((IFERROR(VLOOKUP(C21,Monsters!$T$4:$AH$15,8,FALSE),0))=0,0.35,IFERROR(VLOOKUP(C21,Monsters!$T$4:$AH$15,8,FALSE),0))/(1+0.08*AK20)),1)),('Rules &amp; Formulas'!B4*N20*('Rules &amp; Formulas'!B5+O20)*IFERROR(VLOOKUP(C21,Monsters!$T$4:$AH$15,10,FALSE),0)*IFERROR(VLOOKUP(C21,Monsters!$T$4:$AH$15,9,FALSE),0))*(MIN(IF(B21="Go AFK",IF(D21="",0,D21),0),Z20/60)*60)),0),0))</f>
        <v/>
      </c>
      <c r="S21" s="7">
        <f>(105/'Rules &amp; Formulas'!B10)*'Rules &amp; Formulas'!B11</f>
        <v/>
      </c>
      <c r="T21" s="7">
        <f>IF(AD20&gt;=1,(MAX(1,ROUND('Rules &amp; Formulas'!B18*(1+0.3*AE20)*(1+0.4*AF20),0)))*(1000/'Rules &amp; Formulas'!B19)*MIN(0.95,'Rules &amp; Formulas'!B20*SQRT(1+0.55*(AG20&gt;=1))),0)</f>
        <v/>
      </c>
      <c r="U21" s="7">
        <f>S21+T21</f>
        <v/>
      </c>
      <c r="V21" s="7">
        <f>IF(I20&gt;=IF((IFERROR(VLOOKUP(C21,Monsters!$T$4:$AH$15,15,FALSE),0))=0,120,IFERROR(VLOOKUP(C21,Monsters!$T$4:$AH$15,15,FALSE),0)),"YES","no")</f>
        <v/>
      </c>
      <c r="W21" s="7">
        <f>IF(AND(B21="Fight boss",E21="OK"),IF((((105/'Rules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Formulas'!B20*SQRT(1+0.55*(AG20&gt;=1))),0)))),"")</f>
        <v/>
      </c>
      <c r="X21" s="7">
        <f>IF(AND(B21="Fight boss",E21="OK"),IF((IF((((105/'Rules &amp; Formulas'!B10)*'Rules &amp; Formulas'!B11+IF(AD20&gt;=1,(MAX(1,ROUND('Rules &amp; Formulas'!B18*(1+0.3*AE20)*(1+0.4*AF20),0)))*(1000/'Rules &amp; Formulas'!B19)*MIN(0.95,'Rules &amp; Formulas'!B20*SQRT(1+0.55*(AG20&gt;=1))),0)))&lt;=0,9999,(IFERROR(VLOOKUP(C21,Monsters!$T$4:$AH$15,2,FALSE),0))/(((105/'Rules &amp; Formulas'!B10)*'Rules &amp; Formulas'!B11+IF(AD20&gt;=1,(MAX(1,ROUND('Rules &amp; Formulas'!B18*(1+0.3*AE20)*(1+0.4*AF20),0)))*(1000/'Rules &amp; Formulas'!B19)*MIN(0.95,'Rules &amp; Formulas'!B20*SQRT(1+0.55*(AG20&gt;=1))),0))))&lt;='Rules &amp; Formulas'!B12),"WIN","LOSE"),"")</f>
        <v/>
      </c>
      <c r="Y21" s="7">
        <f>IF(B21="Go AFK",MIN(IF(B21="Go AFK",IF(D21="",0,D21),0),Z20/60),"")</f>
        <v/>
      </c>
      <c r="Z21" s="7">
        <f>('Rules &amp; Formulas'!B13+30*AI21)</f>
        <v/>
      </c>
      <c r="AA21">
        <f>COUNTIFS($B$3:$B21,"Buy upgrade",$C$3:$C21,"Idle Power")</f>
        <v/>
      </c>
      <c r="AB21">
        <f>COUNTIFS($B$3:$B21,"Buy upgrade",$C$3:$C21,"Iron Blade")</f>
        <v/>
      </c>
      <c r="AC21">
        <f>COUNTIFS($B$3:$B21,"Buy upgrade",$C$3:$C21,"Steel Blade")</f>
        <v/>
      </c>
      <c r="AD21">
        <f>COUNTIFS($B$3:$B21,"Hire hunter",$C$3:$C21,"Briar")+COUNTIFS($B$3:$B21,"Buy upgrade",$C$3:$C21,"Hire Briar")</f>
        <v/>
      </c>
      <c r="AE21">
        <f>COUNTIFS($B$3:$B21,"Buy upgrade",$C$3:$C21,"Hunter Power")</f>
        <v/>
      </c>
      <c r="AF21">
        <f>COUNTIFS($B$3:$B21,"Buy upgrade",$C$3:$C21,"Bigger Hits")</f>
        <v/>
      </c>
      <c r="AG21">
        <f>COUNTIFS($B$3:$B21,"Buy upgrade",$C$3:$C21,"Swift Walk")</f>
        <v/>
      </c>
      <c r="AH21">
        <f>COUNTIFS($B$3:$B21,"Buy upgrade",$C$3:$C21,"Loot Luck")</f>
        <v/>
      </c>
      <c r="AI21">
        <f>COUNTIFS($B$3:$B21,"Buy upgrade",$C$3:$C21,"Offline Cap")</f>
        <v/>
      </c>
      <c r="AJ21">
        <f>COUNTIFS($B$3:$B21,"Buy upgrade",$C$3:$C21,"Bigger Food Stock")</f>
        <v/>
      </c>
      <c r="AK21">
        <f>COUNTIFS($B$3:$B21,"Buy upgrade",$C$3:$C21,"Food Efficiency")</f>
        <v/>
      </c>
    </row>
    <row r="22">
      <c r="A22" t="n">
        <v>20</v>
      </c>
      <c r="B22" s="6" t="inlineStr">
        <is>
          <t>Buy upgrade</t>
        </is>
      </c>
      <c r="C22" s="6" t="inlineStr">
        <is>
          <t>Bigger Hits</t>
        </is>
      </c>
      <c r="D22" s="6" t="n"/>
      <c r="E22" s="7">
        <f>IF(B22="","",IF(OR(B22="Hunt",B22="Go AFK"),IF(C22="","Can't","OK"),IF(B22="Fight boss",IF(I21&lt;IF((IFERROR(VLOOKUP(C22,Monsters!$T$4:$AH$15,15,FALSE),0))=0,120,IFERROR(VLOOKUP(C22,Monsters!$T$4:$AH$15,15,FALSE),0)),"Can't","OK"),IF(B22="Hire hunter",IF(AND(C22="Briar",AD21&gt;=1),"Can't",IF(H21&lt;IF(C22="Briar",140,IF(C22="Quill",3650,IF(C22="Moss",4850,IF(C22="Ember",12200,0)))),"Can't","OK")),IF(OR(B22="Buy upgrade",B22="Forge/Scrapwork buy"),IF(IFERROR(VLOOKUP(C22,Upgrades!$N$4:$T$47,2,FALSE),0)="points","Can't",IF(IFERROR(VLOOKUP(C22,Upgrades!$N$4:$T$47,2,FALSE),0)="gold",IF(H21&lt;IFERROR(FLOOR(IFERROR(VLOOKUP(C22,Upgrades!$N$4:$T$47,3,FALSE),0)*(IFERROR(VLOOKUP(C22,Upgrades!$N$4:$T$47,4,FALSE),0)^(COUNTIFS($B$3:$B21,"Buy upgrade",$C$3:$C21,C22)+COUNTIFS($B$3:$B21,"Hire hunter",$C$3:$C21,C22)+COUNTIFS($B$3:$B21,"Forge/Scrapwork buy",$C$3:$C21,C22))),1),0),"Can't","OK"),IF(IFERROR(VLOOKUP(C22,Upgrades!$N$4:$T$47,2,FALSE),0)="scraps",IF(J21&lt;IFERROR(FLOOR(IFERROR(VLOOKUP(C22,Upgrades!$N$4:$T$47,3,FALSE),0)*(IFERROR(VLOOKUP(C22,Upgrades!$N$4:$T$47,4,FALSE),0)^(COUNTIFS($B$3:$B21,"Buy upgrade",$C$3:$C21,C22)+COUNTIFS($B$3:$B21,"Hire hunter",$C$3:$C21,C22)+COUNTIFS($B$3:$B21,"Forge/Scrapwork buy",$C$3:$C21,C22))),1),0),"Can't","OK"),IF(IFERROR(VLOOKUP(C22,Upgrades!$N$4:$T$47,2,FALSE),0)="mats","Can't","OK")))),"Check")))))</f>
        <v/>
      </c>
      <c r="F22" s="7">
        <f>IF(B22="","",IF(AND(B22="Fight boss",I21&lt;IF((IFERROR(VLOOKUP(C22,Monsters!$T$4:$AH$15,15,FALSE),0))=0,120,IFERROR(VLOOKUP(C22,Monsters!$T$4:$AH$15,15,FALSE),0))),"Can't — need "&amp;TEXT(IF((IFERROR(VLOOKUP(C22,Monsters!$T$4:$AH$15,15,FALSE),0))=0,120,IFERROR(VLOOKUP(C22,Monsters!$T$4:$AH$15,15,FALSE),0))-I21,"0.0")&amp;" more Slayer points on the meter",IF(AND(B22="Hire hunter",C22="Briar",AD21&gt;=1),"Can't — already hired",IF(AND(B22="Hire hunter",H21&lt;IF(C22="Briar",140,IF(C22="Quill",3650,IF(C22="Moss",4850,IF(C22="Ember",12200,0))))),"Can't — need "&amp;TEXT(IF(C22="Briar",140,IF(C22="Quill",3650,IF(C22="Moss",4850,IF(C22="Ember",12200,0))))-H21,"0")&amp;" more gold",IF(AND(OR(B22="Buy upgrade",B22="Forge/Scrapwork buy"),IFERROR(VLOOKUP(C22,Upgrades!$N$4:$T$47,2,FALSE),0)="points"),"Can't — Sp-wallet spends not tracked here",IF(AND(OR(B22="Buy upgrade",B22="Forge/Scrapwork buy"),IFERROR(VLOOKUP(C22,Upgrades!$N$4:$T$47,2,FALSE),0)="gold",H21&lt;IFERROR(FLOOR(IFERROR(VLOOKUP(C22,Upgrades!$N$4:$T$47,3,FALSE),0)*(IFERROR(VLOOKUP(C22,Upgrades!$N$4:$T$47,4,FALSE),0)^(COUNTIFS($B$3:$B21,"Buy upgrade",$C$3:$C21,C22)+COUNTIFS($B$3:$B21,"Hire hunter",$C$3:$C21,C22)+COUNTIFS($B$3:$B21,"Forge/Scrapwork buy",$C$3:$C21,C22))),1),0)),"Can't — need "&amp;TEXT(IFERROR(FLOOR(IFERROR(VLOOKUP(C22,Upgrades!$N$4:$T$47,3,FALSE),0)*(IFERROR(VLOOKUP(C22,Upgrades!$N$4:$T$47,4,FALSE),0)^(COUNTIFS($B$3:$B21,"Buy upgrade",$C$3:$C21,C22)+COUNTIFS($B$3:$B21,"Hire hunter",$C$3:$C21,C22)+COUNTIFS($B$3:$B21,"Forge/Scrapwork buy",$C$3:$C21,C22))),1),0)-H21,"0")&amp;" more gold",IF(AND(OR(B22="Buy upgrade",B22="Forge/Scrapwork buy"),IFERROR(VLOOKUP(C22,Upgrades!$N$4:$T$47,2,FALSE),0)="scraps",J21&lt;IFERROR(FLOOR(IFERROR(VLOOKUP(C22,Upgrades!$N$4:$T$47,3,FALSE),0)*(IFERROR(VLOOKUP(C22,Upgrades!$N$4:$T$47,4,FALSE),0)^(COUNTIFS($B$3:$B21,"Buy upgrade",$C$3:$C21,C22)+COUNTIFS($B$3:$B21,"Hire hunter",$C$3:$C21,C22)+COUNTIFS($B$3:$B21,"Forge/Scrapwork buy",$C$3:$C21,C22))),1),0)),"Can't — need "&amp;TEXT(IFERROR(FLOOR(IFERROR(VLOOKUP(C22,Upgrades!$N$4:$T$47,3,FALSE),0)*(IFERROR(VLOOKUP(C22,Upgrades!$N$4:$T$47,4,FALSE),0)^(COUNTIFS($B$3:$B21,"Buy upgrade",$C$3:$C21,C22)+COUNTIFS($B$3:$B21,"Hire hunter",$C$3:$C21,C22)+COUNTIFS($B$3:$B21,"Forge/Scrapwork buy",$C$3:$C21,C22))),1),0)-J21,"0")&amp;" more scraps",IF(AND(B22="Fight boss",E22="OK",(IF((((105/'Rules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Formulas'!B12)),"WIN — boss down, next Level unlocks",IF(AND(B22="Fight boss",E22="OK"),"LOSE — TTK "&amp;TEXT(IF((((105/'Rules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Formulas'!B20*SQRT(1+0.55*(AG21&gt;=1))),0)))),"0")&amp;"s &gt; patience "&amp;TEXT('Rules &amp; Formulas'!B12,"0")&amp;"s (leave resets HP)",IF(B22="Go AFK","AFK resolved (see AFK counted h)","Applied")))))))))</f>
        <v/>
      </c>
      <c r="G22" s="7">
        <f>IF(AND((E22="OK"),B22="Fight boss",(IF((((105/'Rules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Formulas'!B12),C22="Elder Thornpelt"),2,IF(AND((E22="OK"),B22="Fight boss",(IF((((105/'Rules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Formulas'!B12),C22="Ashfang Alpha"),3,G21))</f>
        <v/>
      </c>
      <c r="H22" s="7">
        <f>MAX(0,H21+IF(AND((E22="OK"),B22="Hunt"),(IF(B22="Hunt",(('Rules &amp; Formulas'!B4*N21*('Rules &amp; Formulas'!B5+O21)*IFERROR(VLOOKUP(C22,Monsters!$T$4:$AH$15,10,FALSE),0)*IFERROR(VLOOKUP(C22,Monsters!$T$4:$AH$15,9,FALSE),0))*'Rules &amp; Formulas'!B6)*IF(D22="",0,D22),0))*(IFERROR(VLOOKUP(C22,Monsters!$T$4:$AH$15,3,FALSE),0))*(1+0.1*AH21)+(IF(OR(B22&lt;&gt;"Hunt",IFERROR(VLOOKUP(C22,Monsters!$T$4:$AH$15,6,FALSE),0)=0),0,FLOOR((IF(B22="Hunt",(('Rules &amp; Formulas'!B4*N21*('Rules &amp; Formulas'!B5+O21)*IFERROR(VLOOKUP(C22,Monsters!$T$4:$AH$15,10,FALSE),0)*IFERROR(VLOOKUP(C22,Monsters!$T$4:$AH$15,9,FALSE),0))*'Rules &amp; Formulas'!B6)*IF(D22="",0,D22),0))/MAX(1,IFERROR(VLOOKUP(C22,Monsters!$T$4:$AH$15,6,FALSE),0)),1)))*(IFERROR(VLOOKUP(C22,Monsters!$T$4:$AH$15,7,FALSE),0))*0.5*(1+0.1*AH21),0)+IF(AND((E22="OK"),B22="Go AFK"),(IF(B22="Go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AFK",IF(D22="",0,D22),0),Z21/60)*60)),0))*(IFERROR(VLOOKUP(C22,Monsters!$T$4:$AH$15,3,FALSE),0))*(1+0.1*AH21)+(IF(OR(B22&lt;&gt;"Go AFK",IFERROR(VLOOKUP(C22,Monsters!$T$4:$AH$15,6,FALSE),0)=0),0,FLOOR((IF(B22="Go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AFK",IF(D22="",0,D22),0),Z21/60)*60)),0))/MAX(1,IFERROR(VLOOKUP(C22,Monsters!$T$4:$AH$15,6,FALSE),0)),1)))*(IFERROR(VLOOKUP(C22,Monsters!$T$4:$AH$15,7,FALSE),0))*0.5*(1+0.1*AH21),0)+IF(AND((E22="OK"),B22="Fight boss",(IF((((105/'Rules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Formulas'!B12)),IFERROR(VLOOKUP(C22,Monsters!$T$4:$AH$15,3,FALSE),0),0)-IF(AND((E22="OK"),OR(B22="Buy upgrade",B22="Forge/Scrapwork buy"),IFERROR(VLOOKUP(C22,Upgrades!$N$4:$T$47,2,FALSE),0)="gold"),IFERROR(FLOOR(IFERROR(VLOOKUP(C22,Upgrades!$N$4:$T$47,3,FALSE),0)*(IFERROR(VLOOKUP(C22,Upgrades!$N$4:$T$47,4,FALSE),0)^(COUNTIFS($B$3:$B21,"Buy upgrade",$C$3:$C21,C22)+COUNTIFS($B$3:$B21,"Hire hunter",$C$3:$C21,C22)+COUNTIFS($B$3:$B21,"Forge/Scrapwork buy",$C$3:$C21,C22))),1),0),0)-IF(AND((E22="OK"),B22="Hire hunter"),IF(C22="Briar",140,IF(C22="Quill",3650,IF(C22="Moss",4850,IF(C22="Ember",12200,0)))),0))</f>
        <v/>
      </c>
      <c r="I22" s="7">
        <f>IF(AND((E22="OK"),B22="Fight boss",(IF((((105/'Rules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Formulas'!B12)),0,MIN(IF(G21&lt;=1,120,IF(G21=2,280,600)),I21+IF(AND((E22="OK"),B22="Hunt"),((IF(B22="Hunt",(('Rules &amp; Formulas'!B4*N21*('Rules &amp; Formulas'!B5+O21)*IFERROR(VLOOKUP(C22,Monsters!$T$4:$AH$15,10,FALSE),0)*IFERROR(VLOOKUP(C22,Monsters!$T$4:$AH$15,9,FALSE),0))*'Rules &amp; Formulas'!B6)*IF(D22="",0,D22),0))*(IFERROR(VLOOKUP(C22,Monsters!$T$4:$AH$15,4,FALSE),0))+(IF(OR(B22&lt;&gt;"Hunt",IFERROR(VLOOKUP(C22,Monsters!$T$4:$AH$15,6,FALSE),0)=0),0,FLOOR((IF(B22="Hunt",(('Rules &amp; Formulas'!B4*N21*('Rules &amp; Formulas'!B5+O21)*IFERROR(VLOOKUP(C22,Monsters!$T$4:$AH$15,10,FALSE),0)*IFERROR(VLOOKUP(C22,Monsters!$T$4:$AH$15,9,FALSE),0))*'Rules &amp; Formulas'!B6)*IF(D22="",0,D22),0))/MAX(1,IFERROR(VLOOKUP(C22,Monsters!$T$4:$AH$15,6,FALSE),0)),1)))*(IFERROR(VLOOKUP(C22,Monsters!$T$4:$AH$15,7,FALSE),0))),0)+IF(AND((E22="OK"),B22="Go AFK"),((IF(B22="Go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AFK",IF(D22="",0,D22),0),Z21/60)*60)),0))*(IFERROR(VLOOKUP(C22,Monsters!$T$4:$AH$15,4,FALSE),0))+(IF(OR(B22&lt;&gt;"Go AFK",IFERROR(VLOOKUP(C22,Monsters!$T$4:$AH$15,6,FALSE),0)=0),0,FLOOR((IF(B22="Go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AFK",IF(D22="",0,D22),0),Z21/60)*60)),0))/MAX(1,IFERROR(VLOOKUP(C22,Monsters!$T$4:$AH$15,6,FALSE),0)),1)))*(IFERROR(VLOOKUP(C22,Monsters!$T$4:$AH$15,7,FALSE),0))),0)))</f>
        <v/>
      </c>
      <c r="J22" s="7">
        <f>MAX(0,J21+IF(AND((E22="OK"),B22="Hunt"),(IF(B22="Hunt",(('Rules &amp; Formulas'!B4*N21*('Rules &amp; Formulas'!B5+O21)*IFERROR(VLOOKUP(C22,Monsters!$T$4:$AH$15,10,FALSE),0)*IFERROR(VLOOKUP(C22,Monsters!$T$4:$AH$15,9,FALSE),0))*'Rules &amp; Formulas'!B6)*IF(D22="",0,D22),0))*(IFERROR(VLOOKUP(C22,Monsters!$T$4:$AH$15,5,FALSE),0)),0)+IF(AND((E22="OK"),B22="Go AFK"),(IF(B22="Go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AFK",IF(D22="",0,D22),0),Z21/60)*60)),0))*(IFERROR(VLOOKUP(C22,Monsters!$T$4:$AH$15,5,FALSE),0)),0)-IF(AND((E22="OK"),OR(B22="Buy upgrade",B22="Forge/Scrapwork buy"),IFERROR(VLOOKUP(C22,Upgrades!$N$4:$T$47,2,FALSE),0)="scraps"),IFERROR(FLOOR(IFERROR(VLOOKUP(C22,Upgrades!$N$4:$T$47,3,FALSE),0)*(IFERROR(VLOOKUP(C22,Upgrades!$N$4:$T$47,4,FALSE),0)^(COUNTIFS($B$3:$B21,"Buy upgrade",$C$3:$C21,C22)+COUNTIFS($B$3:$B21,"Hire hunter",$C$3:$C21,C22)+COUNTIFS($B$3:$B21,"Forge/Scrapwork buy",$C$3:$C21,C22))),1),0),0))</f>
        <v/>
      </c>
      <c r="K22" s="7">
        <f>MAX(0,K21+IF(AND((E22="OK"),B22="Hunt"),IF(C22="Thornpelt Bear",(IF(B22="Hunt",(('Rules &amp; Formulas'!B4*N21*('Rules &amp; Formulas'!B5+O21)*IFERROR(VLOOKUP(C22,Monsters!$T$4:$AH$15,10,FALSE),0)*IFERROR(VLOOKUP(C22,Monsters!$T$4:$AH$15,9,FALSE),0))*'Rules &amp; Formulas'!B6)*IF(D22="",0,D22),0))*0.12,0),0)+IF(AND((E22="OK"),B22="Go AFK"),IF(C22="Thornpelt Bear",(IF(B22="Go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AFK",IF(D22="",0,D22),0),Z21/60)*60)),0))*0.12,0),0))</f>
        <v/>
      </c>
      <c r="L22" s="7">
        <f>MAX(0,L21+IF(AND((E22="OK"),B22="Hunt"),IF(C22="Dire Thornpelt",(IF(B22="Hunt",(('Rules &amp; Formulas'!B4*N21*('Rules &amp; Formulas'!B5+O21)*IFERROR(VLOOKUP(C22,Monsters!$T$4:$AH$15,10,FALSE),0)*IFERROR(VLOOKUP(C22,Monsters!$T$4:$AH$15,9,FALSE),0))*'Rules &amp; Formulas'!B6)*IF(D22="",0,D22),0))*0.1,0),0)+IF(AND((E22="OK"),B22="Go AFK"),IF(C22="Dire Thornpelt",(IF(B22="Go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AFK",IF(D22="",0,D22),0),Z21/60)*60)),0))*0.1,0),0))</f>
        <v/>
      </c>
      <c r="M22" s="7">
        <f>IF(AND((E22="OK"),B22="Go AFK"),MAX(0,MIN(('Rules &amp; Formulas'!B15+25*AJ21),M21+('Rules &amp; Formulas'!B14+0.4*AJ21)*(MIN(IF(B22="Go AFK",IF(D22="",0,D22),0),Z21/60)*60))-(IF(B22="Go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AFK",IF(D22="",0,D22),0),Z21/60)*60)),0))*(IF((IFERROR(VLOOKUP(C22,Monsters!$T$4:$AH$15,8,FALSE),0))=0,0.35,IFERROR(VLOOKUP(C22,Monsters!$T$4:$AH$15,8,FALSE),0))/(1+0.08*AK21))),MIN(('Rules &amp; Formulas'!B15+25*AJ22),M21))</f>
        <v/>
      </c>
      <c r="N22" s="7">
        <f>(1+0.08+0.12*AA22+0.12*AB22+0.16*AC22)</f>
        <v/>
      </c>
      <c r="O22" s="7">
        <f>((AD22&gt;=1)*1*(1+0.3*AE22))</f>
        <v/>
      </c>
      <c r="P22" s="7">
        <f>IF(OR(B22="Hunt",B22="Go AFK"),(('Rules &amp; Formulas'!B4*N21*('Rules &amp; Formulas'!B5+O21)*IFERROR(VLOOKUP(C22,Monsters!$T$4:$AH$15,10,FALSE),0)*IFERROR(VLOOKUP(C22,Monsters!$T$4:$AH$15,9,FALSE),0))*'Rules &amp; Formulas'!B6),"")</f>
        <v/>
      </c>
      <c r="Q22" s="7">
        <f>IF(OR(B22="Hunt",B22="Go AFK"),('Rules &amp; Formulas'!B4*N21*('Rules &amp; Formulas'!B5+O21)*IFERROR(VLOOKUP(C22,Monsters!$T$4:$AH$15,10,FALSE),0)*IFERROR(VLOOKUP(C22,Monsters!$T$4:$AH$15,9,FALSE),0)),"")</f>
        <v/>
      </c>
      <c r="R22" s="7">
        <f>IF(AND((E22="OK"),B22="Hunt"),IF(B22="Hunt",(('Rules &amp; Formulas'!B4*N21*('Rules &amp; Formulas'!B5+O21)*IFERROR(VLOOKUP(C22,Monsters!$T$4:$AH$15,10,FALSE),0)*IFERROR(VLOOKUP(C22,Monsters!$T$4:$AH$15,9,FALSE),0))*'Rules &amp; Formulas'!B6)*IF(D22="",0,D22),0),IF(AND((E22="OK"),B22="Go AFK"),IF(B22="Go AFK",MIN(IF((IF((IFERROR(VLOOKUP(C22,Monsters!$T$4:$AH$15,8,FALSE),0))=0,0.35,IFERROR(VLOOKUP(C22,Monsters!$T$4:$AH$15,8,FALSE),0))/(1+0.08*AK21))&lt;=0,999999,FLOOR(MIN(('Rules &amp; Formulas'!B15+25*AJ21),M21+('Rules &amp; Formulas'!B14+0.4*AJ21)*(MIN(IF(B22="Go AFK",IF(D22="",0,D22),0),Z21/60)*60))/(IF((IFERROR(VLOOKUP(C22,Monsters!$T$4:$AH$15,8,FALSE),0))=0,0.35,IFERROR(VLOOKUP(C22,Monsters!$T$4:$AH$15,8,FALSE),0))/(1+0.08*AK21)),1)),('Rules &amp; Formulas'!B4*N21*('Rules &amp; Formulas'!B5+O21)*IFERROR(VLOOKUP(C22,Monsters!$T$4:$AH$15,10,FALSE),0)*IFERROR(VLOOKUP(C22,Monsters!$T$4:$AH$15,9,FALSE),0))*(MIN(IF(B22="Go AFK",IF(D22="",0,D22),0),Z21/60)*60)),0),0))</f>
        <v/>
      </c>
      <c r="S22" s="7">
        <f>(105/'Rules &amp; Formulas'!B10)*'Rules &amp; Formulas'!B11</f>
        <v/>
      </c>
      <c r="T22" s="7">
        <f>IF(AD21&gt;=1,(MAX(1,ROUND('Rules &amp; Formulas'!B18*(1+0.3*AE21)*(1+0.4*AF21),0)))*(1000/'Rules &amp; Formulas'!B19)*MIN(0.95,'Rules &amp; Formulas'!B20*SQRT(1+0.55*(AG21&gt;=1))),0)</f>
        <v/>
      </c>
      <c r="U22" s="7">
        <f>S22+T22</f>
        <v/>
      </c>
      <c r="V22" s="7">
        <f>IF(I21&gt;=IF((IFERROR(VLOOKUP(C22,Monsters!$T$4:$AH$15,15,FALSE),0))=0,120,IFERROR(VLOOKUP(C22,Monsters!$T$4:$AH$15,15,FALSE),0)),"YES","no")</f>
        <v/>
      </c>
      <c r="W22" s="7">
        <f>IF(AND(B22="Fight boss",E22="OK"),IF((((105/'Rules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Formulas'!B20*SQRT(1+0.55*(AG21&gt;=1))),0)))),"")</f>
        <v/>
      </c>
      <c r="X22" s="7">
        <f>IF(AND(B22="Fight boss",E22="OK"),IF((IF((((105/'Rules &amp; Formulas'!B10)*'Rules &amp; Formulas'!B11+IF(AD21&gt;=1,(MAX(1,ROUND('Rules &amp; Formulas'!B18*(1+0.3*AE21)*(1+0.4*AF21),0)))*(1000/'Rules &amp; Formulas'!B19)*MIN(0.95,'Rules &amp; Formulas'!B20*SQRT(1+0.55*(AG21&gt;=1))),0)))&lt;=0,9999,(IFERROR(VLOOKUP(C22,Monsters!$T$4:$AH$15,2,FALSE),0))/(((105/'Rules &amp; Formulas'!B10)*'Rules &amp; Formulas'!B11+IF(AD21&gt;=1,(MAX(1,ROUND('Rules &amp; Formulas'!B18*(1+0.3*AE21)*(1+0.4*AF21),0)))*(1000/'Rules &amp; Formulas'!B19)*MIN(0.95,'Rules &amp; Formulas'!B20*SQRT(1+0.55*(AG21&gt;=1))),0))))&lt;='Rules &amp; Formulas'!B12),"WIN","LOSE"),"")</f>
        <v/>
      </c>
      <c r="Y22" s="7">
        <f>IF(B22="Go AFK",MIN(IF(B22="Go AFK",IF(D22="",0,D22),0),Z21/60),"")</f>
        <v/>
      </c>
      <c r="Z22" s="7">
        <f>('Rules &amp; Formulas'!B13+30*AI22)</f>
        <v/>
      </c>
      <c r="AA22">
        <f>COUNTIFS($B$3:$B22,"Buy upgrade",$C$3:$C22,"Idle Power")</f>
        <v/>
      </c>
      <c r="AB22">
        <f>COUNTIFS($B$3:$B22,"Buy upgrade",$C$3:$C22,"Iron Blade")</f>
        <v/>
      </c>
      <c r="AC22">
        <f>COUNTIFS($B$3:$B22,"Buy upgrade",$C$3:$C22,"Steel Blade")</f>
        <v/>
      </c>
      <c r="AD22">
        <f>COUNTIFS($B$3:$B22,"Hire hunter",$C$3:$C22,"Briar")+COUNTIFS($B$3:$B22,"Buy upgrade",$C$3:$C22,"Hire Briar")</f>
        <v/>
      </c>
      <c r="AE22">
        <f>COUNTIFS($B$3:$B22,"Buy upgrade",$C$3:$C22,"Hunter Power")</f>
        <v/>
      </c>
      <c r="AF22">
        <f>COUNTIFS($B$3:$B22,"Buy upgrade",$C$3:$C22,"Bigger Hits")</f>
        <v/>
      </c>
      <c r="AG22">
        <f>COUNTIFS($B$3:$B22,"Buy upgrade",$C$3:$C22,"Swift Walk")</f>
        <v/>
      </c>
      <c r="AH22">
        <f>COUNTIFS($B$3:$B22,"Buy upgrade",$C$3:$C22,"Loot Luck")</f>
        <v/>
      </c>
      <c r="AI22">
        <f>COUNTIFS($B$3:$B22,"Buy upgrade",$C$3:$C22,"Offline Cap")</f>
        <v/>
      </c>
      <c r="AJ22">
        <f>COUNTIFS($B$3:$B22,"Buy upgrade",$C$3:$C22,"Bigger Food Stock")</f>
        <v/>
      </c>
      <c r="AK22">
        <f>COUNTIFS($B$3:$B22,"Buy upgrade",$C$3:$C22,"Food Efficiency")</f>
        <v/>
      </c>
    </row>
    <row r="23">
      <c r="A23" t="n">
        <v>21</v>
      </c>
      <c r="B23" s="6" t="n"/>
      <c r="C23" s="6" t="n"/>
      <c r="D23" s="6" t="n"/>
      <c r="E23" s="7">
        <f>IF(B23="","",IF(OR(B23="Hunt",B23="Go AFK"),IF(C23="","Can't","OK"),IF(B23="Fight boss",IF(I22&lt;IF((IFERROR(VLOOKUP(C23,Monsters!$T$4:$AH$15,15,FALSE),0))=0,120,IFERROR(VLOOKUP(C23,Monsters!$T$4:$AH$15,15,FALSE),0)),"Can't","OK"),IF(B23="Hire hunter",IF(AND(C23="Briar",AD22&gt;=1),"Can't",IF(H22&lt;IF(C23="Briar",140,IF(C23="Quill",3650,IF(C23="Moss",4850,IF(C23="Ember",12200,0)))),"Can't","OK")),IF(OR(B23="Buy upgrade",B23="Forge/Scrapwork buy"),IF(IFERROR(VLOOKUP(C23,Upgrades!$N$4:$T$47,2,FALSE),0)="points","Can't",IF(IFERROR(VLOOKUP(C23,Upgrades!$N$4:$T$47,2,FALSE),0)="gold",IF(H22&lt;IFERROR(FLOOR(IFERROR(VLOOKUP(C23,Upgrades!$N$4:$T$47,3,FALSE),0)*(IFERROR(VLOOKUP(C23,Upgrades!$N$4:$T$47,4,FALSE),0)^(COUNTIFS($B$3:$B22,"Buy upgrade",$C$3:$C22,C23)+COUNTIFS($B$3:$B22,"Hire hunter",$C$3:$C22,C23)+COUNTIFS($B$3:$B22,"Forge/Scrapwork buy",$C$3:$C22,C23))),1),0),"Can't","OK"),IF(IFERROR(VLOOKUP(C23,Upgrades!$N$4:$T$47,2,FALSE),0)="scraps",IF(J22&lt;IFERROR(FLOOR(IFERROR(VLOOKUP(C23,Upgrades!$N$4:$T$47,3,FALSE),0)*(IFERROR(VLOOKUP(C23,Upgrades!$N$4:$T$47,4,FALSE),0)^(COUNTIFS($B$3:$B22,"Buy upgrade",$C$3:$C22,C23)+COUNTIFS($B$3:$B22,"Hire hunter",$C$3:$C22,C23)+COUNTIFS($B$3:$B22,"Forge/Scrapwork buy",$C$3:$C22,C23))),1),0),"Can't","OK"),IF(IFERROR(VLOOKUP(C23,Upgrades!$N$4:$T$47,2,FALSE),0)="mats","Can't","OK")))),"Check")))))</f>
        <v/>
      </c>
      <c r="F23" s="7">
        <f>IF(B23="","",IF(AND(B23="Fight boss",I22&lt;IF((IFERROR(VLOOKUP(C23,Monsters!$T$4:$AH$15,15,FALSE),0))=0,120,IFERROR(VLOOKUP(C23,Monsters!$T$4:$AH$15,15,FALSE),0))),"Can't — need "&amp;TEXT(IF((IFERROR(VLOOKUP(C23,Monsters!$T$4:$AH$15,15,FALSE),0))=0,120,IFERROR(VLOOKUP(C23,Monsters!$T$4:$AH$15,15,FALSE),0))-I22,"0.0")&amp;" more Slayer points on the meter",IF(AND(B23="Hire hunter",C23="Briar",AD22&gt;=1),"Can't — already hired",IF(AND(B23="Hire hunter",H22&lt;IF(C23="Briar",140,IF(C23="Quill",3650,IF(C23="Moss",4850,IF(C23="Ember",12200,0))))),"Can't — need "&amp;TEXT(IF(C23="Briar",140,IF(C23="Quill",3650,IF(C23="Moss",4850,IF(C23="Ember",12200,0))))-H22,"0")&amp;" more gold",IF(AND(OR(B23="Buy upgrade",B23="Forge/Scrapwork buy"),IFERROR(VLOOKUP(C23,Upgrades!$N$4:$T$47,2,FALSE),0)="points"),"Can't — Sp-wallet spends not tracked here",IF(AND(OR(B23="Buy upgrade",B23="Forge/Scrapwork buy"),IFERROR(VLOOKUP(C23,Upgrades!$N$4:$T$47,2,FALSE),0)="gold",H22&lt;IFERROR(FLOOR(IFERROR(VLOOKUP(C23,Upgrades!$N$4:$T$47,3,FALSE),0)*(IFERROR(VLOOKUP(C23,Upgrades!$N$4:$T$47,4,FALSE),0)^(COUNTIFS($B$3:$B22,"Buy upgrade",$C$3:$C22,C23)+COUNTIFS($B$3:$B22,"Hire hunter",$C$3:$C22,C23)+COUNTIFS($B$3:$B22,"Forge/Scrapwork buy",$C$3:$C22,C23))),1),0)),"Can't — need "&amp;TEXT(IFERROR(FLOOR(IFERROR(VLOOKUP(C23,Upgrades!$N$4:$T$47,3,FALSE),0)*(IFERROR(VLOOKUP(C23,Upgrades!$N$4:$T$47,4,FALSE),0)^(COUNTIFS($B$3:$B22,"Buy upgrade",$C$3:$C22,C23)+COUNTIFS($B$3:$B22,"Hire hunter",$C$3:$C22,C23)+COUNTIFS($B$3:$B22,"Forge/Scrapwork buy",$C$3:$C22,C23))),1),0)-H22,"0")&amp;" more gold",IF(AND(OR(B23="Buy upgrade",B23="Forge/Scrapwork buy"),IFERROR(VLOOKUP(C23,Upgrades!$N$4:$T$47,2,FALSE),0)="scraps",J22&lt;IFERROR(FLOOR(IFERROR(VLOOKUP(C23,Upgrades!$N$4:$T$47,3,FALSE),0)*(IFERROR(VLOOKUP(C23,Upgrades!$N$4:$T$47,4,FALSE),0)^(COUNTIFS($B$3:$B22,"Buy upgrade",$C$3:$C22,C23)+COUNTIFS($B$3:$B22,"Hire hunter",$C$3:$C22,C23)+COUNTIFS($B$3:$B22,"Forge/Scrapwork buy",$C$3:$C22,C23))),1),0)),"Can't — need "&amp;TEXT(IFERROR(FLOOR(IFERROR(VLOOKUP(C23,Upgrades!$N$4:$T$47,3,FALSE),0)*(IFERROR(VLOOKUP(C23,Upgrades!$N$4:$T$47,4,FALSE),0)^(COUNTIFS($B$3:$B22,"Buy upgrade",$C$3:$C22,C23)+COUNTIFS($B$3:$B22,"Hire hunter",$C$3:$C22,C23)+COUNTIFS($B$3:$B22,"Forge/Scrapwork buy",$C$3:$C22,C23))),1),0)-J22,"0")&amp;" more scraps",IF(AND(B23="Fight boss",E23="OK",(IF((((105/'Rules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Formulas'!B12)),"WIN — boss down, next Level unlocks",IF(AND(B23="Fight boss",E23="OK"),"LOSE — TTK "&amp;TEXT(IF((((105/'Rules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Formulas'!B20*SQRT(1+0.55*(AG22&gt;=1))),0)))),"0")&amp;"s &gt; patience "&amp;TEXT('Rules &amp; Formulas'!B12,"0")&amp;"s (leave resets HP)",IF(B23="Go AFK","AFK resolved (see AFK counted h)","Applied")))))))))</f>
        <v/>
      </c>
      <c r="G23" s="7">
        <f>IF(AND((E23="OK"),B23="Fight boss",(IF((((105/'Rules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Formulas'!B12),C23="Elder Thornpelt"),2,IF(AND((E23="OK"),B23="Fight boss",(IF((((105/'Rules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Formulas'!B12),C23="Ashfang Alpha"),3,G22))</f>
        <v/>
      </c>
      <c r="H23" s="7">
        <f>MAX(0,H22+IF(AND((E23="OK"),B23="Hunt"),(IF(B23="Hunt",(('Rules &amp; Formulas'!B4*N22*('Rules &amp; Formulas'!B5+O22)*IFERROR(VLOOKUP(C23,Monsters!$T$4:$AH$15,10,FALSE),0)*IFERROR(VLOOKUP(C23,Monsters!$T$4:$AH$15,9,FALSE),0))*'Rules &amp; Formulas'!B6)*IF(D23="",0,D23),0))*(IFERROR(VLOOKUP(C23,Monsters!$T$4:$AH$15,3,FALSE),0))*(1+0.1*AH22)+(IF(OR(B23&lt;&gt;"Hunt",IFERROR(VLOOKUP(C23,Monsters!$T$4:$AH$15,6,FALSE),0)=0),0,FLOOR((IF(B23="Hunt",(('Rules &amp; Formulas'!B4*N22*('Rules &amp; Formulas'!B5+O22)*IFERROR(VLOOKUP(C23,Monsters!$T$4:$AH$15,10,FALSE),0)*IFERROR(VLOOKUP(C23,Monsters!$T$4:$AH$15,9,FALSE),0))*'Rules &amp; Formulas'!B6)*IF(D23="",0,D23),0))/MAX(1,IFERROR(VLOOKUP(C23,Monsters!$T$4:$AH$15,6,FALSE),0)),1)))*(IFERROR(VLOOKUP(C23,Monsters!$T$4:$AH$15,7,FALSE),0))*0.5*(1+0.1*AH22),0)+IF(AND((E23="OK"),B23="Go AFK"),(IF(B23="Go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AFK",IF(D23="",0,D23),0),Z22/60)*60)),0))*(IFERROR(VLOOKUP(C23,Monsters!$T$4:$AH$15,3,FALSE),0))*(1+0.1*AH22)+(IF(OR(B23&lt;&gt;"Go AFK",IFERROR(VLOOKUP(C23,Monsters!$T$4:$AH$15,6,FALSE),0)=0),0,FLOOR((IF(B23="Go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AFK",IF(D23="",0,D23),0),Z22/60)*60)),0))/MAX(1,IFERROR(VLOOKUP(C23,Monsters!$T$4:$AH$15,6,FALSE),0)),1)))*(IFERROR(VLOOKUP(C23,Monsters!$T$4:$AH$15,7,FALSE),0))*0.5*(1+0.1*AH22),0)+IF(AND((E23="OK"),B23="Fight boss",(IF((((105/'Rules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Formulas'!B12)),IFERROR(VLOOKUP(C23,Monsters!$T$4:$AH$15,3,FALSE),0),0)-IF(AND((E23="OK"),OR(B23="Buy upgrade",B23="Forge/Scrapwork buy"),IFERROR(VLOOKUP(C23,Upgrades!$N$4:$T$47,2,FALSE),0)="gold"),IFERROR(FLOOR(IFERROR(VLOOKUP(C23,Upgrades!$N$4:$T$47,3,FALSE),0)*(IFERROR(VLOOKUP(C23,Upgrades!$N$4:$T$47,4,FALSE),0)^(COUNTIFS($B$3:$B22,"Buy upgrade",$C$3:$C22,C23)+COUNTIFS($B$3:$B22,"Hire hunter",$C$3:$C22,C23)+COUNTIFS($B$3:$B22,"Forge/Scrapwork buy",$C$3:$C22,C23))),1),0),0)-IF(AND((E23="OK"),B23="Hire hunter"),IF(C23="Briar",140,IF(C23="Quill",3650,IF(C23="Moss",4850,IF(C23="Ember",12200,0)))),0))</f>
        <v/>
      </c>
      <c r="I23" s="7">
        <f>IF(AND((E23="OK"),B23="Fight boss",(IF((((105/'Rules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Formulas'!B12)),0,MIN(IF(G22&lt;=1,120,IF(G22=2,280,600)),I22+IF(AND((E23="OK"),B23="Hunt"),((IF(B23="Hunt",(('Rules &amp; Formulas'!B4*N22*('Rules &amp; Formulas'!B5+O22)*IFERROR(VLOOKUP(C23,Monsters!$T$4:$AH$15,10,FALSE),0)*IFERROR(VLOOKUP(C23,Monsters!$T$4:$AH$15,9,FALSE),0))*'Rules &amp; Formulas'!B6)*IF(D23="",0,D23),0))*(IFERROR(VLOOKUP(C23,Monsters!$T$4:$AH$15,4,FALSE),0))+(IF(OR(B23&lt;&gt;"Hunt",IFERROR(VLOOKUP(C23,Monsters!$T$4:$AH$15,6,FALSE),0)=0),0,FLOOR((IF(B23="Hunt",(('Rules &amp; Formulas'!B4*N22*('Rules &amp; Formulas'!B5+O22)*IFERROR(VLOOKUP(C23,Monsters!$T$4:$AH$15,10,FALSE),0)*IFERROR(VLOOKUP(C23,Monsters!$T$4:$AH$15,9,FALSE),0))*'Rules &amp; Formulas'!B6)*IF(D23="",0,D23),0))/MAX(1,IFERROR(VLOOKUP(C23,Monsters!$T$4:$AH$15,6,FALSE),0)),1)))*(IFERROR(VLOOKUP(C23,Monsters!$T$4:$AH$15,7,FALSE),0))),0)+IF(AND((E23="OK"),B23="Go AFK"),((IF(B23="Go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AFK",IF(D23="",0,D23),0),Z22/60)*60)),0))*(IFERROR(VLOOKUP(C23,Monsters!$T$4:$AH$15,4,FALSE),0))+(IF(OR(B23&lt;&gt;"Go AFK",IFERROR(VLOOKUP(C23,Monsters!$T$4:$AH$15,6,FALSE),0)=0),0,FLOOR((IF(B23="Go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AFK",IF(D23="",0,D23),0),Z22/60)*60)),0))/MAX(1,IFERROR(VLOOKUP(C23,Monsters!$T$4:$AH$15,6,FALSE),0)),1)))*(IFERROR(VLOOKUP(C23,Monsters!$T$4:$AH$15,7,FALSE),0))),0)))</f>
        <v/>
      </c>
      <c r="J23" s="7">
        <f>MAX(0,J22+IF(AND((E23="OK"),B23="Hunt"),(IF(B23="Hunt",(('Rules &amp; Formulas'!B4*N22*('Rules &amp; Formulas'!B5+O22)*IFERROR(VLOOKUP(C23,Monsters!$T$4:$AH$15,10,FALSE),0)*IFERROR(VLOOKUP(C23,Monsters!$T$4:$AH$15,9,FALSE),0))*'Rules &amp; Formulas'!B6)*IF(D23="",0,D23),0))*(IFERROR(VLOOKUP(C23,Monsters!$T$4:$AH$15,5,FALSE),0)),0)+IF(AND((E23="OK"),B23="Go AFK"),(IF(B23="Go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AFK",IF(D23="",0,D23),0),Z22/60)*60)),0))*(IFERROR(VLOOKUP(C23,Monsters!$T$4:$AH$15,5,FALSE),0)),0)-IF(AND((E23="OK"),OR(B23="Buy upgrade",B23="Forge/Scrapwork buy"),IFERROR(VLOOKUP(C23,Upgrades!$N$4:$T$47,2,FALSE),0)="scraps"),IFERROR(FLOOR(IFERROR(VLOOKUP(C23,Upgrades!$N$4:$T$47,3,FALSE),0)*(IFERROR(VLOOKUP(C23,Upgrades!$N$4:$T$47,4,FALSE),0)^(COUNTIFS($B$3:$B22,"Buy upgrade",$C$3:$C22,C23)+COUNTIFS($B$3:$B22,"Hire hunter",$C$3:$C22,C23)+COUNTIFS($B$3:$B22,"Forge/Scrapwork buy",$C$3:$C22,C23))),1),0),0))</f>
        <v/>
      </c>
      <c r="K23" s="7">
        <f>MAX(0,K22+IF(AND((E23="OK"),B23="Hunt"),IF(C23="Thornpelt Bear",(IF(B23="Hunt",(('Rules &amp; Formulas'!B4*N22*('Rules &amp; Formulas'!B5+O22)*IFERROR(VLOOKUP(C23,Monsters!$T$4:$AH$15,10,FALSE),0)*IFERROR(VLOOKUP(C23,Monsters!$T$4:$AH$15,9,FALSE),0))*'Rules &amp; Formulas'!B6)*IF(D23="",0,D23),0))*0.12,0),0)+IF(AND((E23="OK"),B23="Go AFK"),IF(C23="Thornpelt Bear",(IF(B23="Go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AFK",IF(D23="",0,D23),0),Z22/60)*60)),0))*0.12,0),0))</f>
        <v/>
      </c>
      <c r="L23" s="7">
        <f>MAX(0,L22+IF(AND((E23="OK"),B23="Hunt"),IF(C23="Dire Thornpelt",(IF(B23="Hunt",(('Rules &amp; Formulas'!B4*N22*('Rules &amp; Formulas'!B5+O22)*IFERROR(VLOOKUP(C23,Monsters!$T$4:$AH$15,10,FALSE),0)*IFERROR(VLOOKUP(C23,Monsters!$T$4:$AH$15,9,FALSE),0))*'Rules &amp; Formulas'!B6)*IF(D23="",0,D23),0))*0.1,0),0)+IF(AND((E23="OK"),B23="Go AFK"),IF(C23="Dire Thornpelt",(IF(B23="Go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AFK",IF(D23="",0,D23),0),Z22/60)*60)),0))*0.1,0),0))</f>
        <v/>
      </c>
      <c r="M23" s="7">
        <f>IF(AND((E23="OK"),B23="Go AFK"),MAX(0,MIN(('Rules &amp; Formulas'!B15+25*AJ22),M22+('Rules &amp; Formulas'!B14+0.4*AJ22)*(MIN(IF(B23="Go AFK",IF(D23="",0,D23),0),Z22/60)*60))-(IF(B23="Go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AFK",IF(D23="",0,D23),0),Z22/60)*60)),0))*(IF((IFERROR(VLOOKUP(C23,Monsters!$T$4:$AH$15,8,FALSE),0))=0,0.35,IFERROR(VLOOKUP(C23,Monsters!$T$4:$AH$15,8,FALSE),0))/(1+0.08*AK22))),MIN(('Rules &amp; Formulas'!B15+25*AJ23),M22))</f>
        <v/>
      </c>
      <c r="N23" s="7">
        <f>(1+0.08+0.12*AA23+0.12*AB23+0.16*AC23)</f>
        <v/>
      </c>
      <c r="O23" s="7">
        <f>((AD23&gt;=1)*1*(1+0.3*AE23))</f>
        <v/>
      </c>
      <c r="P23" s="7">
        <f>IF(OR(B23="Hunt",B23="Go AFK"),(('Rules &amp; Formulas'!B4*N22*('Rules &amp; Formulas'!B5+O22)*IFERROR(VLOOKUP(C23,Monsters!$T$4:$AH$15,10,FALSE),0)*IFERROR(VLOOKUP(C23,Monsters!$T$4:$AH$15,9,FALSE),0))*'Rules &amp; Formulas'!B6),"")</f>
        <v/>
      </c>
      <c r="Q23" s="7">
        <f>IF(OR(B23="Hunt",B23="Go AFK"),('Rules &amp; Formulas'!B4*N22*('Rules &amp; Formulas'!B5+O22)*IFERROR(VLOOKUP(C23,Monsters!$T$4:$AH$15,10,FALSE),0)*IFERROR(VLOOKUP(C23,Monsters!$T$4:$AH$15,9,FALSE),0)),"")</f>
        <v/>
      </c>
      <c r="R23" s="7">
        <f>IF(AND((E23="OK"),B23="Hunt"),IF(B23="Hunt",(('Rules &amp; Formulas'!B4*N22*('Rules &amp; Formulas'!B5+O22)*IFERROR(VLOOKUP(C23,Monsters!$T$4:$AH$15,10,FALSE),0)*IFERROR(VLOOKUP(C23,Monsters!$T$4:$AH$15,9,FALSE),0))*'Rules &amp; Formulas'!B6)*IF(D23="",0,D23),0),IF(AND((E23="OK"),B23="Go AFK"),IF(B23="Go AFK",MIN(IF((IF((IFERROR(VLOOKUP(C23,Monsters!$T$4:$AH$15,8,FALSE),0))=0,0.35,IFERROR(VLOOKUP(C23,Monsters!$T$4:$AH$15,8,FALSE),0))/(1+0.08*AK22))&lt;=0,999999,FLOOR(MIN(('Rules &amp; Formulas'!B15+25*AJ22),M22+('Rules &amp; Formulas'!B14+0.4*AJ22)*(MIN(IF(B23="Go AFK",IF(D23="",0,D23),0),Z22/60)*60))/(IF((IFERROR(VLOOKUP(C23,Monsters!$T$4:$AH$15,8,FALSE),0))=0,0.35,IFERROR(VLOOKUP(C23,Monsters!$T$4:$AH$15,8,FALSE),0))/(1+0.08*AK22)),1)),('Rules &amp; Formulas'!B4*N22*('Rules &amp; Formulas'!B5+O22)*IFERROR(VLOOKUP(C23,Monsters!$T$4:$AH$15,10,FALSE),0)*IFERROR(VLOOKUP(C23,Monsters!$T$4:$AH$15,9,FALSE),0))*(MIN(IF(B23="Go AFK",IF(D23="",0,D23),0),Z22/60)*60)),0),0))</f>
        <v/>
      </c>
      <c r="S23" s="7">
        <f>(105/'Rules &amp; Formulas'!B10)*'Rules &amp; Formulas'!B11</f>
        <v/>
      </c>
      <c r="T23" s="7">
        <f>IF(AD22&gt;=1,(MAX(1,ROUND('Rules &amp; Formulas'!B18*(1+0.3*AE22)*(1+0.4*AF22),0)))*(1000/'Rules &amp; Formulas'!B19)*MIN(0.95,'Rules &amp; Formulas'!B20*SQRT(1+0.55*(AG22&gt;=1))),0)</f>
        <v/>
      </c>
      <c r="U23" s="7">
        <f>S23+T23</f>
        <v/>
      </c>
      <c r="V23" s="7">
        <f>IF(I22&gt;=IF((IFERROR(VLOOKUP(C23,Monsters!$T$4:$AH$15,15,FALSE),0))=0,120,IFERROR(VLOOKUP(C23,Monsters!$T$4:$AH$15,15,FALSE),0)),"YES","no")</f>
        <v/>
      </c>
      <c r="W23" s="7">
        <f>IF(AND(B23="Fight boss",E23="OK"),IF((((105/'Rules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Formulas'!B20*SQRT(1+0.55*(AG22&gt;=1))),0)))),"")</f>
        <v/>
      </c>
      <c r="X23" s="7">
        <f>IF(AND(B23="Fight boss",E23="OK"),IF((IF((((105/'Rules &amp; Formulas'!B10)*'Rules &amp; Formulas'!B11+IF(AD22&gt;=1,(MAX(1,ROUND('Rules &amp; Formulas'!B18*(1+0.3*AE22)*(1+0.4*AF22),0)))*(1000/'Rules &amp; Formulas'!B19)*MIN(0.95,'Rules &amp; Formulas'!B20*SQRT(1+0.55*(AG22&gt;=1))),0)))&lt;=0,9999,(IFERROR(VLOOKUP(C23,Monsters!$T$4:$AH$15,2,FALSE),0))/(((105/'Rules &amp; Formulas'!B10)*'Rules &amp; Formulas'!B11+IF(AD22&gt;=1,(MAX(1,ROUND('Rules &amp; Formulas'!B18*(1+0.3*AE22)*(1+0.4*AF22),0)))*(1000/'Rules &amp; Formulas'!B19)*MIN(0.95,'Rules &amp; Formulas'!B20*SQRT(1+0.55*(AG22&gt;=1))),0))))&lt;='Rules &amp; Formulas'!B12),"WIN","LOSE"),"")</f>
        <v/>
      </c>
      <c r="Y23" s="7">
        <f>IF(B23="Go AFK",MIN(IF(B23="Go AFK",IF(D23="",0,D23),0),Z22/60),"")</f>
        <v/>
      </c>
      <c r="Z23" s="7">
        <f>('Rules &amp; Formulas'!B13+30*AI23)</f>
        <v/>
      </c>
      <c r="AA23">
        <f>COUNTIFS($B$3:$B23,"Buy upgrade",$C$3:$C23,"Idle Power")</f>
        <v/>
      </c>
      <c r="AB23">
        <f>COUNTIFS($B$3:$B23,"Buy upgrade",$C$3:$C23,"Iron Blade")</f>
        <v/>
      </c>
      <c r="AC23">
        <f>COUNTIFS($B$3:$B23,"Buy upgrade",$C$3:$C23,"Steel Blade")</f>
        <v/>
      </c>
      <c r="AD23">
        <f>COUNTIFS($B$3:$B23,"Hire hunter",$C$3:$C23,"Briar")+COUNTIFS($B$3:$B23,"Buy upgrade",$C$3:$C23,"Hire Briar")</f>
        <v/>
      </c>
      <c r="AE23">
        <f>COUNTIFS($B$3:$B23,"Buy upgrade",$C$3:$C23,"Hunter Power")</f>
        <v/>
      </c>
      <c r="AF23">
        <f>COUNTIFS($B$3:$B23,"Buy upgrade",$C$3:$C23,"Bigger Hits")</f>
        <v/>
      </c>
      <c r="AG23">
        <f>COUNTIFS($B$3:$B23,"Buy upgrade",$C$3:$C23,"Swift Walk")</f>
        <v/>
      </c>
      <c r="AH23">
        <f>COUNTIFS($B$3:$B23,"Buy upgrade",$C$3:$C23,"Loot Luck")</f>
        <v/>
      </c>
      <c r="AI23">
        <f>COUNTIFS($B$3:$B23,"Buy upgrade",$C$3:$C23,"Offline Cap")</f>
        <v/>
      </c>
      <c r="AJ23">
        <f>COUNTIFS($B$3:$B23,"Buy upgrade",$C$3:$C23,"Bigger Food Stock")</f>
        <v/>
      </c>
      <c r="AK23">
        <f>COUNTIFS($B$3:$B23,"Buy upgrade",$C$3:$C23,"Food Efficiency")</f>
        <v/>
      </c>
    </row>
    <row r="24">
      <c r="A24" t="n">
        <v>22</v>
      </c>
      <c r="B24" s="6" t="n"/>
      <c r="C24" s="6" t="n"/>
      <c r="D24" s="6" t="n"/>
      <c r="E24" s="7">
        <f>IF(B24="","",IF(OR(B24="Hunt",B24="Go AFK"),IF(C24="","Can't","OK"),IF(B24="Fight boss",IF(I23&lt;IF((IFERROR(VLOOKUP(C24,Monsters!$T$4:$AH$15,15,FALSE),0))=0,120,IFERROR(VLOOKUP(C24,Monsters!$T$4:$AH$15,15,FALSE),0)),"Can't","OK"),IF(B24="Hire hunter",IF(AND(C24="Briar",AD23&gt;=1),"Can't",IF(H23&lt;IF(C24="Briar",140,IF(C24="Quill",3650,IF(C24="Moss",4850,IF(C24="Ember",12200,0)))),"Can't","OK")),IF(OR(B24="Buy upgrade",B24="Forge/Scrapwork buy"),IF(IFERROR(VLOOKUP(C24,Upgrades!$N$4:$T$47,2,FALSE),0)="points","Can't",IF(IFERROR(VLOOKUP(C24,Upgrades!$N$4:$T$47,2,FALSE),0)="gold",IF(H23&lt;IFERROR(FLOOR(IFERROR(VLOOKUP(C24,Upgrades!$N$4:$T$47,3,FALSE),0)*(IFERROR(VLOOKUP(C24,Upgrades!$N$4:$T$47,4,FALSE),0)^(COUNTIFS($B$3:$B23,"Buy upgrade",$C$3:$C23,C24)+COUNTIFS($B$3:$B23,"Hire hunter",$C$3:$C23,C24)+COUNTIFS($B$3:$B23,"Forge/Scrapwork buy",$C$3:$C23,C24))),1),0),"Can't","OK"),IF(IFERROR(VLOOKUP(C24,Upgrades!$N$4:$T$47,2,FALSE),0)="scraps",IF(J23&lt;IFERROR(FLOOR(IFERROR(VLOOKUP(C24,Upgrades!$N$4:$T$47,3,FALSE),0)*(IFERROR(VLOOKUP(C24,Upgrades!$N$4:$T$47,4,FALSE),0)^(COUNTIFS($B$3:$B23,"Buy upgrade",$C$3:$C23,C24)+COUNTIFS($B$3:$B23,"Hire hunter",$C$3:$C23,C24)+COUNTIFS($B$3:$B23,"Forge/Scrapwork buy",$C$3:$C23,C24))),1),0),"Can't","OK"),IF(IFERROR(VLOOKUP(C24,Upgrades!$N$4:$T$47,2,FALSE),0)="mats","Can't","OK")))),"Check")))))</f>
        <v/>
      </c>
      <c r="F24" s="7">
        <f>IF(B24="","",IF(AND(B24="Fight boss",I23&lt;IF((IFERROR(VLOOKUP(C24,Monsters!$T$4:$AH$15,15,FALSE),0))=0,120,IFERROR(VLOOKUP(C24,Monsters!$T$4:$AH$15,15,FALSE),0))),"Can't — need "&amp;TEXT(IF((IFERROR(VLOOKUP(C24,Monsters!$T$4:$AH$15,15,FALSE),0))=0,120,IFERROR(VLOOKUP(C24,Monsters!$T$4:$AH$15,15,FALSE),0))-I23,"0.0")&amp;" more Slayer points on the meter",IF(AND(B24="Hire hunter",C24="Briar",AD23&gt;=1),"Can't — already hired",IF(AND(B24="Hire hunter",H23&lt;IF(C24="Briar",140,IF(C24="Quill",3650,IF(C24="Moss",4850,IF(C24="Ember",12200,0))))),"Can't — need "&amp;TEXT(IF(C24="Briar",140,IF(C24="Quill",3650,IF(C24="Moss",4850,IF(C24="Ember",12200,0))))-H23,"0")&amp;" more gold",IF(AND(OR(B24="Buy upgrade",B24="Forge/Scrapwork buy"),IFERROR(VLOOKUP(C24,Upgrades!$N$4:$T$47,2,FALSE),0)="points"),"Can't — Sp-wallet spends not tracked here",IF(AND(OR(B24="Buy upgrade",B24="Forge/Scrapwork buy"),IFERROR(VLOOKUP(C24,Upgrades!$N$4:$T$47,2,FALSE),0)="gold",H23&lt;IFERROR(FLOOR(IFERROR(VLOOKUP(C24,Upgrades!$N$4:$T$47,3,FALSE),0)*(IFERROR(VLOOKUP(C24,Upgrades!$N$4:$T$47,4,FALSE),0)^(COUNTIFS($B$3:$B23,"Buy upgrade",$C$3:$C23,C24)+COUNTIFS($B$3:$B23,"Hire hunter",$C$3:$C23,C24)+COUNTIFS($B$3:$B23,"Forge/Scrapwork buy",$C$3:$C23,C24))),1),0)),"Can't — need "&amp;TEXT(IFERROR(FLOOR(IFERROR(VLOOKUP(C24,Upgrades!$N$4:$T$47,3,FALSE),0)*(IFERROR(VLOOKUP(C24,Upgrades!$N$4:$T$47,4,FALSE),0)^(COUNTIFS($B$3:$B23,"Buy upgrade",$C$3:$C23,C24)+COUNTIFS($B$3:$B23,"Hire hunter",$C$3:$C23,C24)+COUNTIFS($B$3:$B23,"Forge/Scrapwork buy",$C$3:$C23,C24))),1),0)-H23,"0")&amp;" more gold",IF(AND(OR(B24="Buy upgrade",B24="Forge/Scrapwork buy"),IFERROR(VLOOKUP(C24,Upgrades!$N$4:$T$47,2,FALSE),0)="scraps",J23&lt;IFERROR(FLOOR(IFERROR(VLOOKUP(C24,Upgrades!$N$4:$T$47,3,FALSE),0)*(IFERROR(VLOOKUP(C24,Upgrades!$N$4:$T$47,4,FALSE),0)^(COUNTIFS($B$3:$B23,"Buy upgrade",$C$3:$C23,C24)+COUNTIFS($B$3:$B23,"Hire hunter",$C$3:$C23,C24)+COUNTIFS($B$3:$B23,"Forge/Scrapwork buy",$C$3:$C23,C24))),1),0)),"Can't — need "&amp;TEXT(IFERROR(FLOOR(IFERROR(VLOOKUP(C24,Upgrades!$N$4:$T$47,3,FALSE),0)*(IFERROR(VLOOKUP(C24,Upgrades!$N$4:$T$47,4,FALSE),0)^(COUNTIFS($B$3:$B23,"Buy upgrade",$C$3:$C23,C24)+COUNTIFS($B$3:$B23,"Hire hunter",$C$3:$C23,C24)+COUNTIFS($B$3:$B23,"Forge/Scrapwork buy",$C$3:$C23,C24))),1),0)-J23,"0")&amp;" more scraps",IF(AND(B24="Fight boss",E24="OK",(IF((((105/'Rules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Formulas'!B12)),"WIN — boss down, next Level unlocks",IF(AND(B24="Fight boss",E24="OK"),"LOSE — TTK "&amp;TEXT(IF((((105/'Rules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Formulas'!B20*SQRT(1+0.55*(AG23&gt;=1))),0)))),"0")&amp;"s &gt; patience "&amp;TEXT('Rules &amp; Formulas'!B12,"0")&amp;"s (leave resets HP)",IF(B24="Go AFK","AFK resolved (see AFK counted h)","Applied")))))))))</f>
        <v/>
      </c>
      <c r="G24" s="7">
        <f>IF(AND((E24="OK"),B24="Fight boss",(IF((((105/'Rules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Formulas'!B12),C24="Elder Thornpelt"),2,IF(AND((E24="OK"),B24="Fight boss",(IF((((105/'Rules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Formulas'!B12),C24="Ashfang Alpha"),3,G23))</f>
        <v/>
      </c>
      <c r="H24" s="7">
        <f>MAX(0,H23+IF(AND((E24="OK"),B24="Hunt"),(IF(B24="Hunt",(('Rules &amp; Formulas'!B4*N23*('Rules &amp; Formulas'!B5+O23)*IFERROR(VLOOKUP(C24,Monsters!$T$4:$AH$15,10,FALSE),0)*IFERROR(VLOOKUP(C24,Monsters!$T$4:$AH$15,9,FALSE),0))*'Rules &amp; Formulas'!B6)*IF(D24="",0,D24),0))*(IFERROR(VLOOKUP(C24,Monsters!$T$4:$AH$15,3,FALSE),0))*(1+0.1*AH23)+(IF(OR(B24&lt;&gt;"Hunt",IFERROR(VLOOKUP(C24,Monsters!$T$4:$AH$15,6,FALSE),0)=0),0,FLOOR((IF(B24="Hunt",(('Rules &amp; Formulas'!B4*N23*('Rules &amp; Formulas'!B5+O23)*IFERROR(VLOOKUP(C24,Monsters!$T$4:$AH$15,10,FALSE),0)*IFERROR(VLOOKUP(C24,Monsters!$T$4:$AH$15,9,FALSE),0))*'Rules &amp; Formulas'!B6)*IF(D24="",0,D24),0))/MAX(1,IFERROR(VLOOKUP(C24,Monsters!$T$4:$AH$15,6,FALSE),0)),1)))*(IFERROR(VLOOKUP(C24,Monsters!$T$4:$AH$15,7,FALSE),0))*0.5*(1+0.1*AH23),0)+IF(AND((E24="OK"),B24="Go AFK"),(IF(B24="Go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AFK",IF(D24="",0,D24),0),Z23/60)*60)),0))*(IFERROR(VLOOKUP(C24,Monsters!$T$4:$AH$15,3,FALSE),0))*(1+0.1*AH23)+(IF(OR(B24&lt;&gt;"Go AFK",IFERROR(VLOOKUP(C24,Monsters!$T$4:$AH$15,6,FALSE),0)=0),0,FLOOR((IF(B24="Go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AFK",IF(D24="",0,D24),0),Z23/60)*60)),0))/MAX(1,IFERROR(VLOOKUP(C24,Monsters!$T$4:$AH$15,6,FALSE),0)),1)))*(IFERROR(VLOOKUP(C24,Monsters!$T$4:$AH$15,7,FALSE),0))*0.5*(1+0.1*AH23),0)+IF(AND((E24="OK"),B24="Fight boss",(IF((((105/'Rules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Formulas'!B12)),IFERROR(VLOOKUP(C24,Monsters!$T$4:$AH$15,3,FALSE),0),0)-IF(AND((E24="OK"),OR(B24="Buy upgrade",B24="Forge/Scrapwork buy"),IFERROR(VLOOKUP(C24,Upgrades!$N$4:$T$47,2,FALSE),0)="gold"),IFERROR(FLOOR(IFERROR(VLOOKUP(C24,Upgrades!$N$4:$T$47,3,FALSE),0)*(IFERROR(VLOOKUP(C24,Upgrades!$N$4:$T$47,4,FALSE),0)^(COUNTIFS($B$3:$B23,"Buy upgrade",$C$3:$C23,C24)+COUNTIFS($B$3:$B23,"Hire hunter",$C$3:$C23,C24)+COUNTIFS($B$3:$B23,"Forge/Scrapwork buy",$C$3:$C23,C24))),1),0),0)-IF(AND((E24="OK"),B24="Hire hunter"),IF(C24="Briar",140,IF(C24="Quill",3650,IF(C24="Moss",4850,IF(C24="Ember",12200,0)))),0))</f>
        <v/>
      </c>
      <c r="I24" s="7">
        <f>IF(AND((E24="OK"),B24="Fight boss",(IF((((105/'Rules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Formulas'!B12)),0,MIN(IF(G23&lt;=1,120,IF(G23=2,280,600)),I23+IF(AND((E24="OK"),B24="Hunt"),((IF(B24="Hunt",(('Rules &amp; Formulas'!B4*N23*('Rules &amp; Formulas'!B5+O23)*IFERROR(VLOOKUP(C24,Monsters!$T$4:$AH$15,10,FALSE),0)*IFERROR(VLOOKUP(C24,Monsters!$T$4:$AH$15,9,FALSE),0))*'Rules &amp; Formulas'!B6)*IF(D24="",0,D24),0))*(IFERROR(VLOOKUP(C24,Monsters!$T$4:$AH$15,4,FALSE),0))+(IF(OR(B24&lt;&gt;"Hunt",IFERROR(VLOOKUP(C24,Monsters!$T$4:$AH$15,6,FALSE),0)=0),0,FLOOR((IF(B24="Hunt",(('Rules &amp; Formulas'!B4*N23*('Rules &amp; Formulas'!B5+O23)*IFERROR(VLOOKUP(C24,Monsters!$T$4:$AH$15,10,FALSE),0)*IFERROR(VLOOKUP(C24,Monsters!$T$4:$AH$15,9,FALSE),0))*'Rules &amp; Formulas'!B6)*IF(D24="",0,D24),0))/MAX(1,IFERROR(VLOOKUP(C24,Monsters!$T$4:$AH$15,6,FALSE),0)),1)))*(IFERROR(VLOOKUP(C24,Monsters!$T$4:$AH$15,7,FALSE),0))),0)+IF(AND((E24="OK"),B24="Go AFK"),((IF(B24="Go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AFK",IF(D24="",0,D24),0),Z23/60)*60)),0))*(IFERROR(VLOOKUP(C24,Monsters!$T$4:$AH$15,4,FALSE),0))+(IF(OR(B24&lt;&gt;"Go AFK",IFERROR(VLOOKUP(C24,Monsters!$T$4:$AH$15,6,FALSE),0)=0),0,FLOOR((IF(B24="Go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AFK",IF(D24="",0,D24),0),Z23/60)*60)),0))/MAX(1,IFERROR(VLOOKUP(C24,Monsters!$T$4:$AH$15,6,FALSE),0)),1)))*(IFERROR(VLOOKUP(C24,Monsters!$T$4:$AH$15,7,FALSE),0))),0)))</f>
        <v/>
      </c>
      <c r="J24" s="7">
        <f>MAX(0,J23+IF(AND((E24="OK"),B24="Hunt"),(IF(B24="Hunt",(('Rules &amp; Formulas'!B4*N23*('Rules &amp; Formulas'!B5+O23)*IFERROR(VLOOKUP(C24,Monsters!$T$4:$AH$15,10,FALSE),0)*IFERROR(VLOOKUP(C24,Monsters!$T$4:$AH$15,9,FALSE),0))*'Rules &amp; Formulas'!B6)*IF(D24="",0,D24),0))*(IFERROR(VLOOKUP(C24,Monsters!$T$4:$AH$15,5,FALSE),0)),0)+IF(AND((E24="OK"),B24="Go AFK"),(IF(B24="Go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AFK",IF(D24="",0,D24),0),Z23/60)*60)),0))*(IFERROR(VLOOKUP(C24,Monsters!$T$4:$AH$15,5,FALSE),0)),0)-IF(AND((E24="OK"),OR(B24="Buy upgrade",B24="Forge/Scrapwork buy"),IFERROR(VLOOKUP(C24,Upgrades!$N$4:$T$47,2,FALSE),0)="scraps"),IFERROR(FLOOR(IFERROR(VLOOKUP(C24,Upgrades!$N$4:$T$47,3,FALSE),0)*(IFERROR(VLOOKUP(C24,Upgrades!$N$4:$T$47,4,FALSE),0)^(COUNTIFS($B$3:$B23,"Buy upgrade",$C$3:$C23,C24)+COUNTIFS($B$3:$B23,"Hire hunter",$C$3:$C23,C24)+COUNTIFS($B$3:$B23,"Forge/Scrapwork buy",$C$3:$C23,C24))),1),0),0))</f>
        <v/>
      </c>
      <c r="K24" s="7">
        <f>MAX(0,K23+IF(AND((E24="OK"),B24="Hunt"),IF(C24="Thornpelt Bear",(IF(B24="Hunt",(('Rules &amp; Formulas'!B4*N23*('Rules &amp; Formulas'!B5+O23)*IFERROR(VLOOKUP(C24,Monsters!$T$4:$AH$15,10,FALSE),0)*IFERROR(VLOOKUP(C24,Monsters!$T$4:$AH$15,9,FALSE),0))*'Rules &amp; Formulas'!B6)*IF(D24="",0,D24),0))*0.12,0),0)+IF(AND((E24="OK"),B24="Go AFK"),IF(C24="Thornpelt Bear",(IF(B24="Go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AFK",IF(D24="",0,D24),0),Z23/60)*60)),0))*0.12,0),0))</f>
        <v/>
      </c>
      <c r="L24" s="7">
        <f>MAX(0,L23+IF(AND((E24="OK"),B24="Hunt"),IF(C24="Dire Thornpelt",(IF(B24="Hunt",(('Rules &amp; Formulas'!B4*N23*('Rules &amp; Formulas'!B5+O23)*IFERROR(VLOOKUP(C24,Monsters!$T$4:$AH$15,10,FALSE),0)*IFERROR(VLOOKUP(C24,Monsters!$T$4:$AH$15,9,FALSE),0))*'Rules &amp; Formulas'!B6)*IF(D24="",0,D24),0))*0.1,0),0)+IF(AND((E24="OK"),B24="Go AFK"),IF(C24="Dire Thornpelt",(IF(B24="Go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AFK",IF(D24="",0,D24),0),Z23/60)*60)),0))*0.1,0),0))</f>
        <v/>
      </c>
      <c r="M24" s="7">
        <f>IF(AND((E24="OK"),B24="Go AFK"),MAX(0,MIN(('Rules &amp; Formulas'!B15+25*AJ23),M23+('Rules &amp; Formulas'!B14+0.4*AJ23)*(MIN(IF(B24="Go AFK",IF(D24="",0,D24),0),Z23/60)*60))-(IF(B24="Go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AFK",IF(D24="",0,D24),0),Z23/60)*60)),0))*(IF((IFERROR(VLOOKUP(C24,Monsters!$T$4:$AH$15,8,FALSE),0))=0,0.35,IFERROR(VLOOKUP(C24,Monsters!$T$4:$AH$15,8,FALSE),0))/(1+0.08*AK23))),MIN(('Rules &amp; Formulas'!B15+25*AJ24),M23))</f>
        <v/>
      </c>
      <c r="N24" s="7">
        <f>(1+0.08+0.12*AA24+0.12*AB24+0.16*AC24)</f>
        <v/>
      </c>
      <c r="O24" s="7">
        <f>((AD24&gt;=1)*1*(1+0.3*AE24))</f>
        <v/>
      </c>
      <c r="P24" s="7">
        <f>IF(OR(B24="Hunt",B24="Go AFK"),(('Rules &amp; Formulas'!B4*N23*('Rules &amp; Formulas'!B5+O23)*IFERROR(VLOOKUP(C24,Monsters!$T$4:$AH$15,10,FALSE),0)*IFERROR(VLOOKUP(C24,Monsters!$T$4:$AH$15,9,FALSE),0))*'Rules &amp; Formulas'!B6),"")</f>
        <v/>
      </c>
      <c r="Q24" s="7">
        <f>IF(OR(B24="Hunt",B24="Go AFK"),('Rules &amp; Formulas'!B4*N23*('Rules &amp; Formulas'!B5+O23)*IFERROR(VLOOKUP(C24,Monsters!$T$4:$AH$15,10,FALSE),0)*IFERROR(VLOOKUP(C24,Monsters!$T$4:$AH$15,9,FALSE),0)),"")</f>
        <v/>
      </c>
      <c r="R24" s="7">
        <f>IF(AND((E24="OK"),B24="Hunt"),IF(B24="Hunt",(('Rules &amp; Formulas'!B4*N23*('Rules &amp; Formulas'!B5+O23)*IFERROR(VLOOKUP(C24,Monsters!$T$4:$AH$15,10,FALSE),0)*IFERROR(VLOOKUP(C24,Monsters!$T$4:$AH$15,9,FALSE),0))*'Rules &amp; Formulas'!B6)*IF(D24="",0,D24),0),IF(AND((E24="OK"),B24="Go AFK"),IF(B24="Go AFK",MIN(IF((IF((IFERROR(VLOOKUP(C24,Monsters!$T$4:$AH$15,8,FALSE),0))=0,0.35,IFERROR(VLOOKUP(C24,Monsters!$T$4:$AH$15,8,FALSE),0))/(1+0.08*AK23))&lt;=0,999999,FLOOR(MIN(('Rules &amp; Formulas'!B15+25*AJ23),M23+('Rules &amp; Formulas'!B14+0.4*AJ23)*(MIN(IF(B24="Go AFK",IF(D24="",0,D24),0),Z23/60)*60))/(IF((IFERROR(VLOOKUP(C24,Monsters!$T$4:$AH$15,8,FALSE),0))=0,0.35,IFERROR(VLOOKUP(C24,Monsters!$T$4:$AH$15,8,FALSE),0))/(1+0.08*AK23)),1)),('Rules &amp; Formulas'!B4*N23*('Rules &amp; Formulas'!B5+O23)*IFERROR(VLOOKUP(C24,Monsters!$T$4:$AH$15,10,FALSE),0)*IFERROR(VLOOKUP(C24,Monsters!$T$4:$AH$15,9,FALSE),0))*(MIN(IF(B24="Go AFK",IF(D24="",0,D24),0),Z23/60)*60)),0),0))</f>
        <v/>
      </c>
      <c r="S24" s="7">
        <f>(105/'Rules &amp; Formulas'!B10)*'Rules &amp; Formulas'!B11</f>
        <v/>
      </c>
      <c r="T24" s="7">
        <f>IF(AD23&gt;=1,(MAX(1,ROUND('Rules &amp; Formulas'!B18*(1+0.3*AE23)*(1+0.4*AF23),0)))*(1000/'Rules &amp; Formulas'!B19)*MIN(0.95,'Rules &amp; Formulas'!B20*SQRT(1+0.55*(AG23&gt;=1))),0)</f>
        <v/>
      </c>
      <c r="U24" s="7">
        <f>S24+T24</f>
        <v/>
      </c>
      <c r="V24" s="7">
        <f>IF(I23&gt;=IF((IFERROR(VLOOKUP(C24,Monsters!$T$4:$AH$15,15,FALSE),0))=0,120,IFERROR(VLOOKUP(C24,Monsters!$T$4:$AH$15,15,FALSE),0)),"YES","no")</f>
        <v/>
      </c>
      <c r="W24" s="7">
        <f>IF(AND(B24="Fight boss",E24="OK"),IF((((105/'Rules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Formulas'!B20*SQRT(1+0.55*(AG23&gt;=1))),0)))),"")</f>
        <v/>
      </c>
      <c r="X24" s="7">
        <f>IF(AND(B24="Fight boss",E24="OK"),IF((IF((((105/'Rules &amp; Formulas'!B10)*'Rules &amp; Formulas'!B11+IF(AD23&gt;=1,(MAX(1,ROUND('Rules &amp; Formulas'!B18*(1+0.3*AE23)*(1+0.4*AF23),0)))*(1000/'Rules &amp; Formulas'!B19)*MIN(0.95,'Rules &amp; Formulas'!B20*SQRT(1+0.55*(AG23&gt;=1))),0)))&lt;=0,9999,(IFERROR(VLOOKUP(C24,Monsters!$T$4:$AH$15,2,FALSE),0))/(((105/'Rules &amp; Formulas'!B10)*'Rules &amp; Formulas'!B11+IF(AD23&gt;=1,(MAX(1,ROUND('Rules &amp; Formulas'!B18*(1+0.3*AE23)*(1+0.4*AF23),0)))*(1000/'Rules &amp; Formulas'!B19)*MIN(0.95,'Rules &amp; Formulas'!B20*SQRT(1+0.55*(AG23&gt;=1))),0))))&lt;='Rules &amp; Formulas'!B12),"WIN","LOSE"),"")</f>
        <v/>
      </c>
      <c r="Y24" s="7">
        <f>IF(B24="Go AFK",MIN(IF(B24="Go AFK",IF(D24="",0,D24),0),Z23/60),"")</f>
        <v/>
      </c>
      <c r="Z24" s="7">
        <f>('Rules &amp; Formulas'!B13+30*AI24)</f>
        <v/>
      </c>
      <c r="AA24">
        <f>COUNTIFS($B$3:$B24,"Buy upgrade",$C$3:$C24,"Idle Power")</f>
        <v/>
      </c>
      <c r="AB24">
        <f>COUNTIFS($B$3:$B24,"Buy upgrade",$C$3:$C24,"Iron Blade")</f>
        <v/>
      </c>
      <c r="AC24">
        <f>COUNTIFS($B$3:$B24,"Buy upgrade",$C$3:$C24,"Steel Blade")</f>
        <v/>
      </c>
      <c r="AD24">
        <f>COUNTIFS($B$3:$B24,"Hire hunter",$C$3:$C24,"Briar")+COUNTIFS($B$3:$B24,"Buy upgrade",$C$3:$C24,"Hire Briar")</f>
        <v/>
      </c>
      <c r="AE24">
        <f>COUNTIFS($B$3:$B24,"Buy upgrade",$C$3:$C24,"Hunter Power")</f>
        <v/>
      </c>
      <c r="AF24">
        <f>COUNTIFS($B$3:$B24,"Buy upgrade",$C$3:$C24,"Bigger Hits")</f>
        <v/>
      </c>
      <c r="AG24">
        <f>COUNTIFS($B$3:$B24,"Buy upgrade",$C$3:$C24,"Swift Walk")</f>
        <v/>
      </c>
      <c r="AH24">
        <f>COUNTIFS($B$3:$B24,"Buy upgrade",$C$3:$C24,"Loot Luck")</f>
        <v/>
      </c>
      <c r="AI24">
        <f>COUNTIFS($B$3:$B24,"Buy upgrade",$C$3:$C24,"Offline Cap")</f>
        <v/>
      </c>
      <c r="AJ24">
        <f>COUNTIFS($B$3:$B24,"Buy upgrade",$C$3:$C24,"Bigger Food Stock")</f>
        <v/>
      </c>
      <c r="AK24">
        <f>COUNTIFS($B$3:$B24,"Buy upgrade",$C$3:$C24,"Food Efficiency")</f>
        <v/>
      </c>
    </row>
    <row r="25">
      <c r="A25" t="n">
        <v>23</v>
      </c>
      <c r="B25" s="6" t="n"/>
      <c r="C25" s="6" t="n"/>
      <c r="D25" s="6" t="n"/>
      <c r="E25" s="7">
        <f>IF(B25="","",IF(OR(B25="Hunt",B25="Go AFK"),IF(C25="","Can't","OK"),IF(B25="Fight boss",IF(I24&lt;IF((IFERROR(VLOOKUP(C25,Monsters!$T$4:$AH$15,15,FALSE),0))=0,120,IFERROR(VLOOKUP(C25,Monsters!$T$4:$AH$15,15,FALSE),0)),"Can't","OK"),IF(B25="Hire hunter",IF(AND(C25="Briar",AD24&gt;=1),"Can't",IF(H24&lt;IF(C25="Briar",140,IF(C25="Quill",3650,IF(C25="Moss",4850,IF(C25="Ember",12200,0)))),"Can't","OK")),IF(OR(B25="Buy upgrade",B25="Forge/Scrapwork buy"),IF(IFERROR(VLOOKUP(C25,Upgrades!$N$4:$T$47,2,FALSE),0)="points","Can't",IF(IFERROR(VLOOKUP(C25,Upgrades!$N$4:$T$47,2,FALSE),0)="gold",IF(H24&lt;IFERROR(FLOOR(IFERROR(VLOOKUP(C25,Upgrades!$N$4:$T$47,3,FALSE),0)*(IFERROR(VLOOKUP(C25,Upgrades!$N$4:$T$47,4,FALSE),0)^(COUNTIFS($B$3:$B24,"Buy upgrade",$C$3:$C24,C25)+COUNTIFS($B$3:$B24,"Hire hunter",$C$3:$C24,C25)+COUNTIFS($B$3:$B24,"Forge/Scrapwork buy",$C$3:$C24,C25))),1),0),"Can't","OK"),IF(IFERROR(VLOOKUP(C25,Upgrades!$N$4:$T$47,2,FALSE),0)="scraps",IF(J24&lt;IFERROR(FLOOR(IFERROR(VLOOKUP(C25,Upgrades!$N$4:$T$47,3,FALSE),0)*(IFERROR(VLOOKUP(C25,Upgrades!$N$4:$T$47,4,FALSE),0)^(COUNTIFS($B$3:$B24,"Buy upgrade",$C$3:$C24,C25)+COUNTIFS($B$3:$B24,"Hire hunter",$C$3:$C24,C25)+COUNTIFS($B$3:$B24,"Forge/Scrapwork buy",$C$3:$C24,C25))),1),0),"Can't","OK"),IF(IFERROR(VLOOKUP(C25,Upgrades!$N$4:$T$47,2,FALSE),0)="mats","Can't","OK")))),"Check")))))</f>
        <v/>
      </c>
      <c r="F25" s="7">
        <f>IF(B25="","",IF(AND(B25="Fight boss",I24&lt;IF((IFERROR(VLOOKUP(C25,Monsters!$T$4:$AH$15,15,FALSE),0))=0,120,IFERROR(VLOOKUP(C25,Monsters!$T$4:$AH$15,15,FALSE),0))),"Can't — need "&amp;TEXT(IF((IFERROR(VLOOKUP(C25,Monsters!$T$4:$AH$15,15,FALSE),0))=0,120,IFERROR(VLOOKUP(C25,Monsters!$T$4:$AH$15,15,FALSE),0))-I24,"0.0")&amp;" more Slayer points on the meter",IF(AND(B25="Hire hunter",C25="Briar",AD24&gt;=1),"Can't — already hired",IF(AND(B25="Hire hunter",H24&lt;IF(C25="Briar",140,IF(C25="Quill",3650,IF(C25="Moss",4850,IF(C25="Ember",12200,0))))),"Can't — need "&amp;TEXT(IF(C25="Briar",140,IF(C25="Quill",3650,IF(C25="Moss",4850,IF(C25="Ember",12200,0))))-H24,"0")&amp;" more gold",IF(AND(OR(B25="Buy upgrade",B25="Forge/Scrapwork buy"),IFERROR(VLOOKUP(C25,Upgrades!$N$4:$T$47,2,FALSE),0)="points"),"Can't — Sp-wallet spends not tracked here",IF(AND(OR(B25="Buy upgrade",B25="Forge/Scrapwork buy"),IFERROR(VLOOKUP(C25,Upgrades!$N$4:$T$47,2,FALSE),0)="gold",H24&lt;IFERROR(FLOOR(IFERROR(VLOOKUP(C25,Upgrades!$N$4:$T$47,3,FALSE),0)*(IFERROR(VLOOKUP(C25,Upgrades!$N$4:$T$47,4,FALSE),0)^(COUNTIFS($B$3:$B24,"Buy upgrade",$C$3:$C24,C25)+COUNTIFS($B$3:$B24,"Hire hunter",$C$3:$C24,C25)+COUNTIFS($B$3:$B24,"Forge/Scrapwork buy",$C$3:$C24,C25))),1),0)),"Can't — need "&amp;TEXT(IFERROR(FLOOR(IFERROR(VLOOKUP(C25,Upgrades!$N$4:$T$47,3,FALSE),0)*(IFERROR(VLOOKUP(C25,Upgrades!$N$4:$T$47,4,FALSE),0)^(COUNTIFS($B$3:$B24,"Buy upgrade",$C$3:$C24,C25)+COUNTIFS($B$3:$B24,"Hire hunter",$C$3:$C24,C25)+COUNTIFS($B$3:$B24,"Forge/Scrapwork buy",$C$3:$C24,C25))),1),0)-H24,"0")&amp;" more gold",IF(AND(OR(B25="Buy upgrade",B25="Forge/Scrapwork buy"),IFERROR(VLOOKUP(C25,Upgrades!$N$4:$T$47,2,FALSE),0)="scraps",J24&lt;IFERROR(FLOOR(IFERROR(VLOOKUP(C25,Upgrades!$N$4:$T$47,3,FALSE),0)*(IFERROR(VLOOKUP(C25,Upgrades!$N$4:$T$47,4,FALSE),0)^(COUNTIFS($B$3:$B24,"Buy upgrade",$C$3:$C24,C25)+COUNTIFS($B$3:$B24,"Hire hunter",$C$3:$C24,C25)+COUNTIFS($B$3:$B24,"Forge/Scrapwork buy",$C$3:$C24,C25))),1),0)),"Can't — need "&amp;TEXT(IFERROR(FLOOR(IFERROR(VLOOKUP(C25,Upgrades!$N$4:$T$47,3,FALSE),0)*(IFERROR(VLOOKUP(C25,Upgrades!$N$4:$T$47,4,FALSE),0)^(COUNTIFS($B$3:$B24,"Buy upgrade",$C$3:$C24,C25)+COUNTIFS($B$3:$B24,"Hire hunter",$C$3:$C24,C25)+COUNTIFS($B$3:$B24,"Forge/Scrapwork buy",$C$3:$C24,C25))),1),0)-J24,"0")&amp;" more scraps",IF(AND(B25="Fight boss",E25="OK",(IF((((105/'Rules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Formulas'!B12)),"WIN — boss down, next Level unlocks",IF(AND(B25="Fight boss",E25="OK"),"LOSE — TTK "&amp;TEXT(IF((((105/'Rules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Formulas'!B20*SQRT(1+0.55*(AG24&gt;=1))),0)))),"0")&amp;"s &gt; patience "&amp;TEXT('Rules &amp; Formulas'!B12,"0")&amp;"s (leave resets HP)",IF(B25="Go AFK","AFK resolved (see AFK counted h)","Applied")))))))))</f>
        <v/>
      </c>
      <c r="G25" s="7">
        <f>IF(AND((E25="OK"),B25="Fight boss",(IF((((105/'Rules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Formulas'!B12),C25="Elder Thornpelt"),2,IF(AND((E25="OK"),B25="Fight boss",(IF((((105/'Rules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Formulas'!B12),C25="Ashfang Alpha"),3,G24))</f>
        <v/>
      </c>
      <c r="H25" s="7">
        <f>MAX(0,H24+IF(AND((E25="OK"),B25="Hunt"),(IF(B25="Hunt",(('Rules &amp; Formulas'!B4*N24*('Rules &amp; Formulas'!B5+O24)*IFERROR(VLOOKUP(C25,Monsters!$T$4:$AH$15,10,FALSE),0)*IFERROR(VLOOKUP(C25,Monsters!$T$4:$AH$15,9,FALSE),0))*'Rules &amp; Formulas'!B6)*IF(D25="",0,D25),0))*(IFERROR(VLOOKUP(C25,Monsters!$T$4:$AH$15,3,FALSE),0))*(1+0.1*AH24)+(IF(OR(B25&lt;&gt;"Hunt",IFERROR(VLOOKUP(C25,Monsters!$T$4:$AH$15,6,FALSE),0)=0),0,FLOOR((IF(B25="Hunt",(('Rules &amp; Formulas'!B4*N24*('Rules &amp; Formulas'!B5+O24)*IFERROR(VLOOKUP(C25,Monsters!$T$4:$AH$15,10,FALSE),0)*IFERROR(VLOOKUP(C25,Monsters!$T$4:$AH$15,9,FALSE),0))*'Rules &amp; Formulas'!B6)*IF(D25="",0,D25),0))/MAX(1,IFERROR(VLOOKUP(C25,Monsters!$T$4:$AH$15,6,FALSE),0)),1)))*(IFERROR(VLOOKUP(C25,Monsters!$T$4:$AH$15,7,FALSE),0))*0.5*(1+0.1*AH24),0)+IF(AND((E25="OK"),B25="Go AFK"),(IF(B25="Go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AFK",IF(D25="",0,D25),0),Z24/60)*60)),0))*(IFERROR(VLOOKUP(C25,Monsters!$T$4:$AH$15,3,FALSE),0))*(1+0.1*AH24)+(IF(OR(B25&lt;&gt;"Go AFK",IFERROR(VLOOKUP(C25,Monsters!$T$4:$AH$15,6,FALSE),0)=0),0,FLOOR((IF(B25="Go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AFK",IF(D25="",0,D25),0),Z24/60)*60)),0))/MAX(1,IFERROR(VLOOKUP(C25,Monsters!$T$4:$AH$15,6,FALSE),0)),1)))*(IFERROR(VLOOKUP(C25,Monsters!$T$4:$AH$15,7,FALSE),0))*0.5*(1+0.1*AH24),0)+IF(AND((E25="OK"),B25="Fight boss",(IF((((105/'Rules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Formulas'!B12)),IFERROR(VLOOKUP(C25,Monsters!$T$4:$AH$15,3,FALSE),0),0)-IF(AND((E25="OK"),OR(B25="Buy upgrade",B25="Forge/Scrapwork buy"),IFERROR(VLOOKUP(C25,Upgrades!$N$4:$T$47,2,FALSE),0)="gold"),IFERROR(FLOOR(IFERROR(VLOOKUP(C25,Upgrades!$N$4:$T$47,3,FALSE),0)*(IFERROR(VLOOKUP(C25,Upgrades!$N$4:$T$47,4,FALSE),0)^(COUNTIFS($B$3:$B24,"Buy upgrade",$C$3:$C24,C25)+COUNTIFS($B$3:$B24,"Hire hunter",$C$3:$C24,C25)+COUNTIFS($B$3:$B24,"Forge/Scrapwork buy",$C$3:$C24,C25))),1),0),0)-IF(AND((E25="OK"),B25="Hire hunter"),IF(C25="Briar",140,IF(C25="Quill",3650,IF(C25="Moss",4850,IF(C25="Ember",12200,0)))),0))</f>
        <v/>
      </c>
      <c r="I25" s="7">
        <f>IF(AND((E25="OK"),B25="Fight boss",(IF((((105/'Rules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Formulas'!B12)),0,MIN(IF(G24&lt;=1,120,IF(G24=2,280,600)),I24+IF(AND((E25="OK"),B25="Hunt"),((IF(B25="Hunt",(('Rules &amp; Formulas'!B4*N24*('Rules &amp; Formulas'!B5+O24)*IFERROR(VLOOKUP(C25,Monsters!$T$4:$AH$15,10,FALSE),0)*IFERROR(VLOOKUP(C25,Monsters!$T$4:$AH$15,9,FALSE),0))*'Rules &amp; Formulas'!B6)*IF(D25="",0,D25),0))*(IFERROR(VLOOKUP(C25,Monsters!$T$4:$AH$15,4,FALSE),0))+(IF(OR(B25&lt;&gt;"Hunt",IFERROR(VLOOKUP(C25,Monsters!$T$4:$AH$15,6,FALSE),0)=0),0,FLOOR((IF(B25="Hunt",(('Rules &amp; Formulas'!B4*N24*('Rules &amp; Formulas'!B5+O24)*IFERROR(VLOOKUP(C25,Monsters!$T$4:$AH$15,10,FALSE),0)*IFERROR(VLOOKUP(C25,Monsters!$T$4:$AH$15,9,FALSE),0))*'Rules &amp; Formulas'!B6)*IF(D25="",0,D25),0))/MAX(1,IFERROR(VLOOKUP(C25,Monsters!$T$4:$AH$15,6,FALSE),0)),1)))*(IFERROR(VLOOKUP(C25,Monsters!$T$4:$AH$15,7,FALSE),0))),0)+IF(AND((E25="OK"),B25="Go AFK"),((IF(B25="Go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AFK",IF(D25="",0,D25),0),Z24/60)*60)),0))*(IFERROR(VLOOKUP(C25,Monsters!$T$4:$AH$15,4,FALSE),0))+(IF(OR(B25&lt;&gt;"Go AFK",IFERROR(VLOOKUP(C25,Monsters!$T$4:$AH$15,6,FALSE),0)=0),0,FLOOR((IF(B25="Go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AFK",IF(D25="",0,D25),0),Z24/60)*60)),0))/MAX(1,IFERROR(VLOOKUP(C25,Monsters!$T$4:$AH$15,6,FALSE),0)),1)))*(IFERROR(VLOOKUP(C25,Monsters!$T$4:$AH$15,7,FALSE),0))),0)))</f>
        <v/>
      </c>
      <c r="J25" s="7">
        <f>MAX(0,J24+IF(AND((E25="OK"),B25="Hunt"),(IF(B25="Hunt",(('Rules &amp; Formulas'!B4*N24*('Rules &amp; Formulas'!B5+O24)*IFERROR(VLOOKUP(C25,Monsters!$T$4:$AH$15,10,FALSE),0)*IFERROR(VLOOKUP(C25,Monsters!$T$4:$AH$15,9,FALSE),0))*'Rules &amp; Formulas'!B6)*IF(D25="",0,D25),0))*(IFERROR(VLOOKUP(C25,Monsters!$T$4:$AH$15,5,FALSE),0)),0)+IF(AND((E25="OK"),B25="Go AFK"),(IF(B25="Go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AFK",IF(D25="",0,D25),0),Z24/60)*60)),0))*(IFERROR(VLOOKUP(C25,Monsters!$T$4:$AH$15,5,FALSE),0)),0)-IF(AND((E25="OK"),OR(B25="Buy upgrade",B25="Forge/Scrapwork buy"),IFERROR(VLOOKUP(C25,Upgrades!$N$4:$T$47,2,FALSE),0)="scraps"),IFERROR(FLOOR(IFERROR(VLOOKUP(C25,Upgrades!$N$4:$T$47,3,FALSE),0)*(IFERROR(VLOOKUP(C25,Upgrades!$N$4:$T$47,4,FALSE),0)^(COUNTIFS($B$3:$B24,"Buy upgrade",$C$3:$C24,C25)+COUNTIFS($B$3:$B24,"Hire hunter",$C$3:$C24,C25)+COUNTIFS($B$3:$B24,"Forge/Scrapwork buy",$C$3:$C24,C25))),1),0),0))</f>
        <v/>
      </c>
      <c r="K25" s="7">
        <f>MAX(0,K24+IF(AND((E25="OK"),B25="Hunt"),IF(C25="Thornpelt Bear",(IF(B25="Hunt",(('Rules &amp; Formulas'!B4*N24*('Rules &amp; Formulas'!B5+O24)*IFERROR(VLOOKUP(C25,Monsters!$T$4:$AH$15,10,FALSE),0)*IFERROR(VLOOKUP(C25,Monsters!$T$4:$AH$15,9,FALSE),0))*'Rules &amp; Formulas'!B6)*IF(D25="",0,D25),0))*0.12,0),0)+IF(AND((E25="OK"),B25="Go AFK"),IF(C25="Thornpelt Bear",(IF(B25="Go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AFK",IF(D25="",0,D25),0),Z24/60)*60)),0))*0.12,0),0))</f>
        <v/>
      </c>
      <c r="L25" s="7">
        <f>MAX(0,L24+IF(AND((E25="OK"),B25="Hunt"),IF(C25="Dire Thornpelt",(IF(B25="Hunt",(('Rules &amp; Formulas'!B4*N24*('Rules &amp; Formulas'!B5+O24)*IFERROR(VLOOKUP(C25,Monsters!$T$4:$AH$15,10,FALSE),0)*IFERROR(VLOOKUP(C25,Monsters!$T$4:$AH$15,9,FALSE),0))*'Rules &amp; Formulas'!B6)*IF(D25="",0,D25),0))*0.1,0),0)+IF(AND((E25="OK"),B25="Go AFK"),IF(C25="Dire Thornpelt",(IF(B25="Go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AFK",IF(D25="",0,D25),0),Z24/60)*60)),0))*0.1,0),0))</f>
        <v/>
      </c>
      <c r="M25" s="7">
        <f>IF(AND((E25="OK"),B25="Go AFK"),MAX(0,MIN(('Rules &amp; Formulas'!B15+25*AJ24),M24+('Rules &amp; Formulas'!B14+0.4*AJ24)*(MIN(IF(B25="Go AFK",IF(D25="",0,D25),0),Z24/60)*60))-(IF(B25="Go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AFK",IF(D25="",0,D25),0),Z24/60)*60)),0))*(IF((IFERROR(VLOOKUP(C25,Monsters!$T$4:$AH$15,8,FALSE),0))=0,0.35,IFERROR(VLOOKUP(C25,Monsters!$T$4:$AH$15,8,FALSE),0))/(1+0.08*AK24))),MIN(('Rules &amp; Formulas'!B15+25*AJ25),M24))</f>
        <v/>
      </c>
      <c r="N25" s="7">
        <f>(1+0.08+0.12*AA25+0.12*AB25+0.16*AC25)</f>
        <v/>
      </c>
      <c r="O25" s="7">
        <f>((AD25&gt;=1)*1*(1+0.3*AE25))</f>
        <v/>
      </c>
      <c r="P25" s="7">
        <f>IF(OR(B25="Hunt",B25="Go AFK"),(('Rules &amp; Formulas'!B4*N24*('Rules &amp; Formulas'!B5+O24)*IFERROR(VLOOKUP(C25,Monsters!$T$4:$AH$15,10,FALSE),0)*IFERROR(VLOOKUP(C25,Monsters!$T$4:$AH$15,9,FALSE),0))*'Rules &amp; Formulas'!B6),"")</f>
        <v/>
      </c>
      <c r="Q25" s="7">
        <f>IF(OR(B25="Hunt",B25="Go AFK"),('Rules &amp; Formulas'!B4*N24*('Rules &amp; Formulas'!B5+O24)*IFERROR(VLOOKUP(C25,Monsters!$T$4:$AH$15,10,FALSE),0)*IFERROR(VLOOKUP(C25,Monsters!$T$4:$AH$15,9,FALSE),0)),"")</f>
        <v/>
      </c>
      <c r="R25" s="7">
        <f>IF(AND((E25="OK"),B25="Hunt"),IF(B25="Hunt",(('Rules &amp; Formulas'!B4*N24*('Rules &amp; Formulas'!B5+O24)*IFERROR(VLOOKUP(C25,Monsters!$T$4:$AH$15,10,FALSE),0)*IFERROR(VLOOKUP(C25,Monsters!$T$4:$AH$15,9,FALSE),0))*'Rules &amp; Formulas'!B6)*IF(D25="",0,D25),0),IF(AND((E25="OK"),B25="Go AFK"),IF(B25="Go AFK",MIN(IF((IF((IFERROR(VLOOKUP(C25,Monsters!$T$4:$AH$15,8,FALSE),0))=0,0.35,IFERROR(VLOOKUP(C25,Monsters!$T$4:$AH$15,8,FALSE),0))/(1+0.08*AK24))&lt;=0,999999,FLOOR(MIN(('Rules &amp; Formulas'!B15+25*AJ24),M24+('Rules &amp; Formulas'!B14+0.4*AJ24)*(MIN(IF(B25="Go AFK",IF(D25="",0,D25),0),Z24/60)*60))/(IF((IFERROR(VLOOKUP(C25,Monsters!$T$4:$AH$15,8,FALSE),0))=0,0.35,IFERROR(VLOOKUP(C25,Monsters!$T$4:$AH$15,8,FALSE),0))/(1+0.08*AK24)),1)),('Rules &amp; Formulas'!B4*N24*('Rules &amp; Formulas'!B5+O24)*IFERROR(VLOOKUP(C25,Monsters!$T$4:$AH$15,10,FALSE),0)*IFERROR(VLOOKUP(C25,Monsters!$T$4:$AH$15,9,FALSE),0))*(MIN(IF(B25="Go AFK",IF(D25="",0,D25),0),Z24/60)*60)),0),0))</f>
        <v/>
      </c>
      <c r="S25" s="7">
        <f>(105/'Rules &amp; Formulas'!B10)*'Rules &amp; Formulas'!B11</f>
        <v/>
      </c>
      <c r="T25" s="7">
        <f>IF(AD24&gt;=1,(MAX(1,ROUND('Rules &amp; Formulas'!B18*(1+0.3*AE24)*(1+0.4*AF24),0)))*(1000/'Rules &amp; Formulas'!B19)*MIN(0.95,'Rules &amp; Formulas'!B20*SQRT(1+0.55*(AG24&gt;=1))),0)</f>
        <v/>
      </c>
      <c r="U25" s="7">
        <f>S25+T25</f>
        <v/>
      </c>
      <c r="V25" s="7">
        <f>IF(I24&gt;=IF((IFERROR(VLOOKUP(C25,Monsters!$T$4:$AH$15,15,FALSE),0))=0,120,IFERROR(VLOOKUP(C25,Monsters!$T$4:$AH$15,15,FALSE),0)),"YES","no")</f>
        <v/>
      </c>
      <c r="W25" s="7">
        <f>IF(AND(B25="Fight boss",E25="OK"),IF((((105/'Rules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Formulas'!B20*SQRT(1+0.55*(AG24&gt;=1))),0)))),"")</f>
        <v/>
      </c>
      <c r="X25" s="7">
        <f>IF(AND(B25="Fight boss",E25="OK"),IF((IF((((105/'Rules &amp; Formulas'!B10)*'Rules &amp; Formulas'!B11+IF(AD24&gt;=1,(MAX(1,ROUND('Rules &amp; Formulas'!B18*(1+0.3*AE24)*(1+0.4*AF24),0)))*(1000/'Rules &amp; Formulas'!B19)*MIN(0.95,'Rules &amp; Formulas'!B20*SQRT(1+0.55*(AG24&gt;=1))),0)))&lt;=0,9999,(IFERROR(VLOOKUP(C25,Monsters!$T$4:$AH$15,2,FALSE),0))/(((105/'Rules &amp; Formulas'!B10)*'Rules &amp; Formulas'!B11+IF(AD24&gt;=1,(MAX(1,ROUND('Rules &amp; Formulas'!B18*(1+0.3*AE24)*(1+0.4*AF24),0)))*(1000/'Rules &amp; Formulas'!B19)*MIN(0.95,'Rules &amp; Formulas'!B20*SQRT(1+0.55*(AG24&gt;=1))),0))))&lt;='Rules &amp; Formulas'!B12),"WIN","LOSE"),"")</f>
        <v/>
      </c>
      <c r="Y25" s="7">
        <f>IF(B25="Go AFK",MIN(IF(B25="Go AFK",IF(D25="",0,D25),0),Z24/60),"")</f>
        <v/>
      </c>
      <c r="Z25" s="7">
        <f>('Rules &amp; Formulas'!B13+30*AI25)</f>
        <v/>
      </c>
      <c r="AA25">
        <f>COUNTIFS($B$3:$B25,"Buy upgrade",$C$3:$C25,"Idle Power")</f>
        <v/>
      </c>
      <c r="AB25">
        <f>COUNTIFS($B$3:$B25,"Buy upgrade",$C$3:$C25,"Iron Blade")</f>
        <v/>
      </c>
      <c r="AC25">
        <f>COUNTIFS($B$3:$B25,"Buy upgrade",$C$3:$C25,"Steel Blade")</f>
        <v/>
      </c>
      <c r="AD25">
        <f>COUNTIFS($B$3:$B25,"Hire hunter",$C$3:$C25,"Briar")+COUNTIFS($B$3:$B25,"Buy upgrade",$C$3:$C25,"Hire Briar")</f>
        <v/>
      </c>
      <c r="AE25">
        <f>COUNTIFS($B$3:$B25,"Buy upgrade",$C$3:$C25,"Hunter Power")</f>
        <v/>
      </c>
      <c r="AF25">
        <f>COUNTIFS($B$3:$B25,"Buy upgrade",$C$3:$C25,"Bigger Hits")</f>
        <v/>
      </c>
      <c r="AG25">
        <f>COUNTIFS($B$3:$B25,"Buy upgrade",$C$3:$C25,"Swift Walk")</f>
        <v/>
      </c>
      <c r="AH25">
        <f>COUNTIFS($B$3:$B25,"Buy upgrade",$C$3:$C25,"Loot Luck")</f>
        <v/>
      </c>
      <c r="AI25">
        <f>COUNTIFS($B$3:$B25,"Buy upgrade",$C$3:$C25,"Offline Cap")</f>
        <v/>
      </c>
      <c r="AJ25">
        <f>COUNTIFS($B$3:$B25,"Buy upgrade",$C$3:$C25,"Bigger Food Stock")</f>
        <v/>
      </c>
      <c r="AK25">
        <f>COUNTIFS($B$3:$B25,"Buy upgrade",$C$3:$C25,"Food Efficiency")</f>
        <v/>
      </c>
    </row>
    <row r="26">
      <c r="A26" t="n">
        <v>24</v>
      </c>
      <c r="B26" s="6" t="n"/>
      <c r="C26" s="6" t="n"/>
      <c r="D26" s="6" t="n"/>
      <c r="E26" s="7">
        <f>IF(B26="","",IF(OR(B26="Hunt",B26="Go AFK"),IF(C26="","Can't","OK"),IF(B26="Fight boss",IF(I25&lt;IF((IFERROR(VLOOKUP(C26,Monsters!$T$4:$AH$15,15,FALSE),0))=0,120,IFERROR(VLOOKUP(C26,Monsters!$T$4:$AH$15,15,FALSE),0)),"Can't","OK"),IF(B26="Hire hunter",IF(AND(C26="Briar",AD25&gt;=1),"Can't",IF(H25&lt;IF(C26="Briar",140,IF(C26="Quill",3650,IF(C26="Moss",4850,IF(C26="Ember",12200,0)))),"Can't","OK")),IF(OR(B26="Buy upgrade",B26="Forge/Scrapwork buy"),IF(IFERROR(VLOOKUP(C26,Upgrades!$N$4:$T$47,2,FALSE),0)="points","Can't",IF(IFERROR(VLOOKUP(C26,Upgrades!$N$4:$T$47,2,FALSE),0)="gold",IF(H25&lt;IFERROR(FLOOR(IFERROR(VLOOKUP(C26,Upgrades!$N$4:$T$47,3,FALSE),0)*(IFERROR(VLOOKUP(C26,Upgrades!$N$4:$T$47,4,FALSE),0)^(COUNTIFS($B$3:$B25,"Buy upgrade",$C$3:$C25,C26)+COUNTIFS($B$3:$B25,"Hire hunter",$C$3:$C25,C26)+COUNTIFS($B$3:$B25,"Forge/Scrapwork buy",$C$3:$C25,C26))),1),0),"Can't","OK"),IF(IFERROR(VLOOKUP(C26,Upgrades!$N$4:$T$47,2,FALSE),0)="scraps",IF(J25&lt;IFERROR(FLOOR(IFERROR(VLOOKUP(C26,Upgrades!$N$4:$T$47,3,FALSE),0)*(IFERROR(VLOOKUP(C26,Upgrades!$N$4:$T$47,4,FALSE),0)^(COUNTIFS($B$3:$B25,"Buy upgrade",$C$3:$C25,C26)+COUNTIFS($B$3:$B25,"Hire hunter",$C$3:$C25,C26)+COUNTIFS($B$3:$B25,"Forge/Scrapwork buy",$C$3:$C25,C26))),1),0),"Can't","OK"),IF(IFERROR(VLOOKUP(C26,Upgrades!$N$4:$T$47,2,FALSE),0)="mats","Can't","OK")))),"Check")))))</f>
        <v/>
      </c>
      <c r="F26" s="7">
        <f>IF(B26="","",IF(AND(B26="Fight boss",I25&lt;IF((IFERROR(VLOOKUP(C26,Monsters!$T$4:$AH$15,15,FALSE),0))=0,120,IFERROR(VLOOKUP(C26,Monsters!$T$4:$AH$15,15,FALSE),0))),"Can't — need "&amp;TEXT(IF((IFERROR(VLOOKUP(C26,Monsters!$T$4:$AH$15,15,FALSE),0))=0,120,IFERROR(VLOOKUP(C26,Monsters!$T$4:$AH$15,15,FALSE),0))-I25,"0.0")&amp;" more Slayer points on the meter",IF(AND(B26="Hire hunter",C26="Briar",AD25&gt;=1),"Can't — already hired",IF(AND(B26="Hire hunter",H25&lt;IF(C26="Briar",140,IF(C26="Quill",3650,IF(C26="Moss",4850,IF(C26="Ember",12200,0))))),"Can't — need "&amp;TEXT(IF(C26="Briar",140,IF(C26="Quill",3650,IF(C26="Moss",4850,IF(C26="Ember",12200,0))))-H25,"0")&amp;" more gold",IF(AND(OR(B26="Buy upgrade",B26="Forge/Scrapwork buy"),IFERROR(VLOOKUP(C26,Upgrades!$N$4:$T$47,2,FALSE),0)="points"),"Can't — Sp-wallet spends not tracked here",IF(AND(OR(B26="Buy upgrade",B26="Forge/Scrapwork buy"),IFERROR(VLOOKUP(C26,Upgrades!$N$4:$T$47,2,FALSE),0)="gold",H25&lt;IFERROR(FLOOR(IFERROR(VLOOKUP(C26,Upgrades!$N$4:$T$47,3,FALSE),0)*(IFERROR(VLOOKUP(C26,Upgrades!$N$4:$T$47,4,FALSE),0)^(COUNTIFS($B$3:$B25,"Buy upgrade",$C$3:$C25,C26)+COUNTIFS($B$3:$B25,"Hire hunter",$C$3:$C25,C26)+COUNTIFS($B$3:$B25,"Forge/Scrapwork buy",$C$3:$C25,C26))),1),0)),"Can't — need "&amp;TEXT(IFERROR(FLOOR(IFERROR(VLOOKUP(C26,Upgrades!$N$4:$T$47,3,FALSE),0)*(IFERROR(VLOOKUP(C26,Upgrades!$N$4:$T$47,4,FALSE),0)^(COUNTIFS($B$3:$B25,"Buy upgrade",$C$3:$C25,C26)+COUNTIFS($B$3:$B25,"Hire hunter",$C$3:$C25,C26)+COUNTIFS($B$3:$B25,"Forge/Scrapwork buy",$C$3:$C25,C26))),1),0)-H25,"0")&amp;" more gold",IF(AND(OR(B26="Buy upgrade",B26="Forge/Scrapwork buy"),IFERROR(VLOOKUP(C26,Upgrades!$N$4:$T$47,2,FALSE),0)="scraps",J25&lt;IFERROR(FLOOR(IFERROR(VLOOKUP(C26,Upgrades!$N$4:$T$47,3,FALSE),0)*(IFERROR(VLOOKUP(C26,Upgrades!$N$4:$T$47,4,FALSE),0)^(COUNTIFS($B$3:$B25,"Buy upgrade",$C$3:$C25,C26)+COUNTIFS($B$3:$B25,"Hire hunter",$C$3:$C25,C26)+COUNTIFS($B$3:$B25,"Forge/Scrapwork buy",$C$3:$C25,C26))),1),0)),"Can't — need "&amp;TEXT(IFERROR(FLOOR(IFERROR(VLOOKUP(C26,Upgrades!$N$4:$T$47,3,FALSE),0)*(IFERROR(VLOOKUP(C26,Upgrades!$N$4:$T$47,4,FALSE),0)^(COUNTIFS($B$3:$B25,"Buy upgrade",$C$3:$C25,C26)+COUNTIFS($B$3:$B25,"Hire hunter",$C$3:$C25,C26)+COUNTIFS($B$3:$B25,"Forge/Scrapwork buy",$C$3:$C25,C26))),1),0)-J25,"0")&amp;" more scraps",IF(AND(B26="Fight boss",E26="OK",(IF((((105/'Rules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Formulas'!B12)),"WIN — boss down, next Level unlocks",IF(AND(B26="Fight boss",E26="OK"),"LOSE — TTK "&amp;TEXT(IF((((105/'Rules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Formulas'!B20*SQRT(1+0.55*(AG25&gt;=1))),0)))),"0")&amp;"s &gt; patience "&amp;TEXT('Rules &amp; Formulas'!B12,"0")&amp;"s (leave resets HP)",IF(B26="Go AFK","AFK resolved (see AFK counted h)","Applied")))))))))</f>
        <v/>
      </c>
      <c r="G26" s="7">
        <f>IF(AND((E26="OK"),B26="Fight boss",(IF((((105/'Rules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Formulas'!B12),C26="Elder Thornpelt"),2,IF(AND((E26="OK"),B26="Fight boss",(IF((((105/'Rules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Formulas'!B12),C26="Ashfang Alpha"),3,G25))</f>
        <v/>
      </c>
      <c r="H26" s="7">
        <f>MAX(0,H25+IF(AND((E26="OK"),B26="Hunt"),(IF(B26="Hunt",(('Rules &amp; Formulas'!B4*N25*('Rules &amp; Formulas'!B5+O25)*IFERROR(VLOOKUP(C26,Monsters!$T$4:$AH$15,10,FALSE),0)*IFERROR(VLOOKUP(C26,Monsters!$T$4:$AH$15,9,FALSE),0))*'Rules &amp; Formulas'!B6)*IF(D26="",0,D26),0))*(IFERROR(VLOOKUP(C26,Monsters!$T$4:$AH$15,3,FALSE),0))*(1+0.1*AH25)+(IF(OR(B26&lt;&gt;"Hunt",IFERROR(VLOOKUP(C26,Monsters!$T$4:$AH$15,6,FALSE),0)=0),0,FLOOR((IF(B26="Hunt",(('Rules &amp; Formulas'!B4*N25*('Rules &amp; Formulas'!B5+O25)*IFERROR(VLOOKUP(C26,Monsters!$T$4:$AH$15,10,FALSE),0)*IFERROR(VLOOKUP(C26,Monsters!$T$4:$AH$15,9,FALSE),0))*'Rules &amp; Formulas'!B6)*IF(D26="",0,D26),0))/MAX(1,IFERROR(VLOOKUP(C26,Monsters!$T$4:$AH$15,6,FALSE),0)),1)))*(IFERROR(VLOOKUP(C26,Monsters!$T$4:$AH$15,7,FALSE),0))*0.5*(1+0.1*AH25),0)+IF(AND((E26="OK"),B26="Go AFK"),(IF(B26="Go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AFK",IF(D26="",0,D26),0),Z25/60)*60)),0))*(IFERROR(VLOOKUP(C26,Monsters!$T$4:$AH$15,3,FALSE),0))*(1+0.1*AH25)+(IF(OR(B26&lt;&gt;"Go AFK",IFERROR(VLOOKUP(C26,Monsters!$T$4:$AH$15,6,FALSE),0)=0),0,FLOOR((IF(B26="Go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AFK",IF(D26="",0,D26),0),Z25/60)*60)),0))/MAX(1,IFERROR(VLOOKUP(C26,Monsters!$T$4:$AH$15,6,FALSE),0)),1)))*(IFERROR(VLOOKUP(C26,Monsters!$T$4:$AH$15,7,FALSE),0))*0.5*(1+0.1*AH25),0)+IF(AND((E26="OK"),B26="Fight boss",(IF((((105/'Rules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Formulas'!B12)),IFERROR(VLOOKUP(C26,Monsters!$T$4:$AH$15,3,FALSE),0),0)-IF(AND((E26="OK"),OR(B26="Buy upgrade",B26="Forge/Scrapwork buy"),IFERROR(VLOOKUP(C26,Upgrades!$N$4:$T$47,2,FALSE),0)="gold"),IFERROR(FLOOR(IFERROR(VLOOKUP(C26,Upgrades!$N$4:$T$47,3,FALSE),0)*(IFERROR(VLOOKUP(C26,Upgrades!$N$4:$T$47,4,FALSE),0)^(COUNTIFS($B$3:$B25,"Buy upgrade",$C$3:$C25,C26)+COUNTIFS($B$3:$B25,"Hire hunter",$C$3:$C25,C26)+COUNTIFS($B$3:$B25,"Forge/Scrapwork buy",$C$3:$C25,C26))),1),0),0)-IF(AND((E26="OK"),B26="Hire hunter"),IF(C26="Briar",140,IF(C26="Quill",3650,IF(C26="Moss",4850,IF(C26="Ember",12200,0)))),0))</f>
        <v/>
      </c>
      <c r="I26" s="7">
        <f>IF(AND((E26="OK"),B26="Fight boss",(IF((((105/'Rules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Formulas'!B12)),0,MIN(IF(G25&lt;=1,120,IF(G25=2,280,600)),I25+IF(AND((E26="OK"),B26="Hunt"),((IF(B26="Hunt",(('Rules &amp; Formulas'!B4*N25*('Rules &amp; Formulas'!B5+O25)*IFERROR(VLOOKUP(C26,Monsters!$T$4:$AH$15,10,FALSE),0)*IFERROR(VLOOKUP(C26,Monsters!$T$4:$AH$15,9,FALSE),0))*'Rules &amp; Formulas'!B6)*IF(D26="",0,D26),0))*(IFERROR(VLOOKUP(C26,Monsters!$T$4:$AH$15,4,FALSE),0))+(IF(OR(B26&lt;&gt;"Hunt",IFERROR(VLOOKUP(C26,Monsters!$T$4:$AH$15,6,FALSE),0)=0),0,FLOOR((IF(B26="Hunt",(('Rules &amp; Formulas'!B4*N25*('Rules &amp; Formulas'!B5+O25)*IFERROR(VLOOKUP(C26,Monsters!$T$4:$AH$15,10,FALSE),0)*IFERROR(VLOOKUP(C26,Monsters!$T$4:$AH$15,9,FALSE),0))*'Rules &amp; Formulas'!B6)*IF(D26="",0,D26),0))/MAX(1,IFERROR(VLOOKUP(C26,Monsters!$T$4:$AH$15,6,FALSE),0)),1)))*(IFERROR(VLOOKUP(C26,Monsters!$T$4:$AH$15,7,FALSE),0))),0)+IF(AND((E26="OK"),B26="Go AFK"),((IF(B26="Go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AFK",IF(D26="",0,D26),0),Z25/60)*60)),0))*(IFERROR(VLOOKUP(C26,Monsters!$T$4:$AH$15,4,FALSE),0))+(IF(OR(B26&lt;&gt;"Go AFK",IFERROR(VLOOKUP(C26,Monsters!$T$4:$AH$15,6,FALSE),0)=0),0,FLOOR((IF(B26="Go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AFK",IF(D26="",0,D26),0),Z25/60)*60)),0))/MAX(1,IFERROR(VLOOKUP(C26,Monsters!$T$4:$AH$15,6,FALSE),0)),1)))*(IFERROR(VLOOKUP(C26,Monsters!$T$4:$AH$15,7,FALSE),0))),0)))</f>
        <v/>
      </c>
      <c r="J26" s="7">
        <f>MAX(0,J25+IF(AND((E26="OK"),B26="Hunt"),(IF(B26="Hunt",(('Rules &amp; Formulas'!B4*N25*('Rules &amp; Formulas'!B5+O25)*IFERROR(VLOOKUP(C26,Monsters!$T$4:$AH$15,10,FALSE),0)*IFERROR(VLOOKUP(C26,Monsters!$T$4:$AH$15,9,FALSE),0))*'Rules &amp; Formulas'!B6)*IF(D26="",0,D26),0))*(IFERROR(VLOOKUP(C26,Monsters!$T$4:$AH$15,5,FALSE),0)),0)+IF(AND((E26="OK"),B26="Go AFK"),(IF(B26="Go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AFK",IF(D26="",0,D26),0),Z25/60)*60)),0))*(IFERROR(VLOOKUP(C26,Monsters!$T$4:$AH$15,5,FALSE),0)),0)-IF(AND((E26="OK"),OR(B26="Buy upgrade",B26="Forge/Scrapwork buy"),IFERROR(VLOOKUP(C26,Upgrades!$N$4:$T$47,2,FALSE),0)="scraps"),IFERROR(FLOOR(IFERROR(VLOOKUP(C26,Upgrades!$N$4:$T$47,3,FALSE),0)*(IFERROR(VLOOKUP(C26,Upgrades!$N$4:$T$47,4,FALSE),0)^(COUNTIFS($B$3:$B25,"Buy upgrade",$C$3:$C25,C26)+COUNTIFS($B$3:$B25,"Hire hunter",$C$3:$C25,C26)+COUNTIFS($B$3:$B25,"Forge/Scrapwork buy",$C$3:$C25,C26))),1),0),0))</f>
        <v/>
      </c>
      <c r="K26" s="7">
        <f>MAX(0,K25+IF(AND((E26="OK"),B26="Hunt"),IF(C26="Thornpelt Bear",(IF(B26="Hunt",(('Rules &amp; Formulas'!B4*N25*('Rules &amp; Formulas'!B5+O25)*IFERROR(VLOOKUP(C26,Monsters!$T$4:$AH$15,10,FALSE),0)*IFERROR(VLOOKUP(C26,Monsters!$T$4:$AH$15,9,FALSE),0))*'Rules &amp; Formulas'!B6)*IF(D26="",0,D26),0))*0.12,0),0)+IF(AND((E26="OK"),B26="Go AFK"),IF(C26="Thornpelt Bear",(IF(B26="Go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AFK",IF(D26="",0,D26),0),Z25/60)*60)),0))*0.12,0),0))</f>
        <v/>
      </c>
      <c r="L26" s="7">
        <f>MAX(0,L25+IF(AND((E26="OK"),B26="Hunt"),IF(C26="Dire Thornpelt",(IF(B26="Hunt",(('Rules &amp; Formulas'!B4*N25*('Rules &amp; Formulas'!B5+O25)*IFERROR(VLOOKUP(C26,Monsters!$T$4:$AH$15,10,FALSE),0)*IFERROR(VLOOKUP(C26,Monsters!$T$4:$AH$15,9,FALSE),0))*'Rules &amp; Formulas'!B6)*IF(D26="",0,D26),0))*0.1,0),0)+IF(AND((E26="OK"),B26="Go AFK"),IF(C26="Dire Thornpelt",(IF(B26="Go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AFK",IF(D26="",0,D26),0),Z25/60)*60)),0))*0.1,0),0))</f>
        <v/>
      </c>
      <c r="M26" s="7">
        <f>IF(AND((E26="OK"),B26="Go AFK"),MAX(0,MIN(('Rules &amp; Formulas'!B15+25*AJ25),M25+('Rules &amp; Formulas'!B14+0.4*AJ25)*(MIN(IF(B26="Go AFK",IF(D26="",0,D26),0),Z25/60)*60))-(IF(B26="Go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AFK",IF(D26="",0,D26),0),Z25/60)*60)),0))*(IF((IFERROR(VLOOKUP(C26,Monsters!$T$4:$AH$15,8,FALSE),0))=0,0.35,IFERROR(VLOOKUP(C26,Monsters!$T$4:$AH$15,8,FALSE),0))/(1+0.08*AK25))),MIN(('Rules &amp; Formulas'!B15+25*AJ26),M25))</f>
        <v/>
      </c>
      <c r="N26" s="7">
        <f>(1+0.08+0.12*AA26+0.12*AB26+0.16*AC26)</f>
        <v/>
      </c>
      <c r="O26" s="7">
        <f>((AD26&gt;=1)*1*(1+0.3*AE26))</f>
        <v/>
      </c>
      <c r="P26" s="7">
        <f>IF(OR(B26="Hunt",B26="Go AFK"),(('Rules &amp; Formulas'!B4*N25*('Rules &amp; Formulas'!B5+O25)*IFERROR(VLOOKUP(C26,Monsters!$T$4:$AH$15,10,FALSE),0)*IFERROR(VLOOKUP(C26,Monsters!$T$4:$AH$15,9,FALSE),0))*'Rules &amp; Formulas'!B6),"")</f>
        <v/>
      </c>
      <c r="Q26" s="7">
        <f>IF(OR(B26="Hunt",B26="Go AFK"),('Rules &amp; Formulas'!B4*N25*('Rules &amp; Formulas'!B5+O25)*IFERROR(VLOOKUP(C26,Monsters!$T$4:$AH$15,10,FALSE),0)*IFERROR(VLOOKUP(C26,Monsters!$T$4:$AH$15,9,FALSE),0)),"")</f>
        <v/>
      </c>
      <c r="R26" s="7">
        <f>IF(AND((E26="OK"),B26="Hunt"),IF(B26="Hunt",(('Rules &amp; Formulas'!B4*N25*('Rules &amp; Formulas'!B5+O25)*IFERROR(VLOOKUP(C26,Monsters!$T$4:$AH$15,10,FALSE),0)*IFERROR(VLOOKUP(C26,Monsters!$T$4:$AH$15,9,FALSE),0))*'Rules &amp; Formulas'!B6)*IF(D26="",0,D26),0),IF(AND((E26="OK"),B26="Go AFK"),IF(B26="Go AFK",MIN(IF((IF((IFERROR(VLOOKUP(C26,Monsters!$T$4:$AH$15,8,FALSE),0))=0,0.35,IFERROR(VLOOKUP(C26,Monsters!$T$4:$AH$15,8,FALSE),0))/(1+0.08*AK25))&lt;=0,999999,FLOOR(MIN(('Rules &amp; Formulas'!B15+25*AJ25),M25+('Rules &amp; Formulas'!B14+0.4*AJ25)*(MIN(IF(B26="Go AFK",IF(D26="",0,D26),0),Z25/60)*60))/(IF((IFERROR(VLOOKUP(C26,Monsters!$T$4:$AH$15,8,FALSE),0))=0,0.35,IFERROR(VLOOKUP(C26,Monsters!$T$4:$AH$15,8,FALSE),0))/(1+0.08*AK25)),1)),('Rules &amp; Formulas'!B4*N25*('Rules &amp; Formulas'!B5+O25)*IFERROR(VLOOKUP(C26,Monsters!$T$4:$AH$15,10,FALSE),0)*IFERROR(VLOOKUP(C26,Monsters!$T$4:$AH$15,9,FALSE),0))*(MIN(IF(B26="Go AFK",IF(D26="",0,D26),0),Z25/60)*60)),0),0))</f>
        <v/>
      </c>
      <c r="S26" s="7">
        <f>(105/'Rules &amp; Formulas'!B10)*'Rules &amp; Formulas'!B11</f>
        <v/>
      </c>
      <c r="T26" s="7">
        <f>IF(AD25&gt;=1,(MAX(1,ROUND('Rules &amp; Formulas'!B18*(1+0.3*AE25)*(1+0.4*AF25),0)))*(1000/'Rules &amp; Formulas'!B19)*MIN(0.95,'Rules &amp; Formulas'!B20*SQRT(1+0.55*(AG25&gt;=1))),0)</f>
        <v/>
      </c>
      <c r="U26" s="7">
        <f>S26+T26</f>
        <v/>
      </c>
      <c r="V26" s="7">
        <f>IF(I25&gt;=IF((IFERROR(VLOOKUP(C26,Monsters!$T$4:$AH$15,15,FALSE),0))=0,120,IFERROR(VLOOKUP(C26,Monsters!$T$4:$AH$15,15,FALSE),0)),"YES","no")</f>
        <v/>
      </c>
      <c r="W26" s="7">
        <f>IF(AND(B26="Fight boss",E26="OK"),IF((((105/'Rules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Formulas'!B20*SQRT(1+0.55*(AG25&gt;=1))),0)))),"")</f>
        <v/>
      </c>
      <c r="X26" s="7">
        <f>IF(AND(B26="Fight boss",E26="OK"),IF((IF((((105/'Rules &amp; Formulas'!B10)*'Rules &amp; Formulas'!B11+IF(AD25&gt;=1,(MAX(1,ROUND('Rules &amp; Formulas'!B18*(1+0.3*AE25)*(1+0.4*AF25),0)))*(1000/'Rules &amp; Formulas'!B19)*MIN(0.95,'Rules &amp; Formulas'!B20*SQRT(1+0.55*(AG25&gt;=1))),0)))&lt;=0,9999,(IFERROR(VLOOKUP(C26,Monsters!$T$4:$AH$15,2,FALSE),0))/(((105/'Rules &amp; Formulas'!B10)*'Rules &amp; Formulas'!B11+IF(AD25&gt;=1,(MAX(1,ROUND('Rules &amp; Formulas'!B18*(1+0.3*AE25)*(1+0.4*AF25),0)))*(1000/'Rules &amp; Formulas'!B19)*MIN(0.95,'Rules &amp; Formulas'!B20*SQRT(1+0.55*(AG25&gt;=1))),0))))&lt;='Rules &amp; Formulas'!B12),"WIN","LOSE"),"")</f>
        <v/>
      </c>
      <c r="Y26" s="7">
        <f>IF(B26="Go AFK",MIN(IF(B26="Go AFK",IF(D26="",0,D26),0),Z25/60),"")</f>
        <v/>
      </c>
      <c r="Z26" s="7">
        <f>('Rules &amp; Formulas'!B13+30*AI26)</f>
        <v/>
      </c>
      <c r="AA26">
        <f>COUNTIFS($B$3:$B26,"Buy upgrade",$C$3:$C26,"Idle Power")</f>
        <v/>
      </c>
      <c r="AB26">
        <f>COUNTIFS($B$3:$B26,"Buy upgrade",$C$3:$C26,"Iron Blade")</f>
        <v/>
      </c>
      <c r="AC26">
        <f>COUNTIFS($B$3:$B26,"Buy upgrade",$C$3:$C26,"Steel Blade")</f>
        <v/>
      </c>
      <c r="AD26">
        <f>COUNTIFS($B$3:$B26,"Hire hunter",$C$3:$C26,"Briar")+COUNTIFS($B$3:$B26,"Buy upgrade",$C$3:$C26,"Hire Briar")</f>
        <v/>
      </c>
      <c r="AE26">
        <f>COUNTIFS($B$3:$B26,"Buy upgrade",$C$3:$C26,"Hunter Power")</f>
        <v/>
      </c>
      <c r="AF26">
        <f>COUNTIFS($B$3:$B26,"Buy upgrade",$C$3:$C26,"Bigger Hits")</f>
        <v/>
      </c>
      <c r="AG26">
        <f>COUNTIFS($B$3:$B26,"Buy upgrade",$C$3:$C26,"Swift Walk")</f>
        <v/>
      </c>
      <c r="AH26">
        <f>COUNTIFS($B$3:$B26,"Buy upgrade",$C$3:$C26,"Loot Luck")</f>
        <v/>
      </c>
      <c r="AI26">
        <f>COUNTIFS($B$3:$B26,"Buy upgrade",$C$3:$C26,"Offline Cap")</f>
        <v/>
      </c>
      <c r="AJ26">
        <f>COUNTIFS($B$3:$B26,"Buy upgrade",$C$3:$C26,"Bigger Food Stock")</f>
        <v/>
      </c>
      <c r="AK26">
        <f>COUNTIFS($B$3:$B26,"Buy upgrade",$C$3:$C26,"Food Efficiency")</f>
        <v/>
      </c>
    </row>
    <row r="27">
      <c r="A27" t="n">
        <v>25</v>
      </c>
      <c r="B27" s="6" t="n"/>
      <c r="C27" s="6" t="n"/>
      <c r="D27" s="6" t="n"/>
      <c r="E27" s="7">
        <f>IF(B27="","",IF(OR(B27="Hunt",B27="Go AFK"),IF(C27="","Can't","OK"),IF(B27="Fight boss",IF(I26&lt;IF((IFERROR(VLOOKUP(C27,Monsters!$T$4:$AH$15,15,FALSE),0))=0,120,IFERROR(VLOOKUP(C27,Monsters!$T$4:$AH$15,15,FALSE),0)),"Can't","OK"),IF(B27="Hire hunter",IF(AND(C27="Briar",AD26&gt;=1),"Can't",IF(H26&lt;IF(C27="Briar",140,IF(C27="Quill",3650,IF(C27="Moss",4850,IF(C27="Ember",12200,0)))),"Can't","OK")),IF(OR(B27="Buy upgrade",B27="Forge/Scrapwork buy"),IF(IFERROR(VLOOKUP(C27,Upgrades!$N$4:$T$47,2,FALSE),0)="points","Can't",IF(IFERROR(VLOOKUP(C27,Upgrades!$N$4:$T$47,2,FALSE),0)="gold",IF(H26&lt;IFERROR(FLOOR(IFERROR(VLOOKUP(C27,Upgrades!$N$4:$T$47,3,FALSE),0)*(IFERROR(VLOOKUP(C27,Upgrades!$N$4:$T$47,4,FALSE),0)^(COUNTIFS($B$3:$B26,"Buy upgrade",$C$3:$C26,C27)+COUNTIFS($B$3:$B26,"Hire hunter",$C$3:$C26,C27)+COUNTIFS($B$3:$B26,"Forge/Scrapwork buy",$C$3:$C26,C27))),1),0),"Can't","OK"),IF(IFERROR(VLOOKUP(C27,Upgrades!$N$4:$T$47,2,FALSE),0)="scraps",IF(J26&lt;IFERROR(FLOOR(IFERROR(VLOOKUP(C27,Upgrades!$N$4:$T$47,3,FALSE),0)*(IFERROR(VLOOKUP(C27,Upgrades!$N$4:$T$47,4,FALSE),0)^(COUNTIFS($B$3:$B26,"Buy upgrade",$C$3:$C26,C27)+COUNTIFS($B$3:$B26,"Hire hunter",$C$3:$C26,C27)+COUNTIFS($B$3:$B26,"Forge/Scrapwork buy",$C$3:$C26,C27))),1),0),"Can't","OK"),IF(IFERROR(VLOOKUP(C27,Upgrades!$N$4:$T$47,2,FALSE),0)="mats","Can't","OK")))),"Check")))))</f>
        <v/>
      </c>
      <c r="F27" s="7">
        <f>IF(B27="","",IF(AND(B27="Fight boss",I26&lt;IF((IFERROR(VLOOKUP(C27,Monsters!$T$4:$AH$15,15,FALSE),0))=0,120,IFERROR(VLOOKUP(C27,Monsters!$T$4:$AH$15,15,FALSE),0))),"Can't — need "&amp;TEXT(IF((IFERROR(VLOOKUP(C27,Monsters!$T$4:$AH$15,15,FALSE),0))=0,120,IFERROR(VLOOKUP(C27,Monsters!$T$4:$AH$15,15,FALSE),0))-I26,"0.0")&amp;" more Slayer points on the meter",IF(AND(B27="Hire hunter",C27="Briar",AD26&gt;=1),"Can't — already hired",IF(AND(B27="Hire hunter",H26&lt;IF(C27="Briar",140,IF(C27="Quill",3650,IF(C27="Moss",4850,IF(C27="Ember",12200,0))))),"Can't — need "&amp;TEXT(IF(C27="Briar",140,IF(C27="Quill",3650,IF(C27="Moss",4850,IF(C27="Ember",12200,0))))-H26,"0")&amp;" more gold",IF(AND(OR(B27="Buy upgrade",B27="Forge/Scrapwork buy"),IFERROR(VLOOKUP(C27,Upgrades!$N$4:$T$47,2,FALSE),0)="points"),"Can't — Sp-wallet spends not tracked here",IF(AND(OR(B27="Buy upgrade",B27="Forge/Scrapwork buy"),IFERROR(VLOOKUP(C27,Upgrades!$N$4:$T$47,2,FALSE),0)="gold",H26&lt;IFERROR(FLOOR(IFERROR(VLOOKUP(C27,Upgrades!$N$4:$T$47,3,FALSE),0)*(IFERROR(VLOOKUP(C27,Upgrades!$N$4:$T$47,4,FALSE),0)^(COUNTIFS($B$3:$B26,"Buy upgrade",$C$3:$C26,C27)+COUNTIFS($B$3:$B26,"Hire hunter",$C$3:$C26,C27)+COUNTIFS($B$3:$B26,"Forge/Scrapwork buy",$C$3:$C26,C27))),1),0)),"Can't — need "&amp;TEXT(IFERROR(FLOOR(IFERROR(VLOOKUP(C27,Upgrades!$N$4:$T$47,3,FALSE),0)*(IFERROR(VLOOKUP(C27,Upgrades!$N$4:$T$47,4,FALSE),0)^(COUNTIFS($B$3:$B26,"Buy upgrade",$C$3:$C26,C27)+COUNTIFS($B$3:$B26,"Hire hunter",$C$3:$C26,C27)+COUNTIFS($B$3:$B26,"Forge/Scrapwork buy",$C$3:$C26,C27))),1),0)-H26,"0")&amp;" more gold",IF(AND(OR(B27="Buy upgrade",B27="Forge/Scrapwork buy"),IFERROR(VLOOKUP(C27,Upgrades!$N$4:$T$47,2,FALSE),0)="scraps",J26&lt;IFERROR(FLOOR(IFERROR(VLOOKUP(C27,Upgrades!$N$4:$T$47,3,FALSE),0)*(IFERROR(VLOOKUP(C27,Upgrades!$N$4:$T$47,4,FALSE),0)^(COUNTIFS($B$3:$B26,"Buy upgrade",$C$3:$C26,C27)+COUNTIFS($B$3:$B26,"Hire hunter",$C$3:$C26,C27)+COUNTIFS($B$3:$B26,"Forge/Scrapwork buy",$C$3:$C26,C27))),1),0)),"Can't — need "&amp;TEXT(IFERROR(FLOOR(IFERROR(VLOOKUP(C27,Upgrades!$N$4:$T$47,3,FALSE),0)*(IFERROR(VLOOKUP(C27,Upgrades!$N$4:$T$47,4,FALSE),0)^(COUNTIFS($B$3:$B26,"Buy upgrade",$C$3:$C26,C27)+COUNTIFS($B$3:$B26,"Hire hunter",$C$3:$C26,C27)+COUNTIFS($B$3:$B26,"Forge/Scrapwork buy",$C$3:$C26,C27))),1),0)-J26,"0")&amp;" more scraps",IF(AND(B27="Fight boss",E27="OK",(IF((((105/'Rules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Formulas'!B12)),"WIN — boss down, next Level unlocks",IF(AND(B27="Fight boss",E27="OK"),"LOSE — TTK "&amp;TEXT(IF((((105/'Rules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Formulas'!B20*SQRT(1+0.55*(AG26&gt;=1))),0)))),"0")&amp;"s &gt; patience "&amp;TEXT('Rules &amp; Formulas'!B12,"0")&amp;"s (leave resets HP)",IF(B27="Go AFK","AFK resolved (see AFK counted h)","Applied")))))))))</f>
        <v/>
      </c>
      <c r="G27" s="7">
        <f>IF(AND((E27="OK"),B27="Fight boss",(IF((((105/'Rules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Formulas'!B12),C27="Elder Thornpelt"),2,IF(AND((E27="OK"),B27="Fight boss",(IF((((105/'Rules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Formulas'!B12),C27="Ashfang Alpha"),3,G26))</f>
        <v/>
      </c>
      <c r="H27" s="7">
        <f>MAX(0,H26+IF(AND((E27="OK"),B27="Hunt"),(IF(B27="Hunt",(('Rules &amp; Formulas'!B4*N26*('Rules &amp; Formulas'!B5+O26)*IFERROR(VLOOKUP(C27,Monsters!$T$4:$AH$15,10,FALSE),0)*IFERROR(VLOOKUP(C27,Monsters!$T$4:$AH$15,9,FALSE),0))*'Rules &amp; Formulas'!B6)*IF(D27="",0,D27),0))*(IFERROR(VLOOKUP(C27,Monsters!$T$4:$AH$15,3,FALSE),0))*(1+0.1*AH26)+(IF(OR(B27&lt;&gt;"Hunt",IFERROR(VLOOKUP(C27,Monsters!$T$4:$AH$15,6,FALSE),0)=0),0,FLOOR((IF(B27="Hunt",(('Rules &amp; Formulas'!B4*N26*('Rules &amp; Formulas'!B5+O26)*IFERROR(VLOOKUP(C27,Monsters!$T$4:$AH$15,10,FALSE),0)*IFERROR(VLOOKUP(C27,Monsters!$T$4:$AH$15,9,FALSE),0))*'Rules &amp; Formulas'!B6)*IF(D27="",0,D27),0))/MAX(1,IFERROR(VLOOKUP(C27,Monsters!$T$4:$AH$15,6,FALSE),0)),1)))*(IFERROR(VLOOKUP(C27,Monsters!$T$4:$AH$15,7,FALSE),0))*0.5*(1+0.1*AH26),0)+IF(AND((E27="OK"),B27="Go AFK"),(IF(B27="Go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AFK",IF(D27="",0,D27),0),Z26/60)*60)),0))*(IFERROR(VLOOKUP(C27,Monsters!$T$4:$AH$15,3,FALSE),0))*(1+0.1*AH26)+(IF(OR(B27&lt;&gt;"Go AFK",IFERROR(VLOOKUP(C27,Monsters!$T$4:$AH$15,6,FALSE),0)=0),0,FLOOR((IF(B27="Go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AFK",IF(D27="",0,D27),0),Z26/60)*60)),0))/MAX(1,IFERROR(VLOOKUP(C27,Monsters!$T$4:$AH$15,6,FALSE),0)),1)))*(IFERROR(VLOOKUP(C27,Monsters!$T$4:$AH$15,7,FALSE),0))*0.5*(1+0.1*AH26),0)+IF(AND((E27="OK"),B27="Fight boss",(IF((((105/'Rules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Formulas'!B12)),IFERROR(VLOOKUP(C27,Monsters!$T$4:$AH$15,3,FALSE),0),0)-IF(AND((E27="OK"),OR(B27="Buy upgrade",B27="Forge/Scrapwork buy"),IFERROR(VLOOKUP(C27,Upgrades!$N$4:$T$47,2,FALSE),0)="gold"),IFERROR(FLOOR(IFERROR(VLOOKUP(C27,Upgrades!$N$4:$T$47,3,FALSE),0)*(IFERROR(VLOOKUP(C27,Upgrades!$N$4:$T$47,4,FALSE),0)^(COUNTIFS($B$3:$B26,"Buy upgrade",$C$3:$C26,C27)+COUNTIFS($B$3:$B26,"Hire hunter",$C$3:$C26,C27)+COUNTIFS($B$3:$B26,"Forge/Scrapwork buy",$C$3:$C26,C27))),1),0),0)-IF(AND((E27="OK"),B27="Hire hunter"),IF(C27="Briar",140,IF(C27="Quill",3650,IF(C27="Moss",4850,IF(C27="Ember",12200,0)))),0))</f>
        <v/>
      </c>
      <c r="I27" s="7">
        <f>IF(AND((E27="OK"),B27="Fight boss",(IF((((105/'Rules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Formulas'!B12)),0,MIN(IF(G26&lt;=1,120,IF(G26=2,280,600)),I26+IF(AND((E27="OK"),B27="Hunt"),((IF(B27="Hunt",(('Rules &amp; Formulas'!B4*N26*('Rules &amp; Formulas'!B5+O26)*IFERROR(VLOOKUP(C27,Monsters!$T$4:$AH$15,10,FALSE),0)*IFERROR(VLOOKUP(C27,Monsters!$T$4:$AH$15,9,FALSE),0))*'Rules &amp; Formulas'!B6)*IF(D27="",0,D27),0))*(IFERROR(VLOOKUP(C27,Monsters!$T$4:$AH$15,4,FALSE),0))+(IF(OR(B27&lt;&gt;"Hunt",IFERROR(VLOOKUP(C27,Monsters!$T$4:$AH$15,6,FALSE),0)=0),0,FLOOR((IF(B27="Hunt",(('Rules &amp; Formulas'!B4*N26*('Rules &amp; Formulas'!B5+O26)*IFERROR(VLOOKUP(C27,Monsters!$T$4:$AH$15,10,FALSE),0)*IFERROR(VLOOKUP(C27,Monsters!$T$4:$AH$15,9,FALSE),0))*'Rules &amp; Formulas'!B6)*IF(D27="",0,D27),0))/MAX(1,IFERROR(VLOOKUP(C27,Monsters!$T$4:$AH$15,6,FALSE),0)),1)))*(IFERROR(VLOOKUP(C27,Monsters!$T$4:$AH$15,7,FALSE),0))),0)+IF(AND((E27="OK"),B27="Go AFK"),((IF(B27="Go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AFK",IF(D27="",0,D27),0),Z26/60)*60)),0))*(IFERROR(VLOOKUP(C27,Monsters!$T$4:$AH$15,4,FALSE),0))+(IF(OR(B27&lt;&gt;"Go AFK",IFERROR(VLOOKUP(C27,Monsters!$T$4:$AH$15,6,FALSE),0)=0),0,FLOOR((IF(B27="Go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AFK",IF(D27="",0,D27),0),Z26/60)*60)),0))/MAX(1,IFERROR(VLOOKUP(C27,Monsters!$T$4:$AH$15,6,FALSE),0)),1)))*(IFERROR(VLOOKUP(C27,Monsters!$T$4:$AH$15,7,FALSE),0))),0)))</f>
        <v/>
      </c>
      <c r="J27" s="7">
        <f>MAX(0,J26+IF(AND((E27="OK"),B27="Hunt"),(IF(B27="Hunt",(('Rules &amp; Formulas'!B4*N26*('Rules &amp; Formulas'!B5+O26)*IFERROR(VLOOKUP(C27,Monsters!$T$4:$AH$15,10,FALSE),0)*IFERROR(VLOOKUP(C27,Monsters!$T$4:$AH$15,9,FALSE),0))*'Rules &amp; Formulas'!B6)*IF(D27="",0,D27),0))*(IFERROR(VLOOKUP(C27,Monsters!$T$4:$AH$15,5,FALSE),0)),0)+IF(AND((E27="OK"),B27="Go AFK"),(IF(B27="Go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AFK",IF(D27="",0,D27),0),Z26/60)*60)),0))*(IFERROR(VLOOKUP(C27,Monsters!$T$4:$AH$15,5,FALSE),0)),0)-IF(AND((E27="OK"),OR(B27="Buy upgrade",B27="Forge/Scrapwork buy"),IFERROR(VLOOKUP(C27,Upgrades!$N$4:$T$47,2,FALSE),0)="scraps"),IFERROR(FLOOR(IFERROR(VLOOKUP(C27,Upgrades!$N$4:$T$47,3,FALSE),0)*(IFERROR(VLOOKUP(C27,Upgrades!$N$4:$T$47,4,FALSE),0)^(COUNTIFS($B$3:$B26,"Buy upgrade",$C$3:$C26,C27)+COUNTIFS($B$3:$B26,"Hire hunter",$C$3:$C26,C27)+COUNTIFS($B$3:$B26,"Forge/Scrapwork buy",$C$3:$C26,C27))),1),0),0))</f>
        <v/>
      </c>
      <c r="K27" s="7">
        <f>MAX(0,K26+IF(AND((E27="OK"),B27="Hunt"),IF(C27="Thornpelt Bear",(IF(B27="Hunt",(('Rules &amp; Formulas'!B4*N26*('Rules &amp; Formulas'!B5+O26)*IFERROR(VLOOKUP(C27,Monsters!$T$4:$AH$15,10,FALSE),0)*IFERROR(VLOOKUP(C27,Monsters!$T$4:$AH$15,9,FALSE),0))*'Rules &amp; Formulas'!B6)*IF(D27="",0,D27),0))*0.12,0),0)+IF(AND((E27="OK"),B27="Go AFK"),IF(C27="Thornpelt Bear",(IF(B27="Go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AFK",IF(D27="",0,D27),0),Z26/60)*60)),0))*0.12,0),0))</f>
        <v/>
      </c>
      <c r="L27" s="7">
        <f>MAX(0,L26+IF(AND((E27="OK"),B27="Hunt"),IF(C27="Dire Thornpelt",(IF(B27="Hunt",(('Rules &amp; Formulas'!B4*N26*('Rules &amp; Formulas'!B5+O26)*IFERROR(VLOOKUP(C27,Monsters!$T$4:$AH$15,10,FALSE),0)*IFERROR(VLOOKUP(C27,Monsters!$T$4:$AH$15,9,FALSE),0))*'Rules &amp; Formulas'!B6)*IF(D27="",0,D27),0))*0.1,0),0)+IF(AND((E27="OK"),B27="Go AFK"),IF(C27="Dire Thornpelt",(IF(B27="Go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AFK",IF(D27="",0,D27),0),Z26/60)*60)),0))*0.1,0),0))</f>
        <v/>
      </c>
      <c r="M27" s="7">
        <f>IF(AND((E27="OK"),B27="Go AFK"),MAX(0,MIN(('Rules &amp; Formulas'!B15+25*AJ26),M26+('Rules &amp; Formulas'!B14+0.4*AJ26)*(MIN(IF(B27="Go AFK",IF(D27="",0,D27),0),Z26/60)*60))-(IF(B27="Go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AFK",IF(D27="",0,D27),0),Z26/60)*60)),0))*(IF((IFERROR(VLOOKUP(C27,Monsters!$T$4:$AH$15,8,FALSE),0))=0,0.35,IFERROR(VLOOKUP(C27,Monsters!$T$4:$AH$15,8,FALSE),0))/(1+0.08*AK26))),MIN(('Rules &amp; Formulas'!B15+25*AJ27),M26))</f>
        <v/>
      </c>
      <c r="N27" s="7">
        <f>(1+0.08+0.12*AA27+0.12*AB27+0.16*AC27)</f>
        <v/>
      </c>
      <c r="O27" s="7">
        <f>((AD27&gt;=1)*1*(1+0.3*AE27))</f>
        <v/>
      </c>
      <c r="P27" s="7">
        <f>IF(OR(B27="Hunt",B27="Go AFK"),(('Rules &amp; Formulas'!B4*N26*('Rules &amp; Formulas'!B5+O26)*IFERROR(VLOOKUP(C27,Monsters!$T$4:$AH$15,10,FALSE),0)*IFERROR(VLOOKUP(C27,Monsters!$T$4:$AH$15,9,FALSE),0))*'Rules &amp; Formulas'!B6),"")</f>
        <v/>
      </c>
      <c r="Q27" s="7">
        <f>IF(OR(B27="Hunt",B27="Go AFK"),('Rules &amp; Formulas'!B4*N26*('Rules &amp; Formulas'!B5+O26)*IFERROR(VLOOKUP(C27,Monsters!$T$4:$AH$15,10,FALSE),0)*IFERROR(VLOOKUP(C27,Monsters!$T$4:$AH$15,9,FALSE),0)),"")</f>
        <v/>
      </c>
      <c r="R27" s="7">
        <f>IF(AND((E27="OK"),B27="Hunt"),IF(B27="Hunt",(('Rules &amp; Formulas'!B4*N26*('Rules &amp; Formulas'!B5+O26)*IFERROR(VLOOKUP(C27,Monsters!$T$4:$AH$15,10,FALSE),0)*IFERROR(VLOOKUP(C27,Monsters!$T$4:$AH$15,9,FALSE),0))*'Rules &amp; Formulas'!B6)*IF(D27="",0,D27),0),IF(AND((E27="OK"),B27="Go AFK"),IF(B27="Go AFK",MIN(IF((IF((IFERROR(VLOOKUP(C27,Monsters!$T$4:$AH$15,8,FALSE),0))=0,0.35,IFERROR(VLOOKUP(C27,Monsters!$T$4:$AH$15,8,FALSE),0))/(1+0.08*AK26))&lt;=0,999999,FLOOR(MIN(('Rules &amp; Formulas'!B15+25*AJ26),M26+('Rules &amp; Formulas'!B14+0.4*AJ26)*(MIN(IF(B27="Go AFK",IF(D27="",0,D27),0),Z26/60)*60))/(IF((IFERROR(VLOOKUP(C27,Monsters!$T$4:$AH$15,8,FALSE),0))=0,0.35,IFERROR(VLOOKUP(C27,Monsters!$T$4:$AH$15,8,FALSE),0))/(1+0.08*AK26)),1)),('Rules &amp; Formulas'!B4*N26*('Rules &amp; Formulas'!B5+O26)*IFERROR(VLOOKUP(C27,Monsters!$T$4:$AH$15,10,FALSE),0)*IFERROR(VLOOKUP(C27,Monsters!$T$4:$AH$15,9,FALSE),0))*(MIN(IF(B27="Go AFK",IF(D27="",0,D27),0),Z26/60)*60)),0),0))</f>
        <v/>
      </c>
      <c r="S27" s="7">
        <f>(105/'Rules &amp; Formulas'!B10)*'Rules &amp; Formulas'!B11</f>
        <v/>
      </c>
      <c r="T27" s="7">
        <f>IF(AD26&gt;=1,(MAX(1,ROUND('Rules &amp; Formulas'!B18*(1+0.3*AE26)*(1+0.4*AF26),0)))*(1000/'Rules &amp; Formulas'!B19)*MIN(0.95,'Rules &amp; Formulas'!B20*SQRT(1+0.55*(AG26&gt;=1))),0)</f>
        <v/>
      </c>
      <c r="U27" s="7">
        <f>S27+T27</f>
        <v/>
      </c>
      <c r="V27" s="7">
        <f>IF(I26&gt;=IF((IFERROR(VLOOKUP(C27,Monsters!$T$4:$AH$15,15,FALSE),0))=0,120,IFERROR(VLOOKUP(C27,Monsters!$T$4:$AH$15,15,FALSE),0)),"YES","no")</f>
        <v/>
      </c>
      <c r="W27" s="7">
        <f>IF(AND(B27="Fight boss",E27="OK"),IF((((105/'Rules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Formulas'!B20*SQRT(1+0.55*(AG26&gt;=1))),0)))),"")</f>
        <v/>
      </c>
      <c r="X27" s="7">
        <f>IF(AND(B27="Fight boss",E27="OK"),IF((IF((((105/'Rules &amp; Formulas'!B10)*'Rules &amp; Formulas'!B11+IF(AD26&gt;=1,(MAX(1,ROUND('Rules &amp; Formulas'!B18*(1+0.3*AE26)*(1+0.4*AF26),0)))*(1000/'Rules &amp; Formulas'!B19)*MIN(0.95,'Rules &amp; Formulas'!B20*SQRT(1+0.55*(AG26&gt;=1))),0)))&lt;=0,9999,(IFERROR(VLOOKUP(C27,Monsters!$T$4:$AH$15,2,FALSE),0))/(((105/'Rules &amp; Formulas'!B10)*'Rules &amp; Formulas'!B11+IF(AD26&gt;=1,(MAX(1,ROUND('Rules &amp; Formulas'!B18*(1+0.3*AE26)*(1+0.4*AF26),0)))*(1000/'Rules &amp; Formulas'!B19)*MIN(0.95,'Rules &amp; Formulas'!B20*SQRT(1+0.55*(AG26&gt;=1))),0))))&lt;='Rules &amp; Formulas'!B12),"WIN","LOSE"),"")</f>
        <v/>
      </c>
      <c r="Y27" s="7">
        <f>IF(B27="Go AFK",MIN(IF(B27="Go AFK",IF(D27="",0,D27),0),Z26/60),"")</f>
        <v/>
      </c>
      <c r="Z27" s="7">
        <f>('Rules &amp; Formulas'!B13+30*AI27)</f>
        <v/>
      </c>
      <c r="AA27">
        <f>COUNTIFS($B$3:$B27,"Buy upgrade",$C$3:$C27,"Idle Power")</f>
        <v/>
      </c>
      <c r="AB27">
        <f>COUNTIFS($B$3:$B27,"Buy upgrade",$C$3:$C27,"Iron Blade")</f>
        <v/>
      </c>
      <c r="AC27">
        <f>COUNTIFS($B$3:$B27,"Buy upgrade",$C$3:$C27,"Steel Blade")</f>
        <v/>
      </c>
      <c r="AD27">
        <f>COUNTIFS($B$3:$B27,"Hire hunter",$C$3:$C27,"Briar")+COUNTIFS($B$3:$B27,"Buy upgrade",$C$3:$C27,"Hire Briar")</f>
        <v/>
      </c>
      <c r="AE27">
        <f>COUNTIFS($B$3:$B27,"Buy upgrade",$C$3:$C27,"Hunter Power")</f>
        <v/>
      </c>
      <c r="AF27">
        <f>COUNTIFS($B$3:$B27,"Buy upgrade",$C$3:$C27,"Bigger Hits")</f>
        <v/>
      </c>
      <c r="AG27">
        <f>COUNTIFS($B$3:$B27,"Buy upgrade",$C$3:$C27,"Swift Walk")</f>
        <v/>
      </c>
      <c r="AH27">
        <f>COUNTIFS($B$3:$B27,"Buy upgrade",$C$3:$C27,"Loot Luck")</f>
        <v/>
      </c>
      <c r="AI27">
        <f>COUNTIFS($B$3:$B27,"Buy upgrade",$C$3:$C27,"Offline Cap")</f>
        <v/>
      </c>
      <c r="AJ27">
        <f>COUNTIFS($B$3:$B27,"Buy upgrade",$C$3:$C27,"Bigger Food Stock")</f>
        <v/>
      </c>
      <c r="AK27">
        <f>COUNTIFS($B$3:$B27,"Buy upgrade",$C$3:$C27,"Food Efficiency")</f>
        <v/>
      </c>
    </row>
    <row r="28">
      <c r="A28" t="n">
        <v>26</v>
      </c>
      <c r="B28" s="6" t="n"/>
      <c r="C28" s="6" t="n"/>
      <c r="D28" s="6" t="n"/>
      <c r="E28" s="7">
        <f>IF(B28="","",IF(OR(B28="Hunt",B28="Go AFK"),IF(C28="","Can't","OK"),IF(B28="Fight boss",IF(I27&lt;IF((IFERROR(VLOOKUP(C28,Monsters!$T$4:$AH$15,15,FALSE),0))=0,120,IFERROR(VLOOKUP(C28,Monsters!$T$4:$AH$15,15,FALSE),0)),"Can't","OK"),IF(B28="Hire hunter",IF(AND(C28="Briar",AD27&gt;=1),"Can't",IF(H27&lt;IF(C28="Briar",140,IF(C28="Quill",3650,IF(C28="Moss",4850,IF(C28="Ember",12200,0)))),"Can't","OK")),IF(OR(B28="Buy upgrade",B28="Forge/Scrapwork buy"),IF(IFERROR(VLOOKUP(C28,Upgrades!$N$4:$T$47,2,FALSE),0)="points","Can't",IF(IFERROR(VLOOKUP(C28,Upgrades!$N$4:$T$47,2,FALSE),0)="gold",IF(H27&lt;IFERROR(FLOOR(IFERROR(VLOOKUP(C28,Upgrades!$N$4:$T$47,3,FALSE),0)*(IFERROR(VLOOKUP(C28,Upgrades!$N$4:$T$47,4,FALSE),0)^(COUNTIFS($B$3:$B27,"Buy upgrade",$C$3:$C27,C28)+COUNTIFS($B$3:$B27,"Hire hunter",$C$3:$C27,C28)+COUNTIFS($B$3:$B27,"Forge/Scrapwork buy",$C$3:$C27,C28))),1),0),"Can't","OK"),IF(IFERROR(VLOOKUP(C28,Upgrades!$N$4:$T$47,2,FALSE),0)="scraps",IF(J27&lt;IFERROR(FLOOR(IFERROR(VLOOKUP(C28,Upgrades!$N$4:$T$47,3,FALSE),0)*(IFERROR(VLOOKUP(C28,Upgrades!$N$4:$T$47,4,FALSE),0)^(COUNTIFS($B$3:$B27,"Buy upgrade",$C$3:$C27,C28)+COUNTIFS($B$3:$B27,"Hire hunter",$C$3:$C27,C28)+COUNTIFS($B$3:$B27,"Forge/Scrapwork buy",$C$3:$C27,C28))),1),0),"Can't","OK"),IF(IFERROR(VLOOKUP(C28,Upgrades!$N$4:$T$47,2,FALSE),0)="mats","Can't","OK")))),"Check")))))</f>
        <v/>
      </c>
      <c r="F28" s="7">
        <f>IF(B28="","",IF(AND(B28="Fight boss",I27&lt;IF((IFERROR(VLOOKUP(C28,Monsters!$T$4:$AH$15,15,FALSE),0))=0,120,IFERROR(VLOOKUP(C28,Monsters!$T$4:$AH$15,15,FALSE),0))),"Can't — need "&amp;TEXT(IF((IFERROR(VLOOKUP(C28,Monsters!$T$4:$AH$15,15,FALSE),0))=0,120,IFERROR(VLOOKUP(C28,Monsters!$T$4:$AH$15,15,FALSE),0))-I27,"0.0")&amp;" more Slayer points on the meter",IF(AND(B28="Hire hunter",C28="Briar",AD27&gt;=1),"Can't — already hired",IF(AND(B28="Hire hunter",H27&lt;IF(C28="Briar",140,IF(C28="Quill",3650,IF(C28="Moss",4850,IF(C28="Ember",12200,0))))),"Can't — need "&amp;TEXT(IF(C28="Briar",140,IF(C28="Quill",3650,IF(C28="Moss",4850,IF(C28="Ember",12200,0))))-H27,"0")&amp;" more gold",IF(AND(OR(B28="Buy upgrade",B28="Forge/Scrapwork buy"),IFERROR(VLOOKUP(C28,Upgrades!$N$4:$T$47,2,FALSE),0)="points"),"Can't — Sp-wallet spends not tracked here",IF(AND(OR(B28="Buy upgrade",B28="Forge/Scrapwork buy"),IFERROR(VLOOKUP(C28,Upgrades!$N$4:$T$47,2,FALSE),0)="gold",H27&lt;IFERROR(FLOOR(IFERROR(VLOOKUP(C28,Upgrades!$N$4:$T$47,3,FALSE),0)*(IFERROR(VLOOKUP(C28,Upgrades!$N$4:$T$47,4,FALSE),0)^(COUNTIFS($B$3:$B27,"Buy upgrade",$C$3:$C27,C28)+COUNTIFS($B$3:$B27,"Hire hunter",$C$3:$C27,C28)+COUNTIFS($B$3:$B27,"Forge/Scrapwork buy",$C$3:$C27,C28))),1),0)),"Can't — need "&amp;TEXT(IFERROR(FLOOR(IFERROR(VLOOKUP(C28,Upgrades!$N$4:$T$47,3,FALSE),0)*(IFERROR(VLOOKUP(C28,Upgrades!$N$4:$T$47,4,FALSE),0)^(COUNTIFS($B$3:$B27,"Buy upgrade",$C$3:$C27,C28)+COUNTIFS($B$3:$B27,"Hire hunter",$C$3:$C27,C28)+COUNTIFS($B$3:$B27,"Forge/Scrapwork buy",$C$3:$C27,C28))),1),0)-H27,"0")&amp;" more gold",IF(AND(OR(B28="Buy upgrade",B28="Forge/Scrapwork buy"),IFERROR(VLOOKUP(C28,Upgrades!$N$4:$T$47,2,FALSE),0)="scraps",J27&lt;IFERROR(FLOOR(IFERROR(VLOOKUP(C28,Upgrades!$N$4:$T$47,3,FALSE),0)*(IFERROR(VLOOKUP(C28,Upgrades!$N$4:$T$47,4,FALSE),0)^(COUNTIFS($B$3:$B27,"Buy upgrade",$C$3:$C27,C28)+COUNTIFS($B$3:$B27,"Hire hunter",$C$3:$C27,C28)+COUNTIFS($B$3:$B27,"Forge/Scrapwork buy",$C$3:$C27,C28))),1),0)),"Can't — need "&amp;TEXT(IFERROR(FLOOR(IFERROR(VLOOKUP(C28,Upgrades!$N$4:$T$47,3,FALSE),0)*(IFERROR(VLOOKUP(C28,Upgrades!$N$4:$T$47,4,FALSE),0)^(COUNTIFS($B$3:$B27,"Buy upgrade",$C$3:$C27,C28)+COUNTIFS($B$3:$B27,"Hire hunter",$C$3:$C27,C28)+COUNTIFS($B$3:$B27,"Forge/Scrapwork buy",$C$3:$C27,C28))),1),0)-J27,"0")&amp;" more scraps",IF(AND(B28="Fight boss",E28="OK",(IF((((105/'Rules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Formulas'!B12)),"WIN — boss down, next Level unlocks",IF(AND(B28="Fight boss",E28="OK"),"LOSE — TTK "&amp;TEXT(IF((((105/'Rules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Formulas'!B20*SQRT(1+0.55*(AG27&gt;=1))),0)))),"0")&amp;"s &gt; patience "&amp;TEXT('Rules &amp; Formulas'!B12,"0")&amp;"s (leave resets HP)",IF(B28="Go AFK","AFK resolved (see AFK counted h)","Applied")))))))))</f>
        <v/>
      </c>
      <c r="G28" s="7">
        <f>IF(AND((E28="OK"),B28="Fight boss",(IF((((105/'Rules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Formulas'!B12),C28="Elder Thornpelt"),2,IF(AND((E28="OK"),B28="Fight boss",(IF((((105/'Rules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Formulas'!B12),C28="Ashfang Alpha"),3,G27))</f>
        <v/>
      </c>
      <c r="H28" s="7">
        <f>MAX(0,H27+IF(AND((E28="OK"),B28="Hunt"),(IF(B28="Hunt",(('Rules &amp; Formulas'!B4*N27*('Rules &amp; Formulas'!B5+O27)*IFERROR(VLOOKUP(C28,Monsters!$T$4:$AH$15,10,FALSE),0)*IFERROR(VLOOKUP(C28,Monsters!$T$4:$AH$15,9,FALSE),0))*'Rules &amp; Formulas'!B6)*IF(D28="",0,D28),0))*(IFERROR(VLOOKUP(C28,Monsters!$T$4:$AH$15,3,FALSE),0))*(1+0.1*AH27)+(IF(OR(B28&lt;&gt;"Hunt",IFERROR(VLOOKUP(C28,Monsters!$T$4:$AH$15,6,FALSE),0)=0),0,FLOOR((IF(B28="Hunt",(('Rules &amp; Formulas'!B4*N27*('Rules &amp; Formulas'!B5+O27)*IFERROR(VLOOKUP(C28,Monsters!$T$4:$AH$15,10,FALSE),0)*IFERROR(VLOOKUP(C28,Monsters!$T$4:$AH$15,9,FALSE),0))*'Rules &amp; Formulas'!B6)*IF(D28="",0,D28),0))/MAX(1,IFERROR(VLOOKUP(C28,Monsters!$T$4:$AH$15,6,FALSE),0)),1)))*(IFERROR(VLOOKUP(C28,Monsters!$T$4:$AH$15,7,FALSE),0))*0.5*(1+0.1*AH27),0)+IF(AND((E28="OK"),B28="Go AFK"),(IF(B28="Go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AFK",IF(D28="",0,D28),0),Z27/60)*60)),0))*(IFERROR(VLOOKUP(C28,Monsters!$T$4:$AH$15,3,FALSE),0))*(1+0.1*AH27)+(IF(OR(B28&lt;&gt;"Go AFK",IFERROR(VLOOKUP(C28,Monsters!$T$4:$AH$15,6,FALSE),0)=0),0,FLOOR((IF(B28="Go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AFK",IF(D28="",0,D28),0),Z27/60)*60)),0))/MAX(1,IFERROR(VLOOKUP(C28,Monsters!$T$4:$AH$15,6,FALSE),0)),1)))*(IFERROR(VLOOKUP(C28,Monsters!$T$4:$AH$15,7,FALSE),0))*0.5*(1+0.1*AH27),0)+IF(AND((E28="OK"),B28="Fight boss",(IF((((105/'Rules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Formulas'!B12)),IFERROR(VLOOKUP(C28,Monsters!$T$4:$AH$15,3,FALSE),0),0)-IF(AND((E28="OK"),OR(B28="Buy upgrade",B28="Forge/Scrapwork buy"),IFERROR(VLOOKUP(C28,Upgrades!$N$4:$T$47,2,FALSE),0)="gold"),IFERROR(FLOOR(IFERROR(VLOOKUP(C28,Upgrades!$N$4:$T$47,3,FALSE),0)*(IFERROR(VLOOKUP(C28,Upgrades!$N$4:$T$47,4,FALSE),0)^(COUNTIFS($B$3:$B27,"Buy upgrade",$C$3:$C27,C28)+COUNTIFS($B$3:$B27,"Hire hunter",$C$3:$C27,C28)+COUNTIFS($B$3:$B27,"Forge/Scrapwork buy",$C$3:$C27,C28))),1),0),0)-IF(AND((E28="OK"),B28="Hire hunter"),IF(C28="Briar",140,IF(C28="Quill",3650,IF(C28="Moss",4850,IF(C28="Ember",12200,0)))),0))</f>
        <v/>
      </c>
      <c r="I28" s="7">
        <f>IF(AND((E28="OK"),B28="Fight boss",(IF((((105/'Rules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Formulas'!B12)),0,MIN(IF(G27&lt;=1,120,IF(G27=2,280,600)),I27+IF(AND((E28="OK"),B28="Hunt"),((IF(B28="Hunt",(('Rules &amp; Formulas'!B4*N27*('Rules &amp; Formulas'!B5+O27)*IFERROR(VLOOKUP(C28,Monsters!$T$4:$AH$15,10,FALSE),0)*IFERROR(VLOOKUP(C28,Monsters!$T$4:$AH$15,9,FALSE),0))*'Rules &amp; Formulas'!B6)*IF(D28="",0,D28),0))*(IFERROR(VLOOKUP(C28,Monsters!$T$4:$AH$15,4,FALSE),0))+(IF(OR(B28&lt;&gt;"Hunt",IFERROR(VLOOKUP(C28,Monsters!$T$4:$AH$15,6,FALSE),0)=0),0,FLOOR((IF(B28="Hunt",(('Rules &amp; Formulas'!B4*N27*('Rules &amp; Formulas'!B5+O27)*IFERROR(VLOOKUP(C28,Monsters!$T$4:$AH$15,10,FALSE),0)*IFERROR(VLOOKUP(C28,Monsters!$T$4:$AH$15,9,FALSE),0))*'Rules &amp; Formulas'!B6)*IF(D28="",0,D28),0))/MAX(1,IFERROR(VLOOKUP(C28,Monsters!$T$4:$AH$15,6,FALSE),0)),1)))*(IFERROR(VLOOKUP(C28,Monsters!$T$4:$AH$15,7,FALSE),0))),0)+IF(AND((E28="OK"),B28="Go AFK"),((IF(B28="Go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AFK",IF(D28="",0,D28),0),Z27/60)*60)),0))*(IFERROR(VLOOKUP(C28,Monsters!$T$4:$AH$15,4,FALSE),0))+(IF(OR(B28&lt;&gt;"Go AFK",IFERROR(VLOOKUP(C28,Monsters!$T$4:$AH$15,6,FALSE),0)=0),0,FLOOR((IF(B28="Go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AFK",IF(D28="",0,D28),0),Z27/60)*60)),0))/MAX(1,IFERROR(VLOOKUP(C28,Monsters!$T$4:$AH$15,6,FALSE),0)),1)))*(IFERROR(VLOOKUP(C28,Monsters!$T$4:$AH$15,7,FALSE),0))),0)))</f>
        <v/>
      </c>
      <c r="J28" s="7">
        <f>MAX(0,J27+IF(AND((E28="OK"),B28="Hunt"),(IF(B28="Hunt",(('Rules &amp; Formulas'!B4*N27*('Rules &amp; Formulas'!B5+O27)*IFERROR(VLOOKUP(C28,Monsters!$T$4:$AH$15,10,FALSE),0)*IFERROR(VLOOKUP(C28,Monsters!$T$4:$AH$15,9,FALSE),0))*'Rules &amp; Formulas'!B6)*IF(D28="",0,D28),0))*(IFERROR(VLOOKUP(C28,Monsters!$T$4:$AH$15,5,FALSE),0)),0)+IF(AND((E28="OK"),B28="Go AFK"),(IF(B28="Go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AFK",IF(D28="",0,D28),0),Z27/60)*60)),0))*(IFERROR(VLOOKUP(C28,Monsters!$T$4:$AH$15,5,FALSE),0)),0)-IF(AND((E28="OK"),OR(B28="Buy upgrade",B28="Forge/Scrapwork buy"),IFERROR(VLOOKUP(C28,Upgrades!$N$4:$T$47,2,FALSE),0)="scraps"),IFERROR(FLOOR(IFERROR(VLOOKUP(C28,Upgrades!$N$4:$T$47,3,FALSE),0)*(IFERROR(VLOOKUP(C28,Upgrades!$N$4:$T$47,4,FALSE),0)^(COUNTIFS($B$3:$B27,"Buy upgrade",$C$3:$C27,C28)+COUNTIFS($B$3:$B27,"Hire hunter",$C$3:$C27,C28)+COUNTIFS($B$3:$B27,"Forge/Scrapwork buy",$C$3:$C27,C28))),1),0),0))</f>
        <v/>
      </c>
      <c r="K28" s="7">
        <f>MAX(0,K27+IF(AND((E28="OK"),B28="Hunt"),IF(C28="Thornpelt Bear",(IF(B28="Hunt",(('Rules &amp; Formulas'!B4*N27*('Rules &amp; Formulas'!B5+O27)*IFERROR(VLOOKUP(C28,Monsters!$T$4:$AH$15,10,FALSE),0)*IFERROR(VLOOKUP(C28,Monsters!$T$4:$AH$15,9,FALSE),0))*'Rules &amp; Formulas'!B6)*IF(D28="",0,D28),0))*0.12,0),0)+IF(AND((E28="OK"),B28="Go AFK"),IF(C28="Thornpelt Bear",(IF(B28="Go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AFK",IF(D28="",0,D28),0),Z27/60)*60)),0))*0.12,0),0))</f>
        <v/>
      </c>
      <c r="L28" s="7">
        <f>MAX(0,L27+IF(AND((E28="OK"),B28="Hunt"),IF(C28="Dire Thornpelt",(IF(B28="Hunt",(('Rules &amp; Formulas'!B4*N27*('Rules &amp; Formulas'!B5+O27)*IFERROR(VLOOKUP(C28,Monsters!$T$4:$AH$15,10,FALSE),0)*IFERROR(VLOOKUP(C28,Monsters!$T$4:$AH$15,9,FALSE),0))*'Rules &amp; Formulas'!B6)*IF(D28="",0,D28),0))*0.1,0),0)+IF(AND((E28="OK"),B28="Go AFK"),IF(C28="Dire Thornpelt",(IF(B28="Go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AFK",IF(D28="",0,D28),0),Z27/60)*60)),0))*0.1,0),0))</f>
        <v/>
      </c>
      <c r="M28" s="7">
        <f>IF(AND((E28="OK"),B28="Go AFK"),MAX(0,MIN(('Rules &amp; Formulas'!B15+25*AJ27),M27+('Rules &amp; Formulas'!B14+0.4*AJ27)*(MIN(IF(B28="Go AFK",IF(D28="",0,D28),0),Z27/60)*60))-(IF(B28="Go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AFK",IF(D28="",0,D28),0),Z27/60)*60)),0))*(IF((IFERROR(VLOOKUP(C28,Monsters!$T$4:$AH$15,8,FALSE),0))=0,0.35,IFERROR(VLOOKUP(C28,Monsters!$T$4:$AH$15,8,FALSE),0))/(1+0.08*AK27))),MIN(('Rules &amp; Formulas'!B15+25*AJ28),M27))</f>
        <v/>
      </c>
      <c r="N28" s="7">
        <f>(1+0.08+0.12*AA28+0.12*AB28+0.16*AC28)</f>
        <v/>
      </c>
      <c r="O28" s="7">
        <f>((AD28&gt;=1)*1*(1+0.3*AE28))</f>
        <v/>
      </c>
      <c r="P28" s="7">
        <f>IF(OR(B28="Hunt",B28="Go AFK"),(('Rules &amp; Formulas'!B4*N27*('Rules &amp; Formulas'!B5+O27)*IFERROR(VLOOKUP(C28,Monsters!$T$4:$AH$15,10,FALSE),0)*IFERROR(VLOOKUP(C28,Monsters!$T$4:$AH$15,9,FALSE),0))*'Rules &amp; Formulas'!B6),"")</f>
        <v/>
      </c>
      <c r="Q28" s="7">
        <f>IF(OR(B28="Hunt",B28="Go AFK"),('Rules &amp; Formulas'!B4*N27*('Rules &amp; Formulas'!B5+O27)*IFERROR(VLOOKUP(C28,Monsters!$T$4:$AH$15,10,FALSE),0)*IFERROR(VLOOKUP(C28,Monsters!$T$4:$AH$15,9,FALSE),0)),"")</f>
        <v/>
      </c>
      <c r="R28" s="7">
        <f>IF(AND((E28="OK"),B28="Hunt"),IF(B28="Hunt",(('Rules &amp; Formulas'!B4*N27*('Rules &amp; Formulas'!B5+O27)*IFERROR(VLOOKUP(C28,Monsters!$T$4:$AH$15,10,FALSE),0)*IFERROR(VLOOKUP(C28,Monsters!$T$4:$AH$15,9,FALSE),0))*'Rules &amp; Formulas'!B6)*IF(D28="",0,D28),0),IF(AND((E28="OK"),B28="Go AFK"),IF(B28="Go AFK",MIN(IF((IF((IFERROR(VLOOKUP(C28,Monsters!$T$4:$AH$15,8,FALSE),0))=0,0.35,IFERROR(VLOOKUP(C28,Monsters!$T$4:$AH$15,8,FALSE),0))/(1+0.08*AK27))&lt;=0,999999,FLOOR(MIN(('Rules &amp; Formulas'!B15+25*AJ27),M27+('Rules &amp; Formulas'!B14+0.4*AJ27)*(MIN(IF(B28="Go AFK",IF(D28="",0,D28),0),Z27/60)*60))/(IF((IFERROR(VLOOKUP(C28,Monsters!$T$4:$AH$15,8,FALSE),0))=0,0.35,IFERROR(VLOOKUP(C28,Monsters!$T$4:$AH$15,8,FALSE),0))/(1+0.08*AK27)),1)),('Rules &amp; Formulas'!B4*N27*('Rules &amp; Formulas'!B5+O27)*IFERROR(VLOOKUP(C28,Monsters!$T$4:$AH$15,10,FALSE),0)*IFERROR(VLOOKUP(C28,Monsters!$T$4:$AH$15,9,FALSE),0))*(MIN(IF(B28="Go AFK",IF(D28="",0,D28),0),Z27/60)*60)),0),0))</f>
        <v/>
      </c>
      <c r="S28" s="7">
        <f>(105/'Rules &amp; Formulas'!B10)*'Rules &amp; Formulas'!B11</f>
        <v/>
      </c>
      <c r="T28" s="7">
        <f>IF(AD27&gt;=1,(MAX(1,ROUND('Rules &amp; Formulas'!B18*(1+0.3*AE27)*(1+0.4*AF27),0)))*(1000/'Rules &amp; Formulas'!B19)*MIN(0.95,'Rules &amp; Formulas'!B20*SQRT(1+0.55*(AG27&gt;=1))),0)</f>
        <v/>
      </c>
      <c r="U28" s="7">
        <f>S28+T28</f>
        <v/>
      </c>
      <c r="V28" s="7">
        <f>IF(I27&gt;=IF((IFERROR(VLOOKUP(C28,Monsters!$T$4:$AH$15,15,FALSE),0))=0,120,IFERROR(VLOOKUP(C28,Monsters!$T$4:$AH$15,15,FALSE),0)),"YES","no")</f>
        <v/>
      </c>
      <c r="W28" s="7">
        <f>IF(AND(B28="Fight boss",E28="OK"),IF((((105/'Rules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Formulas'!B20*SQRT(1+0.55*(AG27&gt;=1))),0)))),"")</f>
        <v/>
      </c>
      <c r="X28" s="7">
        <f>IF(AND(B28="Fight boss",E28="OK"),IF((IF((((105/'Rules &amp; Formulas'!B10)*'Rules &amp; Formulas'!B11+IF(AD27&gt;=1,(MAX(1,ROUND('Rules &amp; Formulas'!B18*(1+0.3*AE27)*(1+0.4*AF27),0)))*(1000/'Rules &amp; Formulas'!B19)*MIN(0.95,'Rules &amp; Formulas'!B20*SQRT(1+0.55*(AG27&gt;=1))),0)))&lt;=0,9999,(IFERROR(VLOOKUP(C28,Monsters!$T$4:$AH$15,2,FALSE),0))/(((105/'Rules &amp; Formulas'!B10)*'Rules &amp; Formulas'!B11+IF(AD27&gt;=1,(MAX(1,ROUND('Rules &amp; Formulas'!B18*(1+0.3*AE27)*(1+0.4*AF27),0)))*(1000/'Rules &amp; Formulas'!B19)*MIN(0.95,'Rules &amp; Formulas'!B20*SQRT(1+0.55*(AG27&gt;=1))),0))))&lt;='Rules &amp; Formulas'!B12),"WIN","LOSE"),"")</f>
        <v/>
      </c>
      <c r="Y28" s="7">
        <f>IF(B28="Go AFK",MIN(IF(B28="Go AFK",IF(D28="",0,D28),0),Z27/60),"")</f>
        <v/>
      </c>
      <c r="Z28" s="7">
        <f>('Rules &amp; Formulas'!B13+30*AI28)</f>
        <v/>
      </c>
      <c r="AA28">
        <f>COUNTIFS($B$3:$B28,"Buy upgrade",$C$3:$C28,"Idle Power")</f>
        <v/>
      </c>
      <c r="AB28">
        <f>COUNTIFS($B$3:$B28,"Buy upgrade",$C$3:$C28,"Iron Blade")</f>
        <v/>
      </c>
      <c r="AC28">
        <f>COUNTIFS($B$3:$B28,"Buy upgrade",$C$3:$C28,"Steel Blade")</f>
        <v/>
      </c>
      <c r="AD28">
        <f>COUNTIFS($B$3:$B28,"Hire hunter",$C$3:$C28,"Briar")+COUNTIFS($B$3:$B28,"Buy upgrade",$C$3:$C28,"Hire Briar")</f>
        <v/>
      </c>
      <c r="AE28">
        <f>COUNTIFS($B$3:$B28,"Buy upgrade",$C$3:$C28,"Hunter Power")</f>
        <v/>
      </c>
      <c r="AF28">
        <f>COUNTIFS($B$3:$B28,"Buy upgrade",$C$3:$C28,"Bigger Hits")</f>
        <v/>
      </c>
      <c r="AG28">
        <f>COUNTIFS($B$3:$B28,"Buy upgrade",$C$3:$C28,"Swift Walk")</f>
        <v/>
      </c>
      <c r="AH28">
        <f>COUNTIFS($B$3:$B28,"Buy upgrade",$C$3:$C28,"Loot Luck")</f>
        <v/>
      </c>
      <c r="AI28">
        <f>COUNTIFS($B$3:$B28,"Buy upgrade",$C$3:$C28,"Offline Cap")</f>
        <v/>
      </c>
      <c r="AJ28">
        <f>COUNTIFS($B$3:$B28,"Buy upgrade",$C$3:$C28,"Bigger Food Stock")</f>
        <v/>
      </c>
      <c r="AK28">
        <f>COUNTIFS($B$3:$B28,"Buy upgrade",$C$3:$C28,"Food Efficiency")</f>
        <v/>
      </c>
    </row>
    <row r="29">
      <c r="A29" t="n">
        <v>27</v>
      </c>
      <c r="B29" s="6" t="n"/>
      <c r="C29" s="6" t="n"/>
      <c r="D29" s="6" t="n"/>
      <c r="E29" s="7">
        <f>IF(B29="","",IF(OR(B29="Hunt",B29="Go AFK"),IF(C29="","Can't","OK"),IF(B29="Fight boss",IF(I28&lt;IF((IFERROR(VLOOKUP(C29,Monsters!$T$4:$AH$15,15,FALSE),0))=0,120,IFERROR(VLOOKUP(C29,Monsters!$T$4:$AH$15,15,FALSE),0)),"Can't","OK"),IF(B29="Hire hunter",IF(AND(C29="Briar",AD28&gt;=1),"Can't",IF(H28&lt;IF(C29="Briar",140,IF(C29="Quill",3650,IF(C29="Moss",4850,IF(C29="Ember",12200,0)))),"Can't","OK")),IF(OR(B29="Buy upgrade",B29="Forge/Scrapwork buy"),IF(IFERROR(VLOOKUP(C29,Upgrades!$N$4:$T$47,2,FALSE),0)="points","Can't",IF(IFERROR(VLOOKUP(C29,Upgrades!$N$4:$T$47,2,FALSE),0)="gold",IF(H28&lt;IFERROR(FLOOR(IFERROR(VLOOKUP(C29,Upgrades!$N$4:$T$47,3,FALSE),0)*(IFERROR(VLOOKUP(C29,Upgrades!$N$4:$T$47,4,FALSE),0)^(COUNTIFS($B$3:$B28,"Buy upgrade",$C$3:$C28,C29)+COUNTIFS($B$3:$B28,"Hire hunter",$C$3:$C28,C29)+COUNTIFS($B$3:$B28,"Forge/Scrapwork buy",$C$3:$C28,C29))),1),0),"Can't","OK"),IF(IFERROR(VLOOKUP(C29,Upgrades!$N$4:$T$47,2,FALSE),0)="scraps",IF(J28&lt;IFERROR(FLOOR(IFERROR(VLOOKUP(C29,Upgrades!$N$4:$T$47,3,FALSE),0)*(IFERROR(VLOOKUP(C29,Upgrades!$N$4:$T$47,4,FALSE),0)^(COUNTIFS($B$3:$B28,"Buy upgrade",$C$3:$C28,C29)+COUNTIFS($B$3:$B28,"Hire hunter",$C$3:$C28,C29)+COUNTIFS($B$3:$B28,"Forge/Scrapwork buy",$C$3:$C28,C29))),1),0),"Can't","OK"),IF(IFERROR(VLOOKUP(C29,Upgrades!$N$4:$T$47,2,FALSE),0)="mats","Can't","OK")))),"Check")))))</f>
        <v/>
      </c>
      <c r="F29" s="7">
        <f>IF(B29="","",IF(AND(B29="Fight boss",I28&lt;IF((IFERROR(VLOOKUP(C29,Monsters!$T$4:$AH$15,15,FALSE),0))=0,120,IFERROR(VLOOKUP(C29,Monsters!$T$4:$AH$15,15,FALSE),0))),"Can't — need "&amp;TEXT(IF((IFERROR(VLOOKUP(C29,Monsters!$T$4:$AH$15,15,FALSE),0))=0,120,IFERROR(VLOOKUP(C29,Monsters!$T$4:$AH$15,15,FALSE),0))-I28,"0.0")&amp;" more Slayer points on the meter",IF(AND(B29="Hire hunter",C29="Briar",AD28&gt;=1),"Can't — already hired",IF(AND(B29="Hire hunter",H28&lt;IF(C29="Briar",140,IF(C29="Quill",3650,IF(C29="Moss",4850,IF(C29="Ember",12200,0))))),"Can't — need "&amp;TEXT(IF(C29="Briar",140,IF(C29="Quill",3650,IF(C29="Moss",4850,IF(C29="Ember",12200,0))))-H28,"0")&amp;" more gold",IF(AND(OR(B29="Buy upgrade",B29="Forge/Scrapwork buy"),IFERROR(VLOOKUP(C29,Upgrades!$N$4:$T$47,2,FALSE),0)="points"),"Can't — Sp-wallet spends not tracked here",IF(AND(OR(B29="Buy upgrade",B29="Forge/Scrapwork buy"),IFERROR(VLOOKUP(C29,Upgrades!$N$4:$T$47,2,FALSE),0)="gold",H28&lt;IFERROR(FLOOR(IFERROR(VLOOKUP(C29,Upgrades!$N$4:$T$47,3,FALSE),0)*(IFERROR(VLOOKUP(C29,Upgrades!$N$4:$T$47,4,FALSE),0)^(COUNTIFS($B$3:$B28,"Buy upgrade",$C$3:$C28,C29)+COUNTIFS($B$3:$B28,"Hire hunter",$C$3:$C28,C29)+COUNTIFS($B$3:$B28,"Forge/Scrapwork buy",$C$3:$C28,C29))),1),0)),"Can't — need "&amp;TEXT(IFERROR(FLOOR(IFERROR(VLOOKUP(C29,Upgrades!$N$4:$T$47,3,FALSE),0)*(IFERROR(VLOOKUP(C29,Upgrades!$N$4:$T$47,4,FALSE),0)^(COUNTIFS($B$3:$B28,"Buy upgrade",$C$3:$C28,C29)+COUNTIFS($B$3:$B28,"Hire hunter",$C$3:$C28,C29)+COUNTIFS($B$3:$B28,"Forge/Scrapwork buy",$C$3:$C28,C29))),1),0)-H28,"0")&amp;" more gold",IF(AND(OR(B29="Buy upgrade",B29="Forge/Scrapwork buy"),IFERROR(VLOOKUP(C29,Upgrades!$N$4:$T$47,2,FALSE),0)="scraps",J28&lt;IFERROR(FLOOR(IFERROR(VLOOKUP(C29,Upgrades!$N$4:$T$47,3,FALSE),0)*(IFERROR(VLOOKUP(C29,Upgrades!$N$4:$T$47,4,FALSE),0)^(COUNTIFS($B$3:$B28,"Buy upgrade",$C$3:$C28,C29)+COUNTIFS($B$3:$B28,"Hire hunter",$C$3:$C28,C29)+COUNTIFS($B$3:$B28,"Forge/Scrapwork buy",$C$3:$C28,C29))),1),0)),"Can't — need "&amp;TEXT(IFERROR(FLOOR(IFERROR(VLOOKUP(C29,Upgrades!$N$4:$T$47,3,FALSE),0)*(IFERROR(VLOOKUP(C29,Upgrades!$N$4:$T$47,4,FALSE),0)^(COUNTIFS($B$3:$B28,"Buy upgrade",$C$3:$C28,C29)+COUNTIFS($B$3:$B28,"Hire hunter",$C$3:$C28,C29)+COUNTIFS($B$3:$B28,"Forge/Scrapwork buy",$C$3:$C28,C29))),1),0)-J28,"0")&amp;" more scraps",IF(AND(B29="Fight boss",E29="OK",(IF((((105/'Rules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Formulas'!B12)),"WIN — boss down, next Level unlocks",IF(AND(B29="Fight boss",E29="OK"),"LOSE — TTK "&amp;TEXT(IF((((105/'Rules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Formulas'!B20*SQRT(1+0.55*(AG28&gt;=1))),0)))),"0")&amp;"s &gt; patience "&amp;TEXT('Rules &amp; Formulas'!B12,"0")&amp;"s (leave resets HP)",IF(B29="Go AFK","AFK resolved (see AFK counted h)","Applied")))))))))</f>
        <v/>
      </c>
      <c r="G29" s="7">
        <f>IF(AND((E29="OK"),B29="Fight boss",(IF((((105/'Rules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Formulas'!B12),C29="Elder Thornpelt"),2,IF(AND((E29="OK"),B29="Fight boss",(IF((((105/'Rules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Formulas'!B12),C29="Ashfang Alpha"),3,G28))</f>
        <v/>
      </c>
      <c r="H29" s="7">
        <f>MAX(0,H28+IF(AND((E29="OK"),B29="Hunt"),(IF(B29="Hunt",(('Rules &amp; Formulas'!B4*N28*('Rules &amp; Formulas'!B5+O28)*IFERROR(VLOOKUP(C29,Monsters!$T$4:$AH$15,10,FALSE),0)*IFERROR(VLOOKUP(C29,Monsters!$T$4:$AH$15,9,FALSE),0))*'Rules &amp; Formulas'!B6)*IF(D29="",0,D29),0))*(IFERROR(VLOOKUP(C29,Monsters!$T$4:$AH$15,3,FALSE),0))*(1+0.1*AH28)+(IF(OR(B29&lt;&gt;"Hunt",IFERROR(VLOOKUP(C29,Monsters!$T$4:$AH$15,6,FALSE),0)=0),0,FLOOR((IF(B29="Hunt",(('Rules &amp; Formulas'!B4*N28*('Rules &amp; Formulas'!B5+O28)*IFERROR(VLOOKUP(C29,Monsters!$T$4:$AH$15,10,FALSE),0)*IFERROR(VLOOKUP(C29,Monsters!$T$4:$AH$15,9,FALSE),0))*'Rules &amp; Formulas'!B6)*IF(D29="",0,D29),0))/MAX(1,IFERROR(VLOOKUP(C29,Monsters!$T$4:$AH$15,6,FALSE),0)),1)))*(IFERROR(VLOOKUP(C29,Monsters!$T$4:$AH$15,7,FALSE),0))*0.5*(1+0.1*AH28),0)+IF(AND((E29="OK"),B29="Go AFK"),(IF(B29="Go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AFK",IF(D29="",0,D29),0),Z28/60)*60)),0))*(IFERROR(VLOOKUP(C29,Monsters!$T$4:$AH$15,3,FALSE),0))*(1+0.1*AH28)+(IF(OR(B29&lt;&gt;"Go AFK",IFERROR(VLOOKUP(C29,Monsters!$T$4:$AH$15,6,FALSE),0)=0),0,FLOOR((IF(B29="Go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AFK",IF(D29="",0,D29),0),Z28/60)*60)),0))/MAX(1,IFERROR(VLOOKUP(C29,Monsters!$T$4:$AH$15,6,FALSE),0)),1)))*(IFERROR(VLOOKUP(C29,Monsters!$T$4:$AH$15,7,FALSE),0))*0.5*(1+0.1*AH28),0)+IF(AND((E29="OK"),B29="Fight boss",(IF((((105/'Rules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Formulas'!B12)),IFERROR(VLOOKUP(C29,Monsters!$T$4:$AH$15,3,FALSE),0),0)-IF(AND((E29="OK"),OR(B29="Buy upgrade",B29="Forge/Scrapwork buy"),IFERROR(VLOOKUP(C29,Upgrades!$N$4:$T$47,2,FALSE),0)="gold"),IFERROR(FLOOR(IFERROR(VLOOKUP(C29,Upgrades!$N$4:$T$47,3,FALSE),0)*(IFERROR(VLOOKUP(C29,Upgrades!$N$4:$T$47,4,FALSE),0)^(COUNTIFS($B$3:$B28,"Buy upgrade",$C$3:$C28,C29)+COUNTIFS($B$3:$B28,"Hire hunter",$C$3:$C28,C29)+COUNTIFS($B$3:$B28,"Forge/Scrapwork buy",$C$3:$C28,C29))),1),0),0)-IF(AND((E29="OK"),B29="Hire hunter"),IF(C29="Briar",140,IF(C29="Quill",3650,IF(C29="Moss",4850,IF(C29="Ember",12200,0)))),0))</f>
        <v/>
      </c>
      <c r="I29" s="7">
        <f>IF(AND((E29="OK"),B29="Fight boss",(IF((((105/'Rules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Formulas'!B12)),0,MIN(IF(G28&lt;=1,120,IF(G28=2,280,600)),I28+IF(AND((E29="OK"),B29="Hunt"),((IF(B29="Hunt",(('Rules &amp; Formulas'!B4*N28*('Rules &amp; Formulas'!B5+O28)*IFERROR(VLOOKUP(C29,Monsters!$T$4:$AH$15,10,FALSE),0)*IFERROR(VLOOKUP(C29,Monsters!$T$4:$AH$15,9,FALSE),0))*'Rules &amp; Formulas'!B6)*IF(D29="",0,D29),0))*(IFERROR(VLOOKUP(C29,Monsters!$T$4:$AH$15,4,FALSE),0))+(IF(OR(B29&lt;&gt;"Hunt",IFERROR(VLOOKUP(C29,Monsters!$T$4:$AH$15,6,FALSE),0)=0),0,FLOOR((IF(B29="Hunt",(('Rules &amp; Formulas'!B4*N28*('Rules &amp; Formulas'!B5+O28)*IFERROR(VLOOKUP(C29,Monsters!$T$4:$AH$15,10,FALSE),0)*IFERROR(VLOOKUP(C29,Monsters!$T$4:$AH$15,9,FALSE),0))*'Rules &amp; Formulas'!B6)*IF(D29="",0,D29),0))/MAX(1,IFERROR(VLOOKUP(C29,Monsters!$T$4:$AH$15,6,FALSE),0)),1)))*(IFERROR(VLOOKUP(C29,Monsters!$T$4:$AH$15,7,FALSE),0))),0)+IF(AND((E29="OK"),B29="Go AFK"),((IF(B29="Go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AFK",IF(D29="",0,D29),0),Z28/60)*60)),0))*(IFERROR(VLOOKUP(C29,Monsters!$T$4:$AH$15,4,FALSE),0))+(IF(OR(B29&lt;&gt;"Go AFK",IFERROR(VLOOKUP(C29,Monsters!$T$4:$AH$15,6,FALSE),0)=0),0,FLOOR((IF(B29="Go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AFK",IF(D29="",0,D29),0),Z28/60)*60)),0))/MAX(1,IFERROR(VLOOKUP(C29,Monsters!$T$4:$AH$15,6,FALSE),0)),1)))*(IFERROR(VLOOKUP(C29,Monsters!$T$4:$AH$15,7,FALSE),0))),0)))</f>
        <v/>
      </c>
      <c r="J29" s="7">
        <f>MAX(0,J28+IF(AND((E29="OK"),B29="Hunt"),(IF(B29="Hunt",(('Rules &amp; Formulas'!B4*N28*('Rules &amp; Formulas'!B5+O28)*IFERROR(VLOOKUP(C29,Monsters!$T$4:$AH$15,10,FALSE),0)*IFERROR(VLOOKUP(C29,Monsters!$T$4:$AH$15,9,FALSE),0))*'Rules &amp; Formulas'!B6)*IF(D29="",0,D29),0))*(IFERROR(VLOOKUP(C29,Monsters!$T$4:$AH$15,5,FALSE),0)),0)+IF(AND((E29="OK"),B29="Go AFK"),(IF(B29="Go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AFK",IF(D29="",0,D29),0),Z28/60)*60)),0))*(IFERROR(VLOOKUP(C29,Monsters!$T$4:$AH$15,5,FALSE),0)),0)-IF(AND((E29="OK"),OR(B29="Buy upgrade",B29="Forge/Scrapwork buy"),IFERROR(VLOOKUP(C29,Upgrades!$N$4:$T$47,2,FALSE),0)="scraps"),IFERROR(FLOOR(IFERROR(VLOOKUP(C29,Upgrades!$N$4:$T$47,3,FALSE),0)*(IFERROR(VLOOKUP(C29,Upgrades!$N$4:$T$47,4,FALSE),0)^(COUNTIFS($B$3:$B28,"Buy upgrade",$C$3:$C28,C29)+COUNTIFS($B$3:$B28,"Hire hunter",$C$3:$C28,C29)+COUNTIFS($B$3:$B28,"Forge/Scrapwork buy",$C$3:$C28,C29))),1),0),0))</f>
        <v/>
      </c>
      <c r="K29" s="7">
        <f>MAX(0,K28+IF(AND((E29="OK"),B29="Hunt"),IF(C29="Thornpelt Bear",(IF(B29="Hunt",(('Rules &amp; Formulas'!B4*N28*('Rules &amp; Formulas'!B5+O28)*IFERROR(VLOOKUP(C29,Monsters!$T$4:$AH$15,10,FALSE),0)*IFERROR(VLOOKUP(C29,Monsters!$T$4:$AH$15,9,FALSE),0))*'Rules &amp; Formulas'!B6)*IF(D29="",0,D29),0))*0.12,0),0)+IF(AND((E29="OK"),B29="Go AFK"),IF(C29="Thornpelt Bear",(IF(B29="Go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AFK",IF(D29="",0,D29),0),Z28/60)*60)),0))*0.12,0),0))</f>
        <v/>
      </c>
      <c r="L29" s="7">
        <f>MAX(0,L28+IF(AND((E29="OK"),B29="Hunt"),IF(C29="Dire Thornpelt",(IF(B29="Hunt",(('Rules &amp; Formulas'!B4*N28*('Rules &amp; Formulas'!B5+O28)*IFERROR(VLOOKUP(C29,Monsters!$T$4:$AH$15,10,FALSE),0)*IFERROR(VLOOKUP(C29,Monsters!$T$4:$AH$15,9,FALSE),0))*'Rules &amp; Formulas'!B6)*IF(D29="",0,D29),0))*0.1,0),0)+IF(AND((E29="OK"),B29="Go AFK"),IF(C29="Dire Thornpelt",(IF(B29="Go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AFK",IF(D29="",0,D29),0),Z28/60)*60)),0))*0.1,0),0))</f>
        <v/>
      </c>
      <c r="M29" s="7">
        <f>IF(AND((E29="OK"),B29="Go AFK"),MAX(0,MIN(('Rules &amp; Formulas'!B15+25*AJ28),M28+('Rules &amp; Formulas'!B14+0.4*AJ28)*(MIN(IF(B29="Go AFK",IF(D29="",0,D29),0),Z28/60)*60))-(IF(B29="Go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AFK",IF(D29="",0,D29),0),Z28/60)*60)),0))*(IF((IFERROR(VLOOKUP(C29,Monsters!$T$4:$AH$15,8,FALSE),0))=0,0.35,IFERROR(VLOOKUP(C29,Monsters!$T$4:$AH$15,8,FALSE),0))/(1+0.08*AK28))),MIN(('Rules &amp; Formulas'!B15+25*AJ29),M28))</f>
        <v/>
      </c>
      <c r="N29" s="7">
        <f>(1+0.08+0.12*AA29+0.12*AB29+0.16*AC29)</f>
        <v/>
      </c>
      <c r="O29" s="7">
        <f>((AD29&gt;=1)*1*(1+0.3*AE29))</f>
        <v/>
      </c>
      <c r="P29" s="7">
        <f>IF(OR(B29="Hunt",B29="Go AFK"),(('Rules &amp; Formulas'!B4*N28*('Rules &amp; Formulas'!B5+O28)*IFERROR(VLOOKUP(C29,Monsters!$T$4:$AH$15,10,FALSE),0)*IFERROR(VLOOKUP(C29,Monsters!$T$4:$AH$15,9,FALSE),0))*'Rules &amp; Formulas'!B6),"")</f>
        <v/>
      </c>
      <c r="Q29" s="7">
        <f>IF(OR(B29="Hunt",B29="Go AFK"),('Rules &amp; Formulas'!B4*N28*('Rules &amp; Formulas'!B5+O28)*IFERROR(VLOOKUP(C29,Monsters!$T$4:$AH$15,10,FALSE),0)*IFERROR(VLOOKUP(C29,Monsters!$T$4:$AH$15,9,FALSE),0)),"")</f>
        <v/>
      </c>
      <c r="R29" s="7">
        <f>IF(AND((E29="OK"),B29="Hunt"),IF(B29="Hunt",(('Rules &amp; Formulas'!B4*N28*('Rules &amp; Formulas'!B5+O28)*IFERROR(VLOOKUP(C29,Monsters!$T$4:$AH$15,10,FALSE),0)*IFERROR(VLOOKUP(C29,Monsters!$T$4:$AH$15,9,FALSE),0))*'Rules &amp; Formulas'!B6)*IF(D29="",0,D29),0),IF(AND((E29="OK"),B29="Go AFK"),IF(B29="Go AFK",MIN(IF((IF((IFERROR(VLOOKUP(C29,Monsters!$T$4:$AH$15,8,FALSE),0))=0,0.35,IFERROR(VLOOKUP(C29,Monsters!$T$4:$AH$15,8,FALSE),0))/(1+0.08*AK28))&lt;=0,999999,FLOOR(MIN(('Rules &amp; Formulas'!B15+25*AJ28),M28+('Rules &amp; Formulas'!B14+0.4*AJ28)*(MIN(IF(B29="Go AFK",IF(D29="",0,D29),0),Z28/60)*60))/(IF((IFERROR(VLOOKUP(C29,Monsters!$T$4:$AH$15,8,FALSE),0))=0,0.35,IFERROR(VLOOKUP(C29,Monsters!$T$4:$AH$15,8,FALSE),0))/(1+0.08*AK28)),1)),('Rules &amp; Formulas'!B4*N28*('Rules &amp; Formulas'!B5+O28)*IFERROR(VLOOKUP(C29,Monsters!$T$4:$AH$15,10,FALSE),0)*IFERROR(VLOOKUP(C29,Monsters!$T$4:$AH$15,9,FALSE),0))*(MIN(IF(B29="Go AFK",IF(D29="",0,D29),0),Z28/60)*60)),0),0))</f>
        <v/>
      </c>
      <c r="S29" s="7">
        <f>(105/'Rules &amp; Formulas'!B10)*'Rules &amp; Formulas'!B11</f>
        <v/>
      </c>
      <c r="T29" s="7">
        <f>IF(AD28&gt;=1,(MAX(1,ROUND('Rules &amp; Formulas'!B18*(1+0.3*AE28)*(1+0.4*AF28),0)))*(1000/'Rules &amp; Formulas'!B19)*MIN(0.95,'Rules &amp; Formulas'!B20*SQRT(1+0.55*(AG28&gt;=1))),0)</f>
        <v/>
      </c>
      <c r="U29" s="7">
        <f>S29+T29</f>
        <v/>
      </c>
      <c r="V29" s="7">
        <f>IF(I28&gt;=IF((IFERROR(VLOOKUP(C29,Monsters!$T$4:$AH$15,15,FALSE),0))=0,120,IFERROR(VLOOKUP(C29,Monsters!$T$4:$AH$15,15,FALSE),0)),"YES","no")</f>
        <v/>
      </c>
      <c r="W29" s="7">
        <f>IF(AND(B29="Fight boss",E29="OK"),IF((((105/'Rules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Formulas'!B20*SQRT(1+0.55*(AG28&gt;=1))),0)))),"")</f>
        <v/>
      </c>
      <c r="X29" s="7">
        <f>IF(AND(B29="Fight boss",E29="OK"),IF((IF((((105/'Rules &amp; Formulas'!B10)*'Rules &amp; Formulas'!B11+IF(AD28&gt;=1,(MAX(1,ROUND('Rules &amp; Formulas'!B18*(1+0.3*AE28)*(1+0.4*AF28),0)))*(1000/'Rules &amp; Formulas'!B19)*MIN(0.95,'Rules &amp; Formulas'!B20*SQRT(1+0.55*(AG28&gt;=1))),0)))&lt;=0,9999,(IFERROR(VLOOKUP(C29,Monsters!$T$4:$AH$15,2,FALSE),0))/(((105/'Rules &amp; Formulas'!B10)*'Rules &amp; Formulas'!B11+IF(AD28&gt;=1,(MAX(1,ROUND('Rules &amp; Formulas'!B18*(1+0.3*AE28)*(1+0.4*AF28),0)))*(1000/'Rules &amp; Formulas'!B19)*MIN(0.95,'Rules &amp; Formulas'!B20*SQRT(1+0.55*(AG28&gt;=1))),0))))&lt;='Rules &amp; Formulas'!B12),"WIN","LOSE"),"")</f>
        <v/>
      </c>
      <c r="Y29" s="7">
        <f>IF(B29="Go AFK",MIN(IF(B29="Go AFK",IF(D29="",0,D29),0),Z28/60),"")</f>
        <v/>
      </c>
      <c r="Z29" s="7">
        <f>('Rules &amp; Formulas'!B13+30*AI29)</f>
        <v/>
      </c>
      <c r="AA29">
        <f>COUNTIFS($B$3:$B29,"Buy upgrade",$C$3:$C29,"Idle Power")</f>
        <v/>
      </c>
      <c r="AB29">
        <f>COUNTIFS($B$3:$B29,"Buy upgrade",$C$3:$C29,"Iron Blade")</f>
        <v/>
      </c>
      <c r="AC29">
        <f>COUNTIFS($B$3:$B29,"Buy upgrade",$C$3:$C29,"Steel Blade")</f>
        <v/>
      </c>
      <c r="AD29">
        <f>COUNTIFS($B$3:$B29,"Hire hunter",$C$3:$C29,"Briar")+COUNTIFS($B$3:$B29,"Buy upgrade",$C$3:$C29,"Hire Briar")</f>
        <v/>
      </c>
      <c r="AE29">
        <f>COUNTIFS($B$3:$B29,"Buy upgrade",$C$3:$C29,"Hunter Power")</f>
        <v/>
      </c>
      <c r="AF29">
        <f>COUNTIFS($B$3:$B29,"Buy upgrade",$C$3:$C29,"Bigger Hits")</f>
        <v/>
      </c>
      <c r="AG29">
        <f>COUNTIFS($B$3:$B29,"Buy upgrade",$C$3:$C29,"Swift Walk")</f>
        <v/>
      </c>
      <c r="AH29">
        <f>COUNTIFS($B$3:$B29,"Buy upgrade",$C$3:$C29,"Loot Luck")</f>
        <v/>
      </c>
      <c r="AI29">
        <f>COUNTIFS($B$3:$B29,"Buy upgrade",$C$3:$C29,"Offline Cap")</f>
        <v/>
      </c>
      <c r="AJ29">
        <f>COUNTIFS($B$3:$B29,"Buy upgrade",$C$3:$C29,"Bigger Food Stock")</f>
        <v/>
      </c>
      <c r="AK29">
        <f>COUNTIFS($B$3:$B29,"Buy upgrade",$C$3:$C29,"Food Efficiency")</f>
        <v/>
      </c>
    </row>
    <row r="30">
      <c r="A30" t="n">
        <v>28</v>
      </c>
      <c r="B30" s="6" t="n"/>
      <c r="C30" s="6" t="n"/>
      <c r="D30" s="6" t="n"/>
      <c r="E30" s="7">
        <f>IF(B30="","",IF(OR(B30="Hunt",B30="Go AFK"),IF(C30="","Can't","OK"),IF(B30="Fight boss",IF(I29&lt;IF((IFERROR(VLOOKUP(C30,Monsters!$T$4:$AH$15,15,FALSE),0))=0,120,IFERROR(VLOOKUP(C30,Monsters!$T$4:$AH$15,15,FALSE),0)),"Can't","OK"),IF(B30="Hire hunter",IF(AND(C30="Briar",AD29&gt;=1),"Can't",IF(H29&lt;IF(C30="Briar",140,IF(C30="Quill",3650,IF(C30="Moss",4850,IF(C30="Ember",12200,0)))),"Can't","OK")),IF(OR(B30="Buy upgrade",B30="Forge/Scrapwork buy"),IF(IFERROR(VLOOKUP(C30,Upgrades!$N$4:$T$47,2,FALSE),0)="points","Can't",IF(IFERROR(VLOOKUP(C30,Upgrades!$N$4:$T$47,2,FALSE),0)="gold",IF(H29&lt;IFERROR(FLOOR(IFERROR(VLOOKUP(C30,Upgrades!$N$4:$T$47,3,FALSE),0)*(IFERROR(VLOOKUP(C30,Upgrades!$N$4:$T$47,4,FALSE),0)^(COUNTIFS($B$3:$B29,"Buy upgrade",$C$3:$C29,C30)+COUNTIFS($B$3:$B29,"Hire hunter",$C$3:$C29,C30)+COUNTIFS($B$3:$B29,"Forge/Scrapwork buy",$C$3:$C29,C30))),1),0),"Can't","OK"),IF(IFERROR(VLOOKUP(C30,Upgrades!$N$4:$T$47,2,FALSE),0)="scraps",IF(J29&lt;IFERROR(FLOOR(IFERROR(VLOOKUP(C30,Upgrades!$N$4:$T$47,3,FALSE),0)*(IFERROR(VLOOKUP(C30,Upgrades!$N$4:$T$47,4,FALSE),0)^(COUNTIFS($B$3:$B29,"Buy upgrade",$C$3:$C29,C30)+COUNTIFS($B$3:$B29,"Hire hunter",$C$3:$C29,C30)+COUNTIFS($B$3:$B29,"Forge/Scrapwork buy",$C$3:$C29,C30))),1),0),"Can't","OK"),IF(IFERROR(VLOOKUP(C30,Upgrades!$N$4:$T$47,2,FALSE),0)="mats","Can't","OK")))),"Check")))))</f>
        <v/>
      </c>
      <c r="F30" s="7">
        <f>IF(B30="","",IF(AND(B30="Fight boss",I29&lt;IF((IFERROR(VLOOKUP(C30,Monsters!$T$4:$AH$15,15,FALSE),0))=0,120,IFERROR(VLOOKUP(C30,Monsters!$T$4:$AH$15,15,FALSE),0))),"Can't — need "&amp;TEXT(IF((IFERROR(VLOOKUP(C30,Monsters!$T$4:$AH$15,15,FALSE),0))=0,120,IFERROR(VLOOKUP(C30,Monsters!$T$4:$AH$15,15,FALSE),0))-I29,"0.0")&amp;" more Slayer points on the meter",IF(AND(B30="Hire hunter",C30="Briar",AD29&gt;=1),"Can't — already hired",IF(AND(B30="Hire hunter",H29&lt;IF(C30="Briar",140,IF(C30="Quill",3650,IF(C30="Moss",4850,IF(C30="Ember",12200,0))))),"Can't — need "&amp;TEXT(IF(C30="Briar",140,IF(C30="Quill",3650,IF(C30="Moss",4850,IF(C30="Ember",12200,0))))-H29,"0")&amp;" more gold",IF(AND(OR(B30="Buy upgrade",B30="Forge/Scrapwork buy"),IFERROR(VLOOKUP(C30,Upgrades!$N$4:$T$47,2,FALSE),0)="points"),"Can't — Sp-wallet spends not tracked here",IF(AND(OR(B30="Buy upgrade",B30="Forge/Scrapwork buy"),IFERROR(VLOOKUP(C30,Upgrades!$N$4:$T$47,2,FALSE),0)="gold",H29&lt;IFERROR(FLOOR(IFERROR(VLOOKUP(C30,Upgrades!$N$4:$T$47,3,FALSE),0)*(IFERROR(VLOOKUP(C30,Upgrades!$N$4:$T$47,4,FALSE),0)^(COUNTIFS($B$3:$B29,"Buy upgrade",$C$3:$C29,C30)+COUNTIFS($B$3:$B29,"Hire hunter",$C$3:$C29,C30)+COUNTIFS($B$3:$B29,"Forge/Scrapwork buy",$C$3:$C29,C30))),1),0)),"Can't — need "&amp;TEXT(IFERROR(FLOOR(IFERROR(VLOOKUP(C30,Upgrades!$N$4:$T$47,3,FALSE),0)*(IFERROR(VLOOKUP(C30,Upgrades!$N$4:$T$47,4,FALSE),0)^(COUNTIFS($B$3:$B29,"Buy upgrade",$C$3:$C29,C30)+COUNTIFS($B$3:$B29,"Hire hunter",$C$3:$C29,C30)+COUNTIFS($B$3:$B29,"Forge/Scrapwork buy",$C$3:$C29,C30))),1),0)-H29,"0")&amp;" more gold",IF(AND(OR(B30="Buy upgrade",B30="Forge/Scrapwork buy"),IFERROR(VLOOKUP(C30,Upgrades!$N$4:$T$47,2,FALSE),0)="scraps",J29&lt;IFERROR(FLOOR(IFERROR(VLOOKUP(C30,Upgrades!$N$4:$T$47,3,FALSE),0)*(IFERROR(VLOOKUP(C30,Upgrades!$N$4:$T$47,4,FALSE),0)^(COUNTIFS($B$3:$B29,"Buy upgrade",$C$3:$C29,C30)+COUNTIFS($B$3:$B29,"Hire hunter",$C$3:$C29,C30)+COUNTIFS($B$3:$B29,"Forge/Scrapwork buy",$C$3:$C29,C30))),1),0)),"Can't — need "&amp;TEXT(IFERROR(FLOOR(IFERROR(VLOOKUP(C30,Upgrades!$N$4:$T$47,3,FALSE),0)*(IFERROR(VLOOKUP(C30,Upgrades!$N$4:$T$47,4,FALSE),0)^(COUNTIFS($B$3:$B29,"Buy upgrade",$C$3:$C29,C30)+COUNTIFS($B$3:$B29,"Hire hunter",$C$3:$C29,C30)+COUNTIFS($B$3:$B29,"Forge/Scrapwork buy",$C$3:$C29,C30))),1),0)-J29,"0")&amp;" more scraps",IF(AND(B30="Fight boss",E30="OK",(IF((((105/'Rules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Formulas'!B12)),"WIN — boss down, next Level unlocks",IF(AND(B30="Fight boss",E30="OK"),"LOSE — TTK "&amp;TEXT(IF((((105/'Rules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Formulas'!B20*SQRT(1+0.55*(AG29&gt;=1))),0)))),"0")&amp;"s &gt; patience "&amp;TEXT('Rules &amp; Formulas'!B12,"0")&amp;"s (leave resets HP)",IF(B30="Go AFK","AFK resolved (see AFK counted h)","Applied")))))))))</f>
        <v/>
      </c>
      <c r="G30" s="7">
        <f>IF(AND((E30="OK"),B30="Fight boss",(IF((((105/'Rules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Formulas'!B12),C30="Elder Thornpelt"),2,IF(AND((E30="OK"),B30="Fight boss",(IF((((105/'Rules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Formulas'!B12),C30="Ashfang Alpha"),3,G29))</f>
        <v/>
      </c>
      <c r="H30" s="7">
        <f>MAX(0,H29+IF(AND((E30="OK"),B30="Hunt"),(IF(B30="Hunt",(('Rules &amp; Formulas'!B4*N29*('Rules &amp; Formulas'!B5+O29)*IFERROR(VLOOKUP(C30,Monsters!$T$4:$AH$15,10,FALSE),0)*IFERROR(VLOOKUP(C30,Monsters!$T$4:$AH$15,9,FALSE),0))*'Rules &amp; Formulas'!B6)*IF(D30="",0,D30),0))*(IFERROR(VLOOKUP(C30,Monsters!$T$4:$AH$15,3,FALSE),0))*(1+0.1*AH29)+(IF(OR(B30&lt;&gt;"Hunt",IFERROR(VLOOKUP(C30,Monsters!$T$4:$AH$15,6,FALSE),0)=0),0,FLOOR((IF(B30="Hunt",(('Rules &amp; Formulas'!B4*N29*('Rules &amp; Formulas'!B5+O29)*IFERROR(VLOOKUP(C30,Monsters!$T$4:$AH$15,10,FALSE),0)*IFERROR(VLOOKUP(C30,Monsters!$T$4:$AH$15,9,FALSE),0))*'Rules &amp; Formulas'!B6)*IF(D30="",0,D30),0))/MAX(1,IFERROR(VLOOKUP(C30,Monsters!$T$4:$AH$15,6,FALSE),0)),1)))*(IFERROR(VLOOKUP(C30,Monsters!$T$4:$AH$15,7,FALSE),0))*0.5*(1+0.1*AH29),0)+IF(AND((E30="OK"),B30="Go AFK"),(IF(B30="Go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AFK",IF(D30="",0,D30),0),Z29/60)*60)),0))*(IFERROR(VLOOKUP(C30,Monsters!$T$4:$AH$15,3,FALSE),0))*(1+0.1*AH29)+(IF(OR(B30&lt;&gt;"Go AFK",IFERROR(VLOOKUP(C30,Monsters!$T$4:$AH$15,6,FALSE),0)=0),0,FLOOR((IF(B30="Go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AFK",IF(D30="",0,D30),0),Z29/60)*60)),0))/MAX(1,IFERROR(VLOOKUP(C30,Monsters!$T$4:$AH$15,6,FALSE),0)),1)))*(IFERROR(VLOOKUP(C30,Monsters!$T$4:$AH$15,7,FALSE),0))*0.5*(1+0.1*AH29),0)+IF(AND((E30="OK"),B30="Fight boss",(IF((((105/'Rules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Formulas'!B12)),IFERROR(VLOOKUP(C30,Monsters!$T$4:$AH$15,3,FALSE),0),0)-IF(AND((E30="OK"),OR(B30="Buy upgrade",B30="Forge/Scrapwork buy"),IFERROR(VLOOKUP(C30,Upgrades!$N$4:$T$47,2,FALSE),0)="gold"),IFERROR(FLOOR(IFERROR(VLOOKUP(C30,Upgrades!$N$4:$T$47,3,FALSE),0)*(IFERROR(VLOOKUP(C30,Upgrades!$N$4:$T$47,4,FALSE),0)^(COUNTIFS($B$3:$B29,"Buy upgrade",$C$3:$C29,C30)+COUNTIFS($B$3:$B29,"Hire hunter",$C$3:$C29,C30)+COUNTIFS($B$3:$B29,"Forge/Scrapwork buy",$C$3:$C29,C30))),1),0),0)-IF(AND((E30="OK"),B30="Hire hunter"),IF(C30="Briar",140,IF(C30="Quill",3650,IF(C30="Moss",4850,IF(C30="Ember",12200,0)))),0))</f>
        <v/>
      </c>
      <c r="I30" s="7">
        <f>IF(AND((E30="OK"),B30="Fight boss",(IF((((105/'Rules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Formulas'!B12)),0,MIN(IF(G29&lt;=1,120,IF(G29=2,280,600)),I29+IF(AND((E30="OK"),B30="Hunt"),((IF(B30="Hunt",(('Rules &amp; Formulas'!B4*N29*('Rules &amp; Formulas'!B5+O29)*IFERROR(VLOOKUP(C30,Monsters!$T$4:$AH$15,10,FALSE),0)*IFERROR(VLOOKUP(C30,Monsters!$T$4:$AH$15,9,FALSE),0))*'Rules &amp; Formulas'!B6)*IF(D30="",0,D30),0))*(IFERROR(VLOOKUP(C30,Monsters!$T$4:$AH$15,4,FALSE),0))+(IF(OR(B30&lt;&gt;"Hunt",IFERROR(VLOOKUP(C30,Monsters!$T$4:$AH$15,6,FALSE),0)=0),0,FLOOR((IF(B30="Hunt",(('Rules &amp; Formulas'!B4*N29*('Rules &amp; Formulas'!B5+O29)*IFERROR(VLOOKUP(C30,Monsters!$T$4:$AH$15,10,FALSE),0)*IFERROR(VLOOKUP(C30,Monsters!$T$4:$AH$15,9,FALSE),0))*'Rules &amp; Formulas'!B6)*IF(D30="",0,D30),0))/MAX(1,IFERROR(VLOOKUP(C30,Monsters!$T$4:$AH$15,6,FALSE),0)),1)))*(IFERROR(VLOOKUP(C30,Monsters!$T$4:$AH$15,7,FALSE),0))),0)+IF(AND((E30="OK"),B30="Go AFK"),((IF(B30="Go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AFK",IF(D30="",0,D30),0),Z29/60)*60)),0))*(IFERROR(VLOOKUP(C30,Monsters!$T$4:$AH$15,4,FALSE),0))+(IF(OR(B30&lt;&gt;"Go AFK",IFERROR(VLOOKUP(C30,Monsters!$T$4:$AH$15,6,FALSE),0)=0),0,FLOOR((IF(B30="Go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AFK",IF(D30="",0,D30),0),Z29/60)*60)),0))/MAX(1,IFERROR(VLOOKUP(C30,Monsters!$T$4:$AH$15,6,FALSE),0)),1)))*(IFERROR(VLOOKUP(C30,Monsters!$T$4:$AH$15,7,FALSE),0))),0)))</f>
        <v/>
      </c>
      <c r="J30" s="7">
        <f>MAX(0,J29+IF(AND((E30="OK"),B30="Hunt"),(IF(B30="Hunt",(('Rules &amp; Formulas'!B4*N29*('Rules &amp; Formulas'!B5+O29)*IFERROR(VLOOKUP(C30,Monsters!$T$4:$AH$15,10,FALSE),0)*IFERROR(VLOOKUP(C30,Monsters!$T$4:$AH$15,9,FALSE),0))*'Rules &amp; Formulas'!B6)*IF(D30="",0,D30),0))*(IFERROR(VLOOKUP(C30,Monsters!$T$4:$AH$15,5,FALSE),0)),0)+IF(AND((E30="OK"),B30="Go AFK"),(IF(B30="Go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AFK",IF(D30="",0,D30),0),Z29/60)*60)),0))*(IFERROR(VLOOKUP(C30,Monsters!$T$4:$AH$15,5,FALSE),0)),0)-IF(AND((E30="OK"),OR(B30="Buy upgrade",B30="Forge/Scrapwork buy"),IFERROR(VLOOKUP(C30,Upgrades!$N$4:$T$47,2,FALSE),0)="scraps"),IFERROR(FLOOR(IFERROR(VLOOKUP(C30,Upgrades!$N$4:$T$47,3,FALSE),0)*(IFERROR(VLOOKUP(C30,Upgrades!$N$4:$T$47,4,FALSE),0)^(COUNTIFS($B$3:$B29,"Buy upgrade",$C$3:$C29,C30)+COUNTIFS($B$3:$B29,"Hire hunter",$C$3:$C29,C30)+COUNTIFS($B$3:$B29,"Forge/Scrapwork buy",$C$3:$C29,C30))),1),0),0))</f>
        <v/>
      </c>
      <c r="K30" s="7">
        <f>MAX(0,K29+IF(AND((E30="OK"),B30="Hunt"),IF(C30="Thornpelt Bear",(IF(B30="Hunt",(('Rules &amp; Formulas'!B4*N29*('Rules &amp; Formulas'!B5+O29)*IFERROR(VLOOKUP(C30,Monsters!$T$4:$AH$15,10,FALSE),0)*IFERROR(VLOOKUP(C30,Monsters!$T$4:$AH$15,9,FALSE),0))*'Rules &amp; Formulas'!B6)*IF(D30="",0,D30),0))*0.12,0),0)+IF(AND((E30="OK"),B30="Go AFK"),IF(C30="Thornpelt Bear",(IF(B30="Go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AFK",IF(D30="",0,D30),0),Z29/60)*60)),0))*0.12,0),0))</f>
        <v/>
      </c>
      <c r="L30" s="7">
        <f>MAX(0,L29+IF(AND((E30="OK"),B30="Hunt"),IF(C30="Dire Thornpelt",(IF(B30="Hunt",(('Rules &amp; Formulas'!B4*N29*('Rules &amp; Formulas'!B5+O29)*IFERROR(VLOOKUP(C30,Monsters!$T$4:$AH$15,10,FALSE),0)*IFERROR(VLOOKUP(C30,Monsters!$T$4:$AH$15,9,FALSE),0))*'Rules &amp; Formulas'!B6)*IF(D30="",0,D30),0))*0.1,0),0)+IF(AND((E30="OK"),B30="Go AFK"),IF(C30="Dire Thornpelt",(IF(B30="Go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AFK",IF(D30="",0,D30),0),Z29/60)*60)),0))*0.1,0),0))</f>
        <v/>
      </c>
      <c r="M30" s="7">
        <f>IF(AND((E30="OK"),B30="Go AFK"),MAX(0,MIN(('Rules &amp; Formulas'!B15+25*AJ29),M29+('Rules &amp; Formulas'!B14+0.4*AJ29)*(MIN(IF(B30="Go AFK",IF(D30="",0,D30),0),Z29/60)*60))-(IF(B30="Go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AFK",IF(D30="",0,D30),0),Z29/60)*60)),0))*(IF((IFERROR(VLOOKUP(C30,Monsters!$T$4:$AH$15,8,FALSE),0))=0,0.35,IFERROR(VLOOKUP(C30,Monsters!$T$4:$AH$15,8,FALSE),0))/(1+0.08*AK29))),MIN(('Rules &amp; Formulas'!B15+25*AJ30),M29))</f>
        <v/>
      </c>
      <c r="N30" s="7">
        <f>(1+0.08+0.12*AA30+0.12*AB30+0.16*AC30)</f>
        <v/>
      </c>
      <c r="O30" s="7">
        <f>((AD30&gt;=1)*1*(1+0.3*AE30))</f>
        <v/>
      </c>
      <c r="P30" s="7">
        <f>IF(OR(B30="Hunt",B30="Go AFK"),(('Rules &amp; Formulas'!B4*N29*('Rules &amp; Formulas'!B5+O29)*IFERROR(VLOOKUP(C30,Monsters!$T$4:$AH$15,10,FALSE),0)*IFERROR(VLOOKUP(C30,Monsters!$T$4:$AH$15,9,FALSE),0))*'Rules &amp; Formulas'!B6),"")</f>
        <v/>
      </c>
      <c r="Q30" s="7">
        <f>IF(OR(B30="Hunt",B30="Go AFK"),('Rules &amp; Formulas'!B4*N29*('Rules &amp; Formulas'!B5+O29)*IFERROR(VLOOKUP(C30,Monsters!$T$4:$AH$15,10,FALSE),0)*IFERROR(VLOOKUP(C30,Monsters!$T$4:$AH$15,9,FALSE),0)),"")</f>
        <v/>
      </c>
      <c r="R30" s="7">
        <f>IF(AND((E30="OK"),B30="Hunt"),IF(B30="Hunt",(('Rules &amp; Formulas'!B4*N29*('Rules &amp; Formulas'!B5+O29)*IFERROR(VLOOKUP(C30,Monsters!$T$4:$AH$15,10,FALSE),0)*IFERROR(VLOOKUP(C30,Monsters!$T$4:$AH$15,9,FALSE),0))*'Rules &amp; Formulas'!B6)*IF(D30="",0,D30),0),IF(AND((E30="OK"),B30="Go AFK"),IF(B30="Go AFK",MIN(IF((IF((IFERROR(VLOOKUP(C30,Monsters!$T$4:$AH$15,8,FALSE),0))=0,0.35,IFERROR(VLOOKUP(C30,Monsters!$T$4:$AH$15,8,FALSE),0))/(1+0.08*AK29))&lt;=0,999999,FLOOR(MIN(('Rules &amp; Formulas'!B15+25*AJ29),M29+('Rules &amp; Formulas'!B14+0.4*AJ29)*(MIN(IF(B30="Go AFK",IF(D30="",0,D30),0),Z29/60)*60))/(IF((IFERROR(VLOOKUP(C30,Monsters!$T$4:$AH$15,8,FALSE),0))=0,0.35,IFERROR(VLOOKUP(C30,Monsters!$T$4:$AH$15,8,FALSE),0))/(1+0.08*AK29)),1)),('Rules &amp; Formulas'!B4*N29*('Rules &amp; Formulas'!B5+O29)*IFERROR(VLOOKUP(C30,Monsters!$T$4:$AH$15,10,FALSE),0)*IFERROR(VLOOKUP(C30,Monsters!$T$4:$AH$15,9,FALSE),0))*(MIN(IF(B30="Go AFK",IF(D30="",0,D30),0),Z29/60)*60)),0),0))</f>
        <v/>
      </c>
      <c r="S30" s="7">
        <f>(105/'Rules &amp; Formulas'!B10)*'Rules &amp; Formulas'!B11</f>
        <v/>
      </c>
      <c r="T30" s="7">
        <f>IF(AD29&gt;=1,(MAX(1,ROUND('Rules &amp; Formulas'!B18*(1+0.3*AE29)*(1+0.4*AF29),0)))*(1000/'Rules &amp; Formulas'!B19)*MIN(0.95,'Rules &amp; Formulas'!B20*SQRT(1+0.55*(AG29&gt;=1))),0)</f>
        <v/>
      </c>
      <c r="U30" s="7">
        <f>S30+T30</f>
        <v/>
      </c>
      <c r="V30" s="7">
        <f>IF(I29&gt;=IF((IFERROR(VLOOKUP(C30,Monsters!$T$4:$AH$15,15,FALSE),0))=0,120,IFERROR(VLOOKUP(C30,Monsters!$T$4:$AH$15,15,FALSE),0)),"YES","no")</f>
        <v/>
      </c>
      <c r="W30" s="7">
        <f>IF(AND(B30="Fight boss",E30="OK"),IF((((105/'Rules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Formulas'!B20*SQRT(1+0.55*(AG29&gt;=1))),0)))),"")</f>
        <v/>
      </c>
      <c r="X30" s="7">
        <f>IF(AND(B30="Fight boss",E30="OK"),IF((IF((((105/'Rules &amp; Formulas'!B10)*'Rules &amp; Formulas'!B11+IF(AD29&gt;=1,(MAX(1,ROUND('Rules &amp; Formulas'!B18*(1+0.3*AE29)*(1+0.4*AF29),0)))*(1000/'Rules &amp; Formulas'!B19)*MIN(0.95,'Rules &amp; Formulas'!B20*SQRT(1+0.55*(AG29&gt;=1))),0)))&lt;=0,9999,(IFERROR(VLOOKUP(C30,Monsters!$T$4:$AH$15,2,FALSE),0))/(((105/'Rules &amp; Formulas'!B10)*'Rules &amp; Formulas'!B11+IF(AD29&gt;=1,(MAX(1,ROUND('Rules &amp; Formulas'!B18*(1+0.3*AE29)*(1+0.4*AF29),0)))*(1000/'Rules &amp; Formulas'!B19)*MIN(0.95,'Rules &amp; Formulas'!B20*SQRT(1+0.55*(AG29&gt;=1))),0))))&lt;='Rules &amp; Formulas'!B12),"WIN","LOSE"),"")</f>
        <v/>
      </c>
      <c r="Y30" s="7">
        <f>IF(B30="Go AFK",MIN(IF(B30="Go AFK",IF(D30="",0,D30),0),Z29/60),"")</f>
        <v/>
      </c>
      <c r="Z30" s="7">
        <f>('Rules &amp; Formulas'!B13+30*AI30)</f>
        <v/>
      </c>
      <c r="AA30">
        <f>COUNTIFS($B$3:$B30,"Buy upgrade",$C$3:$C30,"Idle Power")</f>
        <v/>
      </c>
      <c r="AB30">
        <f>COUNTIFS($B$3:$B30,"Buy upgrade",$C$3:$C30,"Iron Blade")</f>
        <v/>
      </c>
      <c r="AC30">
        <f>COUNTIFS($B$3:$B30,"Buy upgrade",$C$3:$C30,"Steel Blade")</f>
        <v/>
      </c>
      <c r="AD30">
        <f>COUNTIFS($B$3:$B30,"Hire hunter",$C$3:$C30,"Briar")+COUNTIFS($B$3:$B30,"Buy upgrade",$C$3:$C30,"Hire Briar")</f>
        <v/>
      </c>
      <c r="AE30">
        <f>COUNTIFS($B$3:$B30,"Buy upgrade",$C$3:$C30,"Hunter Power")</f>
        <v/>
      </c>
      <c r="AF30">
        <f>COUNTIFS($B$3:$B30,"Buy upgrade",$C$3:$C30,"Bigger Hits")</f>
        <v/>
      </c>
      <c r="AG30">
        <f>COUNTIFS($B$3:$B30,"Buy upgrade",$C$3:$C30,"Swift Walk")</f>
        <v/>
      </c>
      <c r="AH30">
        <f>COUNTIFS($B$3:$B30,"Buy upgrade",$C$3:$C30,"Loot Luck")</f>
        <v/>
      </c>
      <c r="AI30">
        <f>COUNTIFS($B$3:$B30,"Buy upgrade",$C$3:$C30,"Offline Cap")</f>
        <v/>
      </c>
      <c r="AJ30">
        <f>COUNTIFS($B$3:$B30,"Buy upgrade",$C$3:$C30,"Bigger Food Stock")</f>
        <v/>
      </c>
      <c r="AK30">
        <f>COUNTIFS($B$3:$B30,"Buy upgrade",$C$3:$C30,"Food Efficiency")</f>
        <v/>
      </c>
    </row>
    <row r="31">
      <c r="A31" t="n">
        <v>29</v>
      </c>
      <c r="B31" s="6" t="n"/>
      <c r="C31" s="6" t="n"/>
      <c r="D31" s="6" t="n"/>
      <c r="E31" s="7">
        <f>IF(B31="","",IF(OR(B31="Hunt",B31="Go AFK"),IF(C31="","Can't","OK"),IF(B31="Fight boss",IF(I30&lt;IF((IFERROR(VLOOKUP(C31,Monsters!$T$4:$AH$15,15,FALSE),0))=0,120,IFERROR(VLOOKUP(C31,Monsters!$T$4:$AH$15,15,FALSE),0)),"Can't","OK"),IF(B31="Hire hunter",IF(AND(C31="Briar",AD30&gt;=1),"Can't",IF(H30&lt;IF(C31="Briar",140,IF(C31="Quill",3650,IF(C31="Moss",4850,IF(C31="Ember",12200,0)))),"Can't","OK")),IF(OR(B31="Buy upgrade",B31="Forge/Scrapwork buy"),IF(IFERROR(VLOOKUP(C31,Upgrades!$N$4:$T$47,2,FALSE),0)="points","Can't",IF(IFERROR(VLOOKUP(C31,Upgrades!$N$4:$T$47,2,FALSE),0)="gold",IF(H30&lt;IFERROR(FLOOR(IFERROR(VLOOKUP(C31,Upgrades!$N$4:$T$47,3,FALSE),0)*(IFERROR(VLOOKUP(C31,Upgrades!$N$4:$T$47,4,FALSE),0)^(COUNTIFS($B$3:$B30,"Buy upgrade",$C$3:$C30,C31)+COUNTIFS($B$3:$B30,"Hire hunter",$C$3:$C30,C31)+COUNTIFS($B$3:$B30,"Forge/Scrapwork buy",$C$3:$C30,C31))),1),0),"Can't","OK"),IF(IFERROR(VLOOKUP(C31,Upgrades!$N$4:$T$47,2,FALSE),0)="scraps",IF(J30&lt;IFERROR(FLOOR(IFERROR(VLOOKUP(C31,Upgrades!$N$4:$T$47,3,FALSE),0)*(IFERROR(VLOOKUP(C31,Upgrades!$N$4:$T$47,4,FALSE),0)^(COUNTIFS($B$3:$B30,"Buy upgrade",$C$3:$C30,C31)+COUNTIFS($B$3:$B30,"Hire hunter",$C$3:$C30,C31)+COUNTIFS($B$3:$B30,"Forge/Scrapwork buy",$C$3:$C30,C31))),1),0),"Can't","OK"),IF(IFERROR(VLOOKUP(C31,Upgrades!$N$4:$T$47,2,FALSE),0)="mats","Can't","OK")))),"Check")))))</f>
        <v/>
      </c>
      <c r="F31" s="7">
        <f>IF(B31="","",IF(AND(B31="Fight boss",I30&lt;IF((IFERROR(VLOOKUP(C31,Monsters!$T$4:$AH$15,15,FALSE),0))=0,120,IFERROR(VLOOKUP(C31,Monsters!$T$4:$AH$15,15,FALSE),0))),"Can't — need "&amp;TEXT(IF((IFERROR(VLOOKUP(C31,Monsters!$T$4:$AH$15,15,FALSE),0))=0,120,IFERROR(VLOOKUP(C31,Monsters!$T$4:$AH$15,15,FALSE),0))-I30,"0.0")&amp;" more Slayer points on the meter",IF(AND(B31="Hire hunter",C31="Briar",AD30&gt;=1),"Can't — already hired",IF(AND(B31="Hire hunter",H30&lt;IF(C31="Briar",140,IF(C31="Quill",3650,IF(C31="Moss",4850,IF(C31="Ember",12200,0))))),"Can't — need "&amp;TEXT(IF(C31="Briar",140,IF(C31="Quill",3650,IF(C31="Moss",4850,IF(C31="Ember",12200,0))))-H30,"0")&amp;" more gold",IF(AND(OR(B31="Buy upgrade",B31="Forge/Scrapwork buy"),IFERROR(VLOOKUP(C31,Upgrades!$N$4:$T$47,2,FALSE),0)="points"),"Can't — Sp-wallet spends not tracked here",IF(AND(OR(B31="Buy upgrade",B31="Forge/Scrapwork buy"),IFERROR(VLOOKUP(C31,Upgrades!$N$4:$T$47,2,FALSE),0)="gold",H30&lt;IFERROR(FLOOR(IFERROR(VLOOKUP(C31,Upgrades!$N$4:$T$47,3,FALSE),0)*(IFERROR(VLOOKUP(C31,Upgrades!$N$4:$T$47,4,FALSE),0)^(COUNTIFS($B$3:$B30,"Buy upgrade",$C$3:$C30,C31)+COUNTIFS($B$3:$B30,"Hire hunter",$C$3:$C30,C31)+COUNTIFS($B$3:$B30,"Forge/Scrapwork buy",$C$3:$C30,C31))),1),0)),"Can't — need "&amp;TEXT(IFERROR(FLOOR(IFERROR(VLOOKUP(C31,Upgrades!$N$4:$T$47,3,FALSE),0)*(IFERROR(VLOOKUP(C31,Upgrades!$N$4:$T$47,4,FALSE),0)^(COUNTIFS($B$3:$B30,"Buy upgrade",$C$3:$C30,C31)+COUNTIFS($B$3:$B30,"Hire hunter",$C$3:$C30,C31)+COUNTIFS($B$3:$B30,"Forge/Scrapwork buy",$C$3:$C30,C31))),1),0)-H30,"0")&amp;" more gold",IF(AND(OR(B31="Buy upgrade",B31="Forge/Scrapwork buy"),IFERROR(VLOOKUP(C31,Upgrades!$N$4:$T$47,2,FALSE),0)="scraps",J30&lt;IFERROR(FLOOR(IFERROR(VLOOKUP(C31,Upgrades!$N$4:$T$47,3,FALSE),0)*(IFERROR(VLOOKUP(C31,Upgrades!$N$4:$T$47,4,FALSE),0)^(COUNTIFS($B$3:$B30,"Buy upgrade",$C$3:$C30,C31)+COUNTIFS($B$3:$B30,"Hire hunter",$C$3:$C30,C31)+COUNTIFS($B$3:$B30,"Forge/Scrapwork buy",$C$3:$C30,C31))),1),0)),"Can't — need "&amp;TEXT(IFERROR(FLOOR(IFERROR(VLOOKUP(C31,Upgrades!$N$4:$T$47,3,FALSE),0)*(IFERROR(VLOOKUP(C31,Upgrades!$N$4:$T$47,4,FALSE),0)^(COUNTIFS($B$3:$B30,"Buy upgrade",$C$3:$C30,C31)+COUNTIFS($B$3:$B30,"Hire hunter",$C$3:$C30,C31)+COUNTIFS($B$3:$B30,"Forge/Scrapwork buy",$C$3:$C30,C31))),1),0)-J30,"0")&amp;" more scraps",IF(AND(B31="Fight boss",E31="OK",(IF((((105/'Rules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Formulas'!B12)),"WIN — boss down, next Level unlocks",IF(AND(B31="Fight boss",E31="OK"),"LOSE — TTK "&amp;TEXT(IF((((105/'Rules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Formulas'!B20*SQRT(1+0.55*(AG30&gt;=1))),0)))),"0")&amp;"s &gt; patience "&amp;TEXT('Rules &amp; Formulas'!B12,"0")&amp;"s (leave resets HP)",IF(B31="Go AFK","AFK resolved (see AFK counted h)","Applied")))))))))</f>
        <v/>
      </c>
      <c r="G31" s="7">
        <f>IF(AND((E31="OK"),B31="Fight boss",(IF((((105/'Rules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Formulas'!B12),C31="Elder Thornpelt"),2,IF(AND((E31="OK"),B31="Fight boss",(IF((((105/'Rules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Formulas'!B12),C31="Ashfang Alpha"),3,G30))</f>
        <v/>
      </c>
      <c r="H31" s="7">
        <f>MAX(0,H30+IF(AND((E31="OK"),B31="Hunt"),(IF(B31="Hunt",(('Rules &amp; Formulas'!B4*N30*('Rules &amp; Formulas'!B5+O30)*IFERROR(VLOOKUP(C31,Monsters!$T$4:$AH$15,10,FALSE),0)*IFERROR(VLOOKUP(C31,Monsters!$T$4:$AH$15,9,FALSE),0))*'Rules &amp; Formulas'!B6)*IF(D31="",0,D31),0))*(IFERROR(VLOOKUP(C31,Monsters!$T$4:$AH$15,3,FALSE),0))*(1+0.1*AH30)+(IF(OR(B31&lt;&gt;"Hunt",IFERROR(VLOOKUP(C31,Monsters!$T$4:$AH$15,6,FALSE),0)=0),0,FLOOR((IF(B31="Hunt",(('Rules &amp; Formulas'!B4*N30*('Rules &amp; Formulas'!B5+O30)*IFERROR(VLOOKUP(C31,Monsters!$T$4:$AH$15,10,FALSE),0)*IFERROR(VLOOKUP(C31,Monsters!$T$4:$AH$15,9,FALSE),0))*'Rules &amp; Formulas'!B6)*IF(D31="",0,D31),0))/MAX(1,IFERROR(VLOOKUP(C31,Monsters!$T$4:$AH$15,6,FALSE),0)),1)))*(IFERROR(VLOOKUP(C31,Monsters!$T$4:$AH$15,7,FALSE),0))*0.5*(1+0.1*AH30),0)+IF(AND((E31="OK"),B31="Go AFK"),(IF(B31="Go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AFK",IF(D31="",0,D31),0),Z30/60)*60)),0))*(IFERROR(VLOOKUP(C31,Monsters!$T$4:$AH$15,3,FALSE),0))*(1+0.1*AH30)+(IF(OR(B31&lt;&gt;"Go AFK",IFERROR(VLOOKUP(C31,Monsters!$T$4:$AH$15,6,FALSE),0)=0),0,FLOOR((IF(B31="Go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AFK",IF(D31="",0,D31),0),Z30/60)*60)),0))/MAX(1,IFERROR(VLOOKUP(C31,Monsters!$T$4:$AH$15,6,FALSE),0)),1)))*(IFERROR(VLOOKUP(C31,Monsters!$T$4:$AH$15,7,FALSE),0))*0.5*(1+0.1*AH30),0)+IF(AND((E31="OK"),B31="Fight boss",(IF((((105/'Rules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Formulas'!B12)),IFERROR(VLOOKUP(C31,Monsters!$T$4:$AH$15,3,FALSE),0),0)-IF(AND((E31="OK"),OR(B31="Buy upgrade",B31="Forge/Scrapwork buy"),IFERROR(VLOOKUP(C31,Upgrades!$N$4:$T$47,2,FALSE),0)="gold"),IFERROR(FLOOR(IFERROR(VLOOKUP(C31,Upgrades!$N$4:$T$47,3,FALSE),0)*(IFERROR(VLOOKUP(C31,Upgrades!$N$4:$T$47,4,FALSE),0)^(COUNTIFS($B$3:$B30,"Buy upgrade",$C$3:$C30,C31)+COUNTIFS($B$3:$B30,"Hire hunter",$C$3:$C30,C31)+COUNTIFS($B$3:$B30,"Forge/Scrapwork buy",$C$3:$C30,C31))),1),0),0)-IF(AND((E31="OK"),B31="Hire hunter"),IF(C31="Briar",140,IF(C31="Quill",3650,IF(C31="Moss",4850,IF(C31="Ember",12200,0)))),0))</f>
        <v/>
      </c>
      <c r="I31" s="7">
        <f>IF(AND((E31="OK"),B31="Fight boss",(IF((((105/'Rules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Formulas'!B12)),0,MIN(IF(G30&lt;=1,120,IF(G30=2,280,600)),I30+IF(AND((E31="OK"),B31="Hunt"),((IF(B31="Hunt",(('Rules &amp; Formulas'!B4*N30*('Rules &amp; Formulas'!B5+O30)*IFERROR(VLOOKUP(C31,Monsters!$T$4:$AH$15,10,FALSE),0)*IFERROR(VLOOKUP(C31,Monsters!$T$4:$AH$15,9,FALSE),0))*'Rules &amp; Formulas'!B6)*IF(D31="",0,D31),0))*(IFERROR(VLOOKUP(C31,Monsters!$T$4:$AH$15,4,FALSE),0))+(IF(OR(B31&lt;&gt;"Hunt",IFERROR(VLOOKUP(C31,Monsters!$T$4:$AH$15,6,FALSE),0)=0),0,FLOOR((IF(B31="Hunt",(('Rules &amp; Formulas'!B4*N30*('Rules &amp; Formulas'!B5+O30)*IFERROR(VLOOKUP(C31,Monsters!$T$4:$AH$15,10,FALSE),0)*IFERROR(VLOOKUP(C31,Monsters!$T$4:$AH$15,9,FALSE),0))*'Rules &amp; Formulas'!B6)*IF(D31="",0,D31),0))/MAX(1,IFERROR(VLOOKUP(C31,Monsters!$T$4:$AH$15,6,FALSE),0)),1)))*(IFERROR(VLOOKUP(C31,Monsters!$T$4:$AH$15,7,FALSE),0))),0)+IF(AND((E31="OK"),B31="Go AFK"),((IF(B31="Go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AFK",IF(D31="",0,D31),0),Z30/60)*60)),0))*(IFERROR(VLOOKUP(C31,Monsters!$T$4:$AH$15,4,FALSE),0))+(IF(OR(B31&lt;&gt;"Go AFK",IFERROR(VLOOKUP(C31,Monsters!$T$4:$AH$15,6,FALSE),0)=0),0,FLOOR((IF(B31="Go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AFK",IF(D31="",0,D31),0),Z30/60)*60)),0))/MAX(1,IFERROR(VLOOKUP(C31,Monsters!$T$4:$AH$15,6,FALSE),0)),1)))*(IFERROR(VLOOKUP(C31,Monsters!$T$4:$AH$15,7,FALSE),0))),0)))</f>
        <v/>
      </c>
      <c r="J31" s="7">
        <f>MAX(0,J30+IF(AND((E31="OK"),B31="Hunt"),(IF(B31="Hunt",(('Rules &amp; Formulas'!B4*N30*('Rules &amp; Formulas'!B5+O30)*IFERROR(VLOOKUP(C31,Monsters!$T$4:$AH$15,10,FALSE),0)*IFERROR(VLOOKUP(C31,Monsters!$T$4:$AH$15,9,FALSE),0))*'Rules &amp; Formulas'!B6)*IF(D31="",0,D31),0))*(IFERROR(VLOOKUP(C31,Monsters!$T$4:$AH$15,5,FALSE),0)),0)+IF(AND((E31="OK"),B31="Go AFK"),(IF(B31="Go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AFK",IF(D31="",0,D31),0),Z30/60)*60)),0))*(IFERROR(VLOOKUP(C31,Monsters!$T$4:$AH$15,5,FALSE),0)),0)-IF(AND((E31="OK"),OR(B31="Buy upgrade",B31="Forge/Scrapwork buy"),IFERROR(VLOOKUP(C31,Upgrades!$N$4:$T$47,2,FALSE),0)="scraps"),IFERROR(FLOOR(IFERROR(VLOOKUP(C31,Upgrades!$N$4:$T$47,3,FALSE),0)*(IFERROR(VLOOKUP(C31,Upgrades!$N$4:$T$47,4,FALSE),0)^(COUNTIFS($B$3:$B30,"Buy upgrade",$C$3:$C30,C31)+COUNTIFS($B$3:$B30,"Hire hunter",$C$3:$C30,C31)+COUNTIFS($B$3:$B30,"Forge/Scrapwork buy",$C$3:$C30,C31))),1),0),0))</f>
        <v/>
      </c>
      <c r="K31" s="7">
        <f>MAX(0,K30+IF(AND((E31="OK"),B31="Hunt"),IF(C31="Thornpelt Bear",(IF(B31="Hunt",(('Rules &amp; Formulas'!B4*N30*('Rules &amp; Formulas'!B5+O30)*IFERROR(VLOOKUP(C31,Monsters!$T$4:$AH$15,10,FALSE),0)*IFERROR(VLOOKUP(C31,Monsters!$T$4:$AH$15,9,FALSE),0))*'Rules &amp; Formulas'!B6)*IF(D31="",0,D31),0))*0.12,0),0)+IF(AND((E31="OK"),B31="Go AFK"),IF(C31="Thornpelt Bear",(IF(B31="Go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AFK",IF(D31="",0,D31),0),Z30/60)*60)),0))*0.12,0),0))</f>
        <v/>
      </c>
      <c r="L31" s="7">
        <f>MAX(0,L30+IF(AND((E31="OK"),B31="Hunt"),IF(C31="Dire Thornpelt",(IF(B31="Hunt",(('Rules &amp; Formulas'!B4*N30*('Rules &amp; Formulas'!B5+O30)*IFERROR(VLOOKUP(C31,Monsters!$T$4:$AH$15,10,FALSE),0)*IFERROR(VLOOKUP(C31,Monsters!$T$4:$AH$15,9,FALSE),0))*'Rules &amp; Formulas'!B6)*IF(D31="",0,D31),0))*0.1,0),0)+IF(AND((E31="OK"),B31="Go AFK"),IF(C31="Dire Thornpelt",(IF(B31="Go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AFK",IF(D31="",0,D31),0),Z30/60)*60)),0))*0.1,0),0))</f>
        <v/>
      </c>
      <c r="M31" s="7">
        <f>IF(AND((E31="OK"),B31="Go AFK"),MAX(0,MIN(('Rules &amp; Formulas'!B15+25*AJ30),M30+('Rules &amp; Formulas'!B14+0.4*AJ30)*(MIN(IF(B31="Go AFK",IF(D31="",0,D31),0),Z30/60)*60))-(IF(B31="Go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AFK",IF(D31="",0,D31),0),Z30/60)*60)),0))*(IF((IFERROR(VLOOKUP(C31,Monsters!$T$4:$AH$15,8,FALSE),0))=0,0.35,IFERROR(VLOOKUP(C31,Monsters!$T$4:$AH$15,8,FALSE),0))/(1+0.08*AK30))),MIN(('Rules &amp; Formulas'!B15+25*AJ31),M30))</f>
        <v/>
      </c>
      <c r="N31" s="7">
        <f>(1+0.08+0.12*AA31+0.12*AB31+0.16*AC31)</f>
        <v/>
      </c>
      <c r="O31" s="7">
        <f>((AD31&gt;=1)*1*(1+0.3*AE31))</f>
        <v/>
      </c>
      <c r="P31" s="7">
        <f>IF(OR(B31="Hunt",B31="Go AFK"),(('Rules &amp; Formulas'!B4*N30*('Rules &amp; Formulas'!B5+O30)*IFERROR(VLOOKUP(C31,Monsters!$T$4:$AH$15,10,FALSE),0)*IFERROR(VLOOKUP(C31,Monsters!$T$4:$AH$15,9,FALSE),0))*'Rules &amp; Formulas'!B6),"")</f>
        <v/>
      </c>
      <c r="Q31" s="7">
        <f>IF(OR(B31="Hunt",B31="Go AFK"),('Rules &amp; Formulas'!B4*N30*('Rules &amp; Formulas'!B5+O30)*IFERROR(VLOOKUP(C31,Monsters!$T$4:$AH$15,10,FALSE),0)*IFERROR(VLOOKUP(C31,Monsters!$T$4:$AH$15,9,FALSE),0)),"")</f>
        <v/>
      </c>
      <c r="R31" s="7">
        <f>IF(AND((E31="OK"),B31="Hunt"),IF(B31="Hunt",(('Rules &amp; Formulas'!B4*N30*('Rules &amp; Formulas'!B5+O30)*IFERROR(VLOOKUP(C31,Monsters!$T$4:$AH$15,10,FALSE),0)*IFERROR(VLOOKUP(C31,Monsters!$T$4:$AH$15,9,FALSE),0))*'Rules &amp; Formulas'!B6)*IF(D31="",0,D31),0),IF(AND((E31="OK"),B31="Go AFK"),IF(B31="Go AFK",MIN(IF((IF((IFERROR(VLOOKUP(C31,Monsters!$T$4:$AH$15,8,FALSE),0))=0,0.35,IFERROR(VLOOKUP(C31,Monsters!$T$4:$AH$15,8,FALSE),0))/(1+0.08*AK30))&lt;=0,999999,FLOOR(MIN(('Rules &amp; Formulas'!B15+25*AJ30),M30+('Rules &amp; Formulas'!B14+0.4*AJ30)*(MIN(IF(B31="Go AFK",IF(D31="",0,D31),0),Z30/60)*60))/(IF((IFERROR(VLOOKUP(C31,Monsters!$T$4:$AH$15,8,FALSE),0))=0,0.35,IFERROR(VLOOKUP(C31,Monsters!$T$4:$AH$15,8,FALSE),0))/(1+0.08*AK30)),1)),('Rules &amp; Formulas'!B4*N30*('Rules &amp; Formulas'!B5+O30)*IFERROR(VLOOKUP(C31,Monsters!$T$4:$AH$15,10,FALSE),0)*IFERROR(VLOOKUP(C31,Monsters!$T$4:$AH$15,9,FALSE),0))*(MIN(IF(B31="Go AFK",IF(D31="",0,D31),0),Z30/60)*60)),0),0))</f>
        <v/>
      </c>
      <c r="S31" s="7">
        <f>(105/'Rules &amp; Formulas'!B10)*'Rules &amp; Formulas'!B11</f>
        <v/>
      </c>
      <c r="T31" s="7">
        <f>IF(AD30&gt;=1,(MAX(1,ROUND('Rules &amp; Formulas'!B18*(1+0.3*AE30)*(1+0.4*AF30),0)))*(1000/'Rules &amp; Formulas'!B19)*MIN(0.95,'Rules &amp; Formulas'!B20*SQRT(1+0.55*(AG30&gt;=1))),0)</f>
        <v/>
      </c>
      <c r="U31" s="7">
        <f>S31+T31</f>
        <v/>
      </c>
      <c r="V31" s="7">
        <f>IF(I30&gt;=IF((IFERROR(VLOOKUP(C31,Monsters!$T$4:$AH$15,15,FALSE),0))=0,120,IFERROR(VLOOKUP(C31,Monsters!$T$4:$AH$15,15,FALSE),0)),"YES","no")</f>
        <v/>
      </c>
      <c r="W31" s="7">
        <f>IF(AND(B31="Fight boss",E31="OK"),IF((((105/'Rules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Formulas'!B20*SQRT(1+0.55*(AG30&gt;=1))),0)))),"")</f>
        <v/>
      </c>
      <c r="X31" s="7">
        <f>IF(AND(B31="Fight boss",E31="OK"),IF((IF((((105/'Rules &amp; Formulas'!B10)*'Rules &amp; Formulas'!B11+IF(AD30&gt;=1,(MAX(1,ROUND('Rules &amp; Formulas'!B18*(1+0.3*AE30)*(1+0.4*AF30),0)))*(1000/'Rules &amp; Formulas'!B19)*MIN(0.95,'Rules &amp; Formulas'!B20*SQRT(1+0.55*(AG30&gt;=1))),0)))&lt;=0,9999,(IFERROR(VLOOKUP(C31,Monsters!$T$4:$AH$15,2,FALSE),0))/(((105/'Rules &amp; Formulas'!B10)*'Rules &amp; Formulas'!B11+IF(AD30&gt;=1,(MAX(1,ROUND('Rules &amp; Formulas'!B18*(1+0.3*AE30)*(1+0.4*AF30),0)))*(1000/'Rules &amp; Formulas'!B19)*MIN(0.95,'Rules &amp; Formulas'!B20*SQRT(1+0.55*(AG30&gt;=1))),0))))&lt;='Rules &amp; Formulas'!B12),"WIN","LOSE"),"")</f>
        <v/>
      </c>
      <c r="Y31" s="7">
        <f>IF(B31="Go AFK",MIN(IF(B31="Go AFK",IF(D31="",0,D31),0),Z30/60),"")</f>
        <v/>
      </c>
      <c r="Z31" s="7">
        <f>('Rules &amp; Formulas'!B13+30*AI31)</f>
        <v/>
      </c>
      <c r="AA31">
        <f>COUNTIFS($B$3:$B31,"Buy upgrade",$C$3:$C31,"Idle Power")</f>
        <v/>
      </c>
      <c r="AB31">
        <f>COUNTIFS($B$3:$B31,"Buy upgrade",$C$3:$C31,"Iron Blade")</f>
        <v/>
      </c>
      <c r="AC31">
        <f>COUNTIFS($B$3:$B31,"Buy upgrade",$C$3:$C31,"Steel Blade")</f>
        <v/>
      </c>
      <c r="AD31">
        <f>COUNTIFS($B$3:$B31,"Hire hunter",$C$3:$C31,"Briar")+COUNTIFS($B$3:$B31,"Buy upgrade",$C$3:$C31,"Hire Briar")</f>
        <v/>
      </c>
      <c r="AE31">
        <f>COUNTIFS($B$3:$B31,"Buy upgrade",$C$3:$C31,"Hunter Power")</f>
        <v/>
      </c>
      <c r="AF31">
        <f>COUNTIFS($B$3:$B31,"Buy upgrade",$C$3:$C31,"Bigger Hits")</f>
        <v/>
      </c>
      <c r="AG31">
        <f>COUNTIFS($B$3:$B31,"Buy upgrade",$C$3:$C31,"Swift Walk")</f>
        <v/>
      </c>
      <c r="AH31">
        <f>COUNTIFS($B$3:$B31,"Buy upgrade",$C$3:$C31,"Loot Luck")</f>
        <v/>
      </c>
      <c r="AI31">
        <f>COUNTIFS($B$3:$B31,"Buy upgrade",$C$3:$C31,"Offline Cap")</f>
        <v/>
      </c>
      <c r="AJ31">
        <f>COUNTIFS($B$3:$B31,"Buy upgrade",$C$3:$C31,"Bigger Food Stock")</f>
        <v/>
      </c>
      <c r="AK31">
        <f>COUNTIFS($B$3:$B31,"Buy upgrade",$C$3:$C31,"Food Efficiency")</f>
        <v/>
      </c>
    </row>
    <row r="32">
      <c r="A32" t="n">
        <v>30</v>
      </c>
      <c r="B32" s="6" t="n"/>
      <c r="C32" s="6" t="n"/>
      <c r="D32" s="6" t="n"/>
      <c r="E32" s="7">
        <f>IF(B32="","",IF(OR(B32="Hunt",B32="Go AFK"),IF(C32="","Can't","OK"),IF(B32="Fight boss",IF(I31&lt;IF((IFERROR(VLOOKUP(C32,Monsters!$T$4:$AH$15,15,FALSE),0))=0,120,IFERROR(VLOOKUP(C32,Monsters!$T$4:$AH$15,15,FALSE),0)),"Can't","OK"),IF(B32="Hire hunter",IF(AND(C32="Briar",AD31&gt;=1),"Can't",IF(H31&lt;IF(C32="Briar",140,IF(C32="Quill",3650,IF(C32="Moss",4850,IF(C32="Ember",12200,0)))),"Can't","OK")),IF(OR(B32="Buy upgrade",B32="Forge/Scrapwork buy"),IF(IFERROR(VLOOKUP(C32,Upgrades!$N$4:$T$47,2,FALSE),0)="points","Can't",IF(IFERROR(VLOOKUP(C32,Upgrades!$N$4:$T$47,2,FALSE),0)="gold",IF(H31&lt;IFERROR(FLOOR(IFERROR(VLOOKUP(C32,Upgrades!$N$4:$T$47,3,FALSE),0)*(IFERROR(VLOOKUP(C32,Upgrades!$N$4:$T$47,4,FALSE),0)^(COUNTIFS($B$3:$B31,"Buy upgrade",$C$3:$C31,C32)+COUNTIFS($B$3:$B31,"Hire hunter",$C$3:$C31,C32)+COUNTIFS($B$3:$B31,"Forge/Scrapwork buy",$C$3:$C31,C32))),1),0),"Can't","OK"),IF(IFERROR(VLOOKUP(C32,Upgrades!$N$4:$T$47,2,FALSE),0)="scraps",IF(J31&lt;IFERROR(FLOOR(IFERROR(VLOOKUP(C32,Upgrades!$N$4:$T$47,3,FALSE),0)*(IFERROR(VLOOKUP(C32,Upgrades!$N$4:$T$47,4,FALSE),0)^(COUNTIFS($B$3:$B31,"Buy upgrade",$C$3:$C31,C32)+COUNTIFS($B$3:$B31,"Hire hunter",$C$3:$C31,C32)+COUNTIFS($B$3:$B31,"Forge/Scrapwork buy",$C$3:$C31,C32))),1),0),"Can't","OK"),IF(IFERROR(VLOOKUP(C32,Upgrades!$N$4:$T$47,2,FALSE),0)="mats","Can't","OK")))),"Check")))))</f>
        <v/>
      </c>
      <c r="F32" s="7">
        <f>IF(B32="","",IF(AND(B32="Fight boss",I31&lt;IF((IFERROR(VLOOKUP(C32,Monsters!$T$4:$AH$15,15,FALSE),0))=0,120,IFERROR(VLOOKUP(C32,Monsters!$T$4:$AH$15,15,FALSE),0))),"Can't — need "&amp;TEXT(IF((IFERROR(VLOOKUP(C32,Monsters!$T$4:$AH$15,15,FALSE),0))=0,120,IFERROR(VLOOKUP(C32,Monsters!$T$4:$AH$15,15,FALSE),0))-I31,"0.0")&amp;" more Slayer points on the meter",IF(AND(B32="Hire hunter",C32="Briar",AD31&gt;=1),"Can't — already hired",IF(AND(B32="Hire hunter",H31&lt;IF(C32="Briar",140,IF(C32="Quill",3650,IF(C32="Moss",4850,IF(C32="Ember",12200,0))))),"Can't — need "&amp;TEXT(IF(C32="Briar",140,IF(C32="Quill",3650,IF(C32="Moss",4850,IF(C32="Ember",12200,0))))-H31,"0")&amp;" more gold",IF(AND(OR(B32="Buy upgrade",B32="Forge/Scrapwork buy"),IFERROR(VLOOKUP(C32,Upgrades!$N$4:$T$47,2,FALSE),0)="points"),"Can't — Sp-wallet spends not tracked here",IF(AND(OR(B32="Buy upgrade",B32="Forge/Scrapwork buy"),IFERROR(VLOOKUP(C32,Upgrades!$N$4:$T$47,2,FALSE),0)="gold",H31&lt;IFERROR(FLOOR(IFERROR(VLOOKUP(C32,Upgrades!$N$4:$T$47,3,FALSE),0)*(IFERROR(VLOOKUP(C32,Upgrades!$N$4:$T$47,4,FALSE),0)^(COUNTIFS($B$3:$B31,"Buy upgrade",$C$3:$C31,C32)+COUNTIFS($B$3:$B31,"Hire hunter",$C$3:$C31,C32)+COUNTIFS($B$3:$B31,"Forge/Scrapwork buy",$C$3:$C31,C32))),1),0)),"Can't — need "&amp;TEXT(IFERROR(FLOOR(IFERROR(VLOOKUP(C32,Upgrades!$N$4:$T$47,3,FALSE),0)*(IFERROR(VLOOKUP(C32,Upgrades!$N$4:$T$47,4,FALSE),0)^(COUNTIFS($B$3:$B31,"Buy upgrade",$C$3:$C31,C32)+COUNTIFS($B$3:$B31,"Hire hunter",$C$3:$C31,C32)+COUNTIFS($B$3:$B31,"Forge/Scrapwork buy",$C$3:$C31,C32))),1),0)-H31,"0")&amp;" more gold",IF(AND(OR(B32="Buy upgrade",B32="Forge/Scrapwork buy"),IFERROR(VLOOKUP(C32,Upgrades!$N$4:$T$47,2,FALSE),0)="scraps",J31&lt;IFERROR(FLOOR(IFERROR(VLOOKUP(C32,Upgrades!$N$4:$T$47,3,FALSE),0)*(IFERROR(VLOOKUP(C32,Upgrades!$N$4:$T$47,4,FALSE),0)^(COUNTIFS($B$3:$B31,"Buy upgrade",$C$3:$C31,C32)+COUNTIFS($B$3:$B31,"Hire hunter",$C$3:$C31,C32)+COUNTIFS($B$3:$B31,"Forge/Scrapwork buy",$C$3:$C31,C32))),1),0)),"Can't — need "&amp;TEXT(IFERROR(FLOOR(IFERROR(VLOOKUP(C32,Upgrades!$N$4:$T$47,3,FALSE),0)*(IFERROR(VLOOKUP(C32,Upgrades!$N$4:$T$47,4,FALSE),0)^(COUNTIFS($B$3:$B31,"Buy upgrade",$C$3:$C31,C32)+COUNTIFS($B$3:$B31,"Hire hunter",$C$3:$C31,C32)+COUNTIFS($B$3:$B31,"Forge/Scrapwork buy",$C$3:$C31,C32))),1),0)-J31,"0")&amp;" more scraps",IF(AND(B32="Fight boss",E32="OK",(IF((((105/'Rules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Formulas'!B12)),"WIN — boss down, next Level unlocks",IF(AND(B32="Fight boss",E32="OK"),"LOSE — TTK "&amp;TEXT(IF((((105/'Rules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Formulas'!B20*SQRT(1+0.55*(AG31&gt;=1))),0)))),"0")&amp;"s &gt; patience "&amp;TEXT('Rules &amp; Formulas'!B12,"0")&amp;"s (leave resets HP)",IF(B32="Go AFK","AFK resolved (see AFK counted h)","Applied")))))))))</f>
        <v/>
      </c>
      <c r="G32" s="7">
        <f>IF(AND((E32="OK"),B32="Fight boss",(IF((((105/'Rules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Formulas'!B12),C32="Elder Thornpelt"),2,IF(AND((E32="OK"),B32="Fight boss",(IF((((105/'Rules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Formulas'!B12),C32="Ashfang Alpha"),3,G31))</f>
        <v/>
      </c>
      <c r="H32" s="7">
        <f>MAX(0,H31+IF(AND((E32="OK"),B32="Hunt"),(IF(B32="Hunt",(('Rules &amp; Formulas'!B4*N31*('Rules &amp; Formulas'!B5+O31)*IFERROR(VLOOKUP(C32,Monsters!$T$4:$AH$15,10,FALSE),0)*IFERROR(VLOOKUP(C32,Monsters!$T$4:$AH$15,9,FALSE),0))*'Rules &amp; Formulas'!B6)*IF(D32="",0,D32),0))*(IFERROR(VLOOKUP(C32,Monsters!$T$4:$AH$15,3,FALSE),0))*(1+0.1*AH31)+(IF(OR(B32&lt;&gt;"Hunt",IFERROR(VLOOKUP(C32,Monsters!$T$4:$AH$15,6,FALSE),0)=0),0,FLOOR((IF(B32="Hunt",(('Rules &amp; Formulas'!B4*N31*('Rules &amp; Formulas'!B5+O31)*IFERROR(VLOOKUP(C32,Monsters!$T$4:$AH$15,10,FALSE),0)*IFERROR(VLOOKUP(C32,Monsters!$T$4:$AH$15,9,FALSE),0))*'Rules &amp; Formulas'!B6)*IF(D32="",0,D32),0))/MAX(1,IFERROR(VLOOKUP(C32,Monsters!$T$4:$AH$15,6,FALSE),0)),1)))*(IFERROR(VLOOKUP(C32,Monsters!$T$4:$AH$15,7,FALSE),0))*0.5*(1+0.1*AH31),0)+IF(AND((E32="OK"),B32="Go AFK"),(IF(B32="Go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AFK",IF(D32="",0,D32),0),Z31/60)*60)),0))*(IFERROR(VLOOKUP(C32,Monsters!$T$4:$AH$15,3,FALSE),0))*(1+0.1*AH31)+(IF(OR(B32&lt;&gt;"Go AFK",IFERROR(VLOOKUP(C32,Monsters!$T$4:$AH$15,6,FALSE),0)=0),0,FLOOR((IF(B32="Go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AFK",IF(D32="",0,D32),0),Z31/60)*60)),0))/MAX(1,IFERROR(VLOOKUP(C32,Monsters!$T$4:$AH$15,6,FALSE),0)),1)))*(IFERROR(VLOOKUP(C32,Monsters!$T$4:$AH$15,7,FALSE),0))*0.5*(1+0.1*AH31),0)+IF(AND((E32="OK"),B32="Fight boss",(IF((((105/'Rules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Formulas'!B12)),IFERROR(VLOOKUP(C32,Monsters!$T$4:$AH$15,3,FALSE),0),0)-IF(AND((E32="OK"),OR(B32="Buy upgrade",B32="Forge/Scrapwork buy"),IFERROR(VLOOKUP(C32,Upgrades!$N$4:$T$47,2,FALSE),0)="gold"),IFERROR(FLOOR(IFERROR(VLOOKUP(C32,Upgrades!$N$4:$T$47,3,FALSE),0)*(IFERROR(VLOOKUP(C32,Upgrades!$N$4:$T$47,4,FALSE),0)^(COUNTIFS($B$3:$B31,"Buy upgrade",$C$3:$C31,C32)+COUNTIFS($B$3:$B31,"Hire hunter",$C$3:$C31,C32)+COUNTIFS($B$3:$B31,"Forge/Scrapwork buy",$C$3:$C31,C32))),1),0),0)-IF(AND((E32="OK"),B32="Hire hunter"),IF(C32="Briar",140,IF(C32="Quill",3650,IF(C32="Moss",4850,IF(C32="Ember",12200,0)))),0))</f>
        <v/>
      </c>
      <c r="I32" s="7">
        <f>IF(AND((E32="OK"),B32="Fight boss",(IF((((105/'Rules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Formulas'!B12)),0,MIN(IF(G31&lt;=1,120,IF(G31=2,280,600)),I31+IF(AND((E32="OK"),B32="Hunt"),((IF(B32="Hunt",(('Rules &amp; Formulas'!B4*N31*('Rules &amp; Formulas'!B5+O31)*IFERROR(VLOOKUP(C32,Monsters!$T$4:$AH$15,10,FALSE),0)*IFERROR(VLOOKUP(C32,Monsters!$T$4:$AH$15,9,FALSE),0))*'Rules &amp; Formulas'!B6)*IF(D32="",0,D32),0))*(IFERROR(VLOOKUP(C32,Monsters!$T$4:$AH$15,4,FALSE),0))+(IF(OR(B32&lt;&gt;"Hunt",IFERROR(VLOOKUP(C32,Monsters!$T$4:$AH$15,6,FALSE),0)=0),0,FLOOR((IF(B32="Hunt",(('Rules &amp; Formulas'!B4*N31*('Rules &amp; Formulas'!B5+O31)*IFERROR(VLOOKUP(C32,Monsters!$T$4:$AH$15,10,FALSE),0)*IFERROR(VLOOKUP(C32,Monsters!$T$4:$AH$15,9,FALSE),0))*'Rules &amp; Formulas'!B6)*IF(D32="",0,D32),0))/MAX(1,IFERROR(VLOOKUP(C32,Monsters!$T$4:$AH$15,6,FALSE),0)),1)))*(IFERROR(VLOOKUP(C32,Monsters!$T$4:$AH$15,7,FALSE),0))),0)+IF(AND((E32="OK"),B32="Go AFK"),((IF(B32="Go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AFK",IF(D32="",0,D32),0),Z31/60)*60)),0))*(IFERROR(VLOOKUP(C32,Monsters!$T$4:$AH$15,4,FALSE),0))+(IF(OR(B32&lt;&gt;"Go AFK",IFERROR(VLOOKUP(C32,Monsters!$T$4:$AH$15,6,FALSE),0)=0),0,FLOOR((IF(B32="Go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AFK",IF(D32="",0,D32),0),Z31/60)*60)),0))/MAX(1,IFERROR(VLOOKUP(C32,Monsters!$T$4:$AH$15,6,FALSE),0)),1)))*(IFERROR(VLOOKUP(C32,Monsters!$T$4:$AH$15,7,FALSE),0))),0)))</f>
        <v/>
      </c>
      <c r="J32" s="7">
        <f>MAX(0,J31+IF(AND((E32="OK"),B32="Hunt"),(IF(B32="Hunt",(('Rules &amp; Formulas'!B4*N31*('Rules &amp; Formulas'!B5+O31)*IFERROR(VLOOKUP(C32,Monsters!$T$4:$AH$15,10,FALSE),0)*IFERROR(VLOOKUP(C32,Monsters!$T$4:$AH$15,9,FALSE),0))*'Rules &amp; Formulas'!B6)*IF(D32="",0,D32),0))*(IFERROR(VLOOKUP(C32,Monsters!$T$4:$AH$15,5,FALSE),0)),0)+IF(AND((E32="OK"),B32="Go AFK"),(IF(B32="Go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AFK",IF(D32="",0,D32),0),Z31/60)*60)),0))*(IFERROR(VLOOKUP(C32,Monsters!$T$4:$AH$15,5,FALSE),0)),0)-IF(AND((E32="OK"),OR(B32="Buy upgrade",B32="Forge/Scrapwork buy"),IFERROR(VLOOKUP(C32,Upgrades!$N$4:$T$47,2,FALSE),0)="scraps"),IFERROR(FLOOR(IFERROR(VLOOKUP(C32,Upgrades!$N$4:$T$47,3,FALSE),0)*(IFERROR(VLOOKUP(C32,Upgrades!$N$4:$T$47,4,FALSE),0)^(COUNTIFS($B$3:$B31,"Buy upgrade",$C$3:$C31,C32)+COUNTIFS($B$3:$B31,"Hire hunter",$C$3:$C31,C32)+COUNTIFS($B$3:$B31,"Forge/Scrapwork buy",$C$3:$C31,C32))),1),0),0))</f>
        <v/>
      </c>
      <c r="K32" s="7">
        <f>MAX(0,K31+IF(AND((E32="OK"),B32="Hunt"),IF(C32="Thornpelt Bear",(IF(B32="Hunt",(('Rules &amp; Formulas'!B4*N31*('Rules &amp; Formulas'!B5+O31)*IFERROR(VLOOKUP(C32,Monsters!$T$4:$AH$15,10,FALSE),0)*IFERROR(VLOOKUP(C32,Monsters!$T$4:$AH$15,9,FALSE),0))*'Rules &amp; Formulas'!B6)*IF(D32="",0,D32),0))*0.12,0),0)+IF(AND((E32="OK"),B32="Go AFK"),IF(C32="Thornpelt Bear",(IF(B32="Go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AFK",IF(D32="",0,D32),0),Z31/60)*60)),0))*0.12,0),0))</f>
        <v/>
      </c>
      <c r="L32" s="7">
        <f>MAX(0,L31+IF(AND((E32="OK"),B32="Hunt"),IF(C32="Dire Thornpelt",(IF(B32="Hunt",(('Rules &amp; Formulas'!B4*N31*('Rules &amp; Formulas'!B5+O31)*IFERROR(VLOOKUP(C32,Monsters!$T$4:$AH$15,10,FALSE),0)*IFERROR(VLOOKUP(C32,Monsters!$T$4:$AH$15,9,FALSE),0))*'Rules &amp; Formulas'!B6)*IF(D32="",0,D32),0))*0.1,0),0)+IF(AND((E32="OK"),B32="Go AFK"),IF(C32="Dire Thornpelt",(IF(B32="Go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AFK",IF(D32="",0,D32),0),Z31/60)*60)),0))*0.1,0),0))</f>
        <v/>
      </c>
      <c r="M32" s="7">
        <f>IF(AND((E32="OK"),B32="Go AFK"),MAX(0,MIN(('Rules &amp; Formulas'!B15+25*AJ31),M31+('Rules &amp; Formulas'!B14+0.4*AJ31)*(MIN(IF(B32="Go AFK",IF(D32="",0,D32),0),Z31/60)*60))-(IF(B32="Go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AFK",IF(D32="",0,D32),0),Z31/60)*60)),0))*(IF((IFERROR(VLOOKUP(C32,Monsters!$T$4:$AH$15,8,FALSE),0))=0,0.35,IFERROR(VLOOKUP(C32,Monsters!$T$4:$AH$15,8,FALSE),0))/(1+0.08*AK31))),MIN(('Rules &amp; Formulas'!B15+25*AJ32),M31))</f>
        <v/>
      </c>
      <c r="N32" s="7">
        <f>(1+0.08+0.12*AA32+0.12*AB32+0.16*AC32)</f>
        <v/>
      </c>
      <c r="O32" s="7">
        <f>((AD32&gt;=1)*1*(1+0.3*AE32))</f>
        <v/>
      </c>
      <c r="P32" s="7">
        <f>IF(OR(B32="Hunt",B32="Go AFK"),(('Rules &amp; Formulas'!B4*N31*('Rules &amp; Formulas'!B5+O31)*IFERROR(VLOOKUP(C32,Monsters!$T$4:$AH$15,10,FALSE),0)*IFERROR(VLOOKUP(C32,Monsters!$T$4:$AH$15,9,FALSE),0))*'Rules &amp; Formulas'!B6),"")</f>
        <v/>
      </c>
      <c r="Q32" s="7">
        <f>IF(OR(B32="Hunt",B32="Go AFK"),('Rules &amp; Formulas'!B4*N31*('Rules &amp; Formulas'!B5+O31)*IFERROR(VLOOKUP(C32,Monsters!$T$4:$AH$15,10,FALSE),0)*IFERROR(VLOOKUP(C32,Monsters!$T$4:$AH$15,9,FALSE),0)),"")</f>
        <v/>
      </c>
      <c r="R32" s="7">
        <f>IF(AND((E32="OK"),B32="Hunt"),IF(B32="Hunt",(('Rules &amp; Formulas'!B4*N31*('Rules &amp; Formulas'!B5+O31)*IFERROR(VLOOKUP(C32,Monsters!$T$4:$AH$15,10,FALSE),0)*IFERROR(VLOOKUP(C32,Monsters!$T$4:$AH$15,9,FALSE),0))*'Rules &amp; Formulas'!B6)*IF(D32="",0,D32),0),IF(AND((E32="OK"),B32="Go AFK"),IF(B32="Go AFK",MIN(IF((IF((IFERROR(VLOOKUP(C32,Monsters!$T$4:$AH$15,8,FALSE),0))=0,0.35,IFERROR(VLOOKUP(C32,Monsters!$T$4:$AH$15,8,FALSE),0))/(1+0.08*AK31))&lt;=0,999999,FLOOR(MIN(('Rules &amp; Formulas'!B15+25*AJ31),M31+('Rules &amp; Formulas'!B14+0.4*AJ31)*(MIN(IF(B32="Go AFK",IF(D32="",0,D32),0),Z31/60)*60))/(IF((IFERROR(VLOOKUP(C32,Monsters!$T$4:$AH$15,8,FALSE),0))=0,0.35,IFERROR(VLOOKUP(C32,Monsters!$T$4:$AH$15,8,FALSE),0))/(1+0.08*AK31)),1)),('Rules &amp; Formulas'!B4*N31*('Rules &amp; Formulas'!B5+O31)*IFERROR(VLOOKUP(C32,Monsters!$T$4:$AH$15,10,FALSE),0)*IFERROR(VLOOKUP(C32,Monsters!$T$4:$AH$15,9,FALSE),0))*(MIN(IF(B32="Go AFK",IF(D32="",0,D32),0),Z31/60)*60)),0),0))</f>
        <v/>
      </c>
      <c r="S32" s="7">
        <f>(105/'Rules &amp; Formulas'!B10)*'Rules &amp; Formulas'!B11</f>
        <v/>
      </c>
      <c r="T32" s="7">
        <f>IF(AD31&gt;=1,(MAX(1,ROUND('Rules &amp; Formulas'!B18*(1+0.3*AE31)*(1+0.4*AF31),0)))*(1000/'Rules &amp; Formulas'!B19)*MIN(0.95,'Rules &amp; Formulas'!B20*SQRT(1+0.55*(AG31&gt;=1))),0)</f>
        <v/>
      </c>
      <c r="U32" s="7">
        <f>S32+T32</f>
        <v/>
      </c>
      <c r="V32" s="7">
        <f>IF(I31&gt;=IF((IFERROR(VLOOKUP(C32,Monsters!$T$4:$AH$15,15,FALSE),0))=0,120,IFERROR(VLOOKUP(C32,Monsters!$T$4:$AH$15,15,FALSE),0)),"YES","no")</f>
        <v/>
      </c>
      <c r="W32" s="7">
        <f>IF(AND(B32="Fight boss",E32="OK"),IF((((105/'Rules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Formulas'!B20*SQRT(1+0.55*(AG31&gt;=1))),0)))),"")</f>
        <v/>
      </c>
      <c r="X32" s="7">
        <f>IF(AND(B32="Fight boss",E32="OK"),IF((IF((((105/'Rules &amp; Formulas'!B10)*'Rules &amp; Formulas'!B11+IF(AD31&gt;=1,(MAX(1,ROUND('Rules &amp; Formulas'!B18*(1+0.3*AE31)*(1+0.4*AF31),0)))*(1000/'Rules &amp; Formulas'!B19)*MIN(0.95,'Rules &amp; Formulas'!B20*SQRT(1+0.55*(AG31&gt;=1))),0)))&lt;=0,9999,(IFERROR(VLOOKUP(C32,Monsters!$T$4:$AH$15,2,FALSE),0))/(((105/'Rules &amp; Formulas'!B10)*'Rules &amp; Formulas'!B11+IF(AD31&gt;=1,(MAX(1,ROUND('Rules &amp; Formulas'!B18*(1+0.3*AE31)*(1+0.4*AF31),0)))*(1000/'Rules &amp; Formulas'!B19)*MIN(0.95,'Rules &amp; Formulas'!B20*SQRT(1+0.55*(AG31&gt;=1))),0))))&lt;='Rules &amp; Formulas'!B12),"WIN","LOSE"),"")</f>
        <v/>
      </c>
      <c r="Y32" s="7">
        <f>IF(B32="Go AFK",MIN(IF(B32="Go AFK",IF(D32="",0,D32),0),Z31/60),"")</f>
        <v/>
      </c>
      <c r="Z32" s="7">
        <f>('Rules &amp; Formulas'!B13+30*AI32)</f>
        <v/>
      </c>
      <c r="AA32">
        <f>COUNTIFS($B$3:$B32,"Buy upgrade",$C$3:$C32,"Idle Power")</f>
        <v/>
      </c>
      <c r="AB32">
        <f>COUNTIFS($B$3:$B32,"Buy upgrade",$C$3:$C32,"Iron Blade")</f>
        <v/>
      </c>
      <c r="AC32">
        <f>COUNTIFS($B$3:$B32,"Buy upgrade",$C$3:$C32,"Steel Blade")</f>
        <v/>
      </c>
      <c r="AD32">
        <f>COUNTIFS($B$3:$B32,"Hire hunter",$C$3:$C32,"Briar")+COUNTIFS($B$3:$B32,"Buy upgrade",$C$3:$C32,"Hire Briar")</f>
        <v/>
      </c>
      <c r="AE32">
        <f>COUNTIFS($B$3:$B32,"Buy upgrade",$C$3:$C32,"Hunter Power")</f>
        <v/>
      </c>
      <c r="AF32">
        <f>COUNTIFS($B$3:$B32,"Buy upgrade",$C$3:$C32,"Bigger Hits")</f>
        <v/>
      </c>
      <c r="AG32">
        <f>COUNTIFS($B$3:$B32,"Buy upgrade",$C$3:$C32,"Swift Walk")</f>
        <v/>
      </c>
      <c r="AH32">
        <f>COUNTIFS($B$3:$B32,"Buy upgrade",$C$3:$C32,"Loot Luck")</f>
        <v/>
      </c>
      <c r="AI32">
        <f>COUNTIFS($B$3:$B32,"Buy upgrade",$C$3:$C32,"Offline Cap")</f>
        <v/>
      </c>
      <c r="AJ32">
        <f>COUNTIFS($B$3:$B32,"Buy upgrade",$C$3:$C32,"Bigger Food Stock")</f>
        <v/>
      </c>
      <c r="AK32">
        <f>COUNTIFS($B$3:$B32,"Buy upgrade",$C$3:$C32,"Food Efficiency")</f>
        <v/>
      </c>
    </row>
    <row r="33">
      <c r="A33" t="n">
        <v>31</v>
      </c>
      <c r="B33" s="6" t="n"/>
      <c r="C33" s="6" t="n"/>
      <c r="D33" s="6" t="n"/>
      <c r="E33" s="7">
        <f>IF(B33="","",IF(OR(B33="Hunt",B33="Go AFK"),IF(C33="","Can't","OK"),IF(B33="Fight boss",IF(I32&lt;IF((IFERROR(VLOOKUP(C33,Monsters!$T$4:$AH$15,15,FALSE),0))=0,120,IFERROR(VLOOKUP(C33,Monsters!$T$4:$AH$15,15,FALSE),0)),"Can't","OK"),IF(B33="Hire hunter",IF(AND(C33="Briar",AD32&gt;=1),"Can't",IF(H32&lt;IF(C33="Briar",140,IF(C33="Quill",3650,IF(C33="Moss",4850,IF(C33="Ember",12200,0)))),"Can't","OK")),IF(OR(B33="Buy upgrade",B33="Forge/Scrapwork buy"),IF(IFERROR(VLOOKUP(C33,Upgrades!$N$4:$T$47,2,FALSE),0)="points","Can't",IF(IFERROR(VLOOKUP(C33,Upgrades!$N$4:$T$47,2,FALSE),0)="gold",IF(H32&lt;IFERROR(FLOOR(IFERROR(VLOOKUP(C33,Upgrades!$N$4:$T$47,3,FALSE),0)*(IFERROR(VLOOKUP(C33,Upgrades!$N$4:$T$47,4,FALSE),0)^(COUNTIFS($B$3:$B32,"Buy upgrade",$C$3:$C32,C33)+COUNTIFS($B$3:$B32,"Hire hunter",$C$3:$C32,C33)+COUNTIFS($B$3:$B32,"Forge/Scrapwork buy",$C$3:$C32,C33))),1),0),"Can't","OK"),IF(IFERROR(VLOOKUP(C33,Upgrades!$N$4:$T$47,2,FALSE),0)="scraps",IF(J32&lt;IFERROR(FLOOR(IFERROR(VLOOKUP(C33,Upgrades!$N$4:$T$47,3,FALSE),0)*(IFERROR(VLOOKUP(C33,Upgrades!$N$4:$T$47,4,FALSE),0)^(COUNTIFS($B$3:$B32,"Buy upgrade",$C$3:$C32,C33)+COUNTIFS($B$3:$B32,"Hire hunter",$C$3:$C32,C33)+COUNTIFS($B$3:$B32,"Forge/Scrapwork buy",$C$3:$C32,C33))),1),0),"Can't","OK"),IF(IFERROR(VLOOKUP(C33,Upgrades!$N$4:$T$47,2,FALSE),0)="mats","Can't","OK")))),"Check")))))</f>
        <v/>
      </c>
      <c r="F33" s="7">
        <f>IF(B33="","",IF(AND(B33="Fight boss",I32&lt;IF((IFERROR(VLOOKUP(C33,Monsters!$T$4:$AH$15,15,FALSE),0))=0,120,IFERROR(VLOOKUP(C33,Monsters!$T$4:$AH$15,15,FALSE),0))),"Can't — need "&amp;TEXT(IF((IFERROR(VLOOKUP(C33,Monsters!$T$4:$AH$15,15,FALSE),0))=0,120,IFERROR(VLOOKUP(C33,Monsters!$T$4:$AH$15,15,FALSE),0))-I32,"0.0")&amp;" more Slayer points on the meter",IF(AND(B33="Hire hunter",C33="Briar",AD32&gt;=1),"Can't — already hired",IF(AND(B33="Hire hunter",H32&lt;IF(C33="Briar",140,IF(C33="Quill",3650,IF(C33="Moss",4850,IF(C33="Ember",12200,0))))),"Can't — need "&amp;TEXT(IF(C33="Briar",140,IF(C33="Quill",3650,IF(C33="Moss",4850,IF(C33="Ember",12200,0))))-H32,"0")&amp;" more gold",IF(AND(OR(B33="Buy upgrade",B33="Forge/Scrapwork buy"),IFERROR(VLOOKUP(C33,Upgrades!$N$4:$T$47,2,FALSE),0)="points"),"Can't — Sp-wallet spends not tracked here",IF(AND(OR(B33="Buy upgrade",B33="Forge/Scrapwork buy"),IFERROR(VLOOKUP(C33,Upgrades!$N$4:$T$47,2,FALSE),0)="gold",H32&lt;IFERROR(FLOOR(IFERROR(VLOOKUP(C33,Upgrades!$N$4:$T$47,3,FALSE),0)*(IFERROR(VLOOKUP(C33,Upgrades!$N$4:$T$47,4,FALSE),0)^(COUNTIFS($B$3:$B32,"Buy upgrade",$C$3:$C32,C33)+COUNTIFS($B$3:$B32,"Hire hunter",$C$3:$C32,C33)+COUNTIFS($B$3:$B32,"Forge/Scrapwork buy",$C$3:$C32,C33))),1),0)),"Can't — need "&amp;TEXT(IFERROR(FLOOR(IFERROR(VLOOKUP(C33,Upgrades!$N$4:$T$47,3,FALSE),0)*(IFERROR(VLOOKUP(C33,Upgrades!$N$4:$T$47,4,FALSE),0)^(COUNTIFS($B$3:$B32,"Buy upgrade",$C$3:$C32,C33)+COUNTIFS($B$3:$B32,"Hire hunter",$C$3:$C32,C33)+COUNTIFS($B$3:$B32,"Forge/Scrapwork buy",$C$3:$C32,C33))),1),0)-H32,"0")&amp;" more gold",IF(AND(OR(B33="Buy upgrade",B33="Forge/Scrapwork buy"),IFERROR(VLOOKUP(C33,Upgrades!$N$4:$T$47,2,FALSE),0)="scraps",J32&lt;IFERROR(FLOOR(IFERROR(VLOOKUP(C33,Upgrades!$N$4:$T$47,3,FALSE),0)*(IFERROR(VLOOKUP(C33,Upgrades!$N$4:$T$47,4,FALSE),0)^(COUNTIFS($B$3:$B32,"Buy upgrade",$C$3:$C32,C33)+COUNTIFS($B$3:$B32,"Hire hunter",$C$3:$C32,C33)+COUNTIFS($B$3:$B32,"Forge/Scrapwork buy",$C$3:$C32,C33))),1),0)),"Can't — need "&amp;TEXT(IFERROR(FLOOR(IFERROR(VLOOKUP(C33,Upgrades!$N$4:$T$47,3,FALSE),0)*(IFERROR(VLOOKUP(C33,Upgrades!$N$4:$T$47,4,FALSE),0)^(COUNTIFS($B$3:$B32,"Buy upgrade",$C$3:$C32,C33)+COUNTIFS($B$3:$B32,"Hire hunter",$C$3:$C32,C33)+COUNTIFS($B$3:$B32,"Forge/Scrapwork buy",$C$3:$C32,C33))),1),0)-J32,"0")&amp;" more scraps",IF(AND(B33="Fight boss",E33="OK",(IF((((105/'Rules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Formulas'!B12)),"WIN — boss down, next Level unlocks",IF(AND(B33="Fight boss",E33="OK"),"LOSE — TTK "&amp;TEXT(IF((((105/'Rules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Formulas'!B20*SQRT(1+0.55*(AG32&gt;=1))),0)))),"0")&amp;"s &gt; patience "&amp;TEXT('Rules &amp; Formulas'!B12,"0")&amp;"s (leave resets HP)",IF(B33="Go AFK","AFK resolved (see AFK counted h)","Applied")))))))))</f>
        <v/>
      </c>
      <c r="G33" s="7">
        <f>IF(AND((E33="OK"),B33="Fight boss",(IF((((105/'Rules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Formulas'!B12),C33="Elder Thornpelt"),2,IF(AND((E33="OK"),B33="Fight boss",(IF((((105/'Rules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Formulas'!B12),C33="Ashfang Alpha"),3,G32))</f>
        <v/>
      </c>
      <c r="H33" s="7">
        <f>MAX(0,H32+IF(AND((E33="OK"),B33="Hunt"),(IF(B33="Hunt",(('Rules &amp; Formulas'!B4*N32*('Rules &amp; Formulas'!B5+O32)*IFERROR(VLOOKUP(C33,Monsters!$T$4:$AH$15,10,FALSE),0)*IFERROR(VLOOKUP(C33,Monsters!$T$4:$AH$15,9,FALSE),0))*'Rules &amp; Formulas'!B6)*IF(D33="",0,D33),0))*(IFERROR(VLOOKUP(C33,Monsters!$T$4:$AH$15,3,FALSE),0))*(1+0.1*AH32)+(IF(OR(B33&lt;&gt;"Hunt",IFERROR(VLOOKUP(C33,Monsters!$T$4:$AH$15,6,FALSE),0)=0),0,FLOOR((IF(B33="Hunt",(('Rules &amp; Formulas'!B4*N32*('Rules &amp; Formulas'!B5+O32)*IFERROR(VLOOKUP(C33,Monsters!$T$4:$AH$15,10,FALSE),0)*IFERROR(VLOOKUP(C33,Monsters!$T$4:$AH$15,9,FALSE),0))*'Rules &amp; Formulas'!B6)*IF(D33="",0,D33),0))/MAX(1,IFERROR(VLOOKUP(C33,Monsters!$T$4:$AH$15,6,FALSE),0)),1)))*(IFERROR(VLOOKUP(C33,Monsters!$T$4:$AH$15,7,FALSE),0))*0.5*(1+0.1*AH32),0)+IF(AND((E33="OK"),B33="Go AFK"),(IF(B33="Go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AFK",IF(D33="",0,D33),0),Z32/60)*60)),0))*(IFERROR(VLOOKUP(C33,Monsters!$T$4:$AH$15,3,FALSE),0))*(1+0.1*AH32)+(IF(OR(B33&lt;&gt;"Go AFK",IFERROR(VLOOKUP(C33,Monsters!$T$4:$AH$15,6,FALSE),0)=0),0,FLOOR((IF(B33="Go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AFK",IF(D33="",0,D33),0),Z32/60)*60)),0))/MAX(1,IFERROR(VLOOKUP(C33,Monsters!$T$4:$AH$15,6,FALSE),0)),1)))*(IFERROR(VLOOKUP(C33,Monsters!$T$4:$AH$15,7,FALSE),0))*0.5*(1+0.1*AH32),0)+IF(AND((E33="OK"),B33="Fight boss",(IF((((105/'Rules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Formulas'!B12)),IFERROR(VLOOKUP(C33,Monsters!$T$4:$AH$15,3,FALSE),0),0)-IF(AND((E33="OK"),OR(B33="Buy upgrade",B33="Forge/Scrapwork buy"),IFERROR(VLOOKUP(C33,Upgrades!$N$4:$T$47,2,FALSE),0)="gold"),IFERROR(FLOOR(IFERROR(VLOOKUP(C33,Upgrades!$N$4:$T$47,3,FALSE),0)*(IFERROR(VLOOKUP(C33,Upgrades!$N$4:$T$47,4,FALSE),0)^(COUNTIFS($B$3:$B32,"Buy upgrade",$C$3:$C32,C33)+COUNTIFS($B$3:$B32,"Hire hunter",$C$3:$C32,C33)+COUNTIFS($B$3:$B32,"Forge/Scrapwork buy",$C$3:$C32,C33))),1),0),0)-IF(AND((E33="OK"),B33="Hire hunter"),IF(C33="Briar",140,IF(C33="Quill",3650,IF(C33="Moss",4850,IF(C33="Ember",12200,0)))),0))</f>
        <v/>
      </c>
      <c r="I33" s="7">
        <f>IF(AND((E33="OK"),B33="Fight boss",(IF((((105/'Rules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Formulas'!B12)),0,MIN(IF(G32&lt;=1,120,IF(G32=2,280,600)),I32+IF(AND((E33="OK"),B33="Hunt"),((IF(B33="Hunt",(('Rules &amp; Formulas'!B4*N32*('Rules &amp; Formulas'!B5+O32)*IFERROR(VLOOKUP(C33,Monsters!$T$4:$AH$15,10,FALSE),0)*IFERROR(VLOOKUP(C33,Monsters!$T$4:$AH$15,9,FALSE),0))*'Rules &amp; Formulas'!B6)*IF(D33="",0,D33),0))*(IFERROR(VLOOKUP(C33,Monsters!$T$4:$AH$15,4,FALSE),0))+(IF(OR(B33&lt;&gt;"Hunt",IFERROR(VLOOKUP(C33,Monsters!$T$4:$AH$15,6,FALSE),0)=0),0,FLOOR((IF(B33="Hunt",(('Rules &amp; Formulas'!B4*N32*('Rules &amp; Formulas'!B5+O32)*IFERROR(VLOOKUP(C33,Monsters!$T$4:$AH$15,10,FALSE),0)*IFERROR(VLOOKUP(C33,Monsters!$T$4:$AH$15,9,FALSE),0))*'Rules &amp; Formulas'!B6)*IF(D33="",0,D33),0))/MAX(1,IFERROR(VLOOKUP(C33,Monsters!$T$4:$AH$15,6,FALSE),0)),1)))*(IFERROR(VLOOKUP(C33,Monsters!$T$4:$AH$15,7,FALSE),0))),0)+IF(AND((E33="OK"),B33="Go AFK"),((IF(B33="Go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AFK",IF(D33="",0,D33),0),Z32/60)*60)),0))*(IFERROR(VLOOKUP(C33,Monsters!$T$4:$AH$15,4,FALSE),0))+(IF(OR(B33&lt;&gt;"Go AFK",IFERROR(VLOOKUP(C33,Monsters!$T$4:$AH$15,6,FALSE),0)=0),0,FLOOR((IF(B33="Go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AFK",IF(D33="",0,D33),0),Z32/60)*60)),0))/MAX(1,IFERROR(VLOOKUP(C33,Monsters!$T$4:$AH$15,6,FALSE),0)),1)))*(IFERROR(VLOOKUP(C33,Monsters!$T$4:$AH$15,7,FALSE),0))),0)))</f>
        <v/>
      </c>
      <c r="J33" s="7">
        <f>MAX(0,J32+IF(AND((E33="OK"),B33="Hunt"),(IF(B33="Hunt",(('Rules &amp; Formulas'!B4*N32*('Rules &amp; Formulas'!B5+O32)*IFERROR(VLOOKUP(C33,Monsters!$T$4:$AH$15,10,FALSE),0)*IFERROR(VLOOKUP(C33,Monsters!$T$4:$AH$15,9,FALSE),0))*'Rules &amp; Formulas'!B6)*IF(D33="",0,D33),0))*(IFERROR(VLOOKUP(C33,Monsters!$T$4:$AH$15,5,FALSE),0)),0)+IF(AND((E33="OK"),B33="Go AFK"),(IF(B33="Go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AFK",IF(D33="",0,D33),0),Z32/60)*60)),0))*(IFERROR(VLOOKUP(C33,Monsters!$T$4:$AH$15,5,FALSE),0)),0)-IF(AND((E33="OK"),OR(B33="Buy upgrade",B33="Forge/Scrapwork buy"),IFERROR(VLOOKUP(C33,Upgrades!$N$4:$T$47,2,FALSE),0)="scraps"),IFERROR(FLOOR(IFERROR(VLOOKUP(C33,Upgrades!$N$4:$T$47,3,FALSE),0)*(IFERROR(VLOOKUP(C33,Upgrades!$N$4:$T$47,4,FALSE),0)^(COUNTIFS($B$3:$B32,"Buy upgrade",$C$3:$C32,C33)+COUNTIFS($B$3:$B32,"Hire hunter",$C$3:$C32,C33)+COUNTIFS($B$3:$B32,"Forge/Scrapwork buy",$C$3:$C32,C33))),1),0),0))</f>
        <v/>
      </c>
      <c r="K33" s="7">
        <f>MAX(0,K32+IF(AND((E33="OK"),B33="Hunt"),IF(C33="Thornpelt Bear",(IF(B33="Hunt",(('Rules &amp; Formulas'!B4*N32*('Rules &amp; Formulas'!B5+O32)*IFERROR(VLOOKUP(C33,Monsters!$T$4:$AH$15,10,FALSE),0)*IFERROR(VLOOKUP(C33,Monsters!$T$4:$AH$15,9,FALSE),0))*'Rules &amp; Formulas'!B6)*IF(D33="",0,D33),0))*0.12,0),0)+IF(AND((E33="OK"),B33="Go AFK"),IF(C33="Thornpelt Bear",(IF(B33="Go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AFK",IF(D33="",0,D33),0),Z32/60)*60)),0))*0.12,0),0))</f>
        <v/>
      </c>
      <c r="L33" s="7">
        <f>MAX(0,L32+IF(AND((E33="OK"),B33="Hunt"),IF(C33="Dire Thornpelt",(IF(B33="Hunt",(('Rules &amp; Formulas'!B4*N32*('Rules &amp; Formulas'!B5+O32)*IFERROR(VLOOKUP(C33,Monsters!$T$4:$AH$15,10,FALSE),0)*IFERROR(VLOOKUP(C33,Monsters!$T$4:$AH$15,9,FALSE),0))*'Rules &amp; Formulas'!B6)*IF(D33="",0,D33),0))*0.1,0),0)+IF(AND((E33="OK"),B33="Go AFK"),IF(C33="Dire Thornpelt",(IF(B33="Go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AFK",IF(D33="",0,D33),0),Z32/60)*60)),0))*0.1,0),0))</f>
        <v/>
      </c>
      <c r="M33" s="7">
        <f>IF(AND((E33="OK"),B33="Go AFK"),MAX(0,MIN(('Rules &amp; Formulas'!B15+25*AJ32),M32+('Rules &amp; Formulas'!B14+0.4*AJ32)*(MIN(IF(B33="Go AFK",IF(D33="",0,D33),0),Z32/60)*60))-(IF(B33="Go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AFK",IF(D33="",0,D33),0),Z32/60)*60)),0))*(IF((IFERROR(VLOOKUP(C33,Monsters!$T$4:$AH$15,8,FALSE),0))=0,0.35,IFERROR(VLOOKUP(C33,Monsters!$T$4:$AH$15,8,FALSE),0))/(1+0.08*AK32))),MIN(('Rules &amp; Formulas'!B15+25*AJ33),M32))</f>
        <v/>
      </c>
      <c r="N33" s="7">
        <f>(1+0.08+0.12*AA33+0.12*AB33+0.16*AC33)</f>
        <v/>
      </c>
      <c r="O33" s="7">
        <f>((AD33&gt;=1)*1*(1+0.3*AE33))</f>
        <v/>
      </c>
      <c r="P33" s="7">
        <f>IF(OR(B33="Hunt",B33="Go AFK"),(('Rules &amp; Formulas'!B4*N32*('Rules &amp; Formulas'!B5+O32)*IFERROR(VLOOKUP(C33,Monsters!$T$4:$AH$15,10,FALSE),0)*IFERROR(VLOOKUP(C33,Monsters!$T$4:$AH$15,9,FALSE),0))*'Rules &amp; Formulas'!B6),"")</f>
        <v/>
      </c>
      <c r="Q33" s="7">
        <f>IF(OR(B33="Hunt",B33="Go AFK"),('Rules &amp; Formulas'!B4*N32*('Rules &amp; Formulas'!B5+O32)*IFERROR(VLOOKUP(C33,Monsters!$T$4:$AH$15,10,FALSE),0)*IFERROR(VLOOKUP(C33,Monsters!$T$4:$AH$15,9,FALSE),0)),"")</f>
        <v/>
      </c>
      <c r="R33" s="7">
        <f>IF(AND((E33="OK"),B33="Hunt"),IF(B33="Hunt",(('Rules &amp; Formulas'!B4*N32*('Rules &amp; Formulas'!B5+O32)*IFERROR(VLOOKUP(C33,Monsters!$T$4:$AH$15,10,FALSE),0)*IFERROR(VLOOKUP(C33,Monsters!$T$4:$AH$15,9,FALSE),0))*'Rules &amp; Formulas'!B6)*IF(D33="",0,D33),0),IF(AND((E33="OK"),B33="Go AFK"),IF(B33="Go AFK",MIN(IF((IF((IFERROR(VLOOKUP(C33,Monsters!$T$4:$AH$15,8,FALSE),0))=0,0.35,IFERROR(VLOOKUP(C33,Monsters!$T$4:$AH$15,8,FALSE),0))/(1+0.08*AK32))&lt;=0,999999,FLOOR(MIN(('Rules &amp; Formulas'!B15+25*AJ32),M32+('Rules &amp; Formulas'!B14+0.4*AJ32)*(MIN(IF(B33="Go AFK",IF(D33="",0,D33),0),Z32/60)*60))/(IF((IFERROR(VLOOKUP(C33,Monsters!$T$4:$AH$15,8,FALSE),0))=0,0.35,IFERROR(VLOOKUP(C33,Monsters!$T$4:$AH$15,8,FALSE),0))/(1+0.08*AK32)),1)),('Rules &amp; Formulas'!B4*N32*('Rules &amp; Formulas'!B5+O32)*IFERROR(VLOOKUP(C33,Monsters!$T$4:$AH$15,10,FALSE),0)*IFERROR(VLOOKUP(C33,Monsters!$T$4:$AH$15,9,FALSE),0))*(MIN(IF(B33="Go AFK",IF(D33="",0,D33),0),Z32/60)*60)),0),0))</f>
        <v/>
      </c>
      <c r="S33" s="7">
        <f>(105/'Rules &amp; Formulas'!B10)*'Rules &amp; Formulas'!B11</f>
        <v/>
      </c>
      <c r="T33" s="7">
        <f>IF(AD32&gt;=1,(MAX(1,ROUND('Rules &amp; Formulas'!B18*(1+0.3*AE32)*(1+0.4*AF32),0)))*(1000/'Rules &amp; Formulas'!B19)*MIN(0.95,'Rules &amp; Formulas'!B20*SQRT(1+0.55*(AG32&gt;=1))),0)</f>
        <v/>
      </c>
      <c r="U33" s="7">
        <f>S33+T33</f>
        <v/>
      </c>
      <c r="V33" s="7">
        <f>IF(I32&gt;=IF((IFERROR(VLOOKUP(C33,Monsters!$T$4:$AH$15,15,FALSE),0))=0,120,IFERROR(VLOOKUP(C33,Monsters!$T$4:$AH$15,15,FALSE),0)),"YES","no")</f>
        <v/>
      </c>
      <c r="W33" s="7">
        <f>IF(AND(B33="Fight boss",E33="OK"),IF((((105/'Rules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Formulas'!B20*SQRT(1+0.55*(AG32&gt;=1))),0)))),"")</f>
        <v/>
      </c>
      <c r="X33" s="7">
        <f>IF(AND(B33="Fight boss",E33="OK"),IF((IF((((105/'Rules &amp; Formulas'!B10)*'Rules &amp; Formulas'!B11+IF(AD32&gt;=1,(MAX(1,ROUND('Rules &amp; Formulas'!B18*(1+0.3*AE32)*(1+0.4*AF32),0)))*(1000/'Rules &amp; Formulas'!B19)*MIN(0.95,'Rules &amp; Formulas'!B20*SQRT(1+0.55*(AG32&gt;=1))),0)))&lt;=0,9999,(IFERROR(VLOOKUP(C33,Monsters!$T$4:$AH$15,2,FALSE),0))/(((105/'Rules &amp; Formulas'!B10)*'Rules &amp; Formulas'!B11+IF(AD32&gt;=1,(MAX(1,ROUND('Rules &amp; Formulas'!B18*(1+0.3*AE32)*(1+0.4*AF32),0)))*(1000/'Rules &amp; Formulas'!B19)*MIN(0.95,'Rules &amp; Formulas'!B20*SQRT(1+0.55*(AG32&gt;=1))),0))))&lt;='Rules &amp; Formulas'!B12),"WIN","LOSE"),"")</f>
        <v/>
      </c>
      <c r="Y33" s="7">
        <f>IF(B33="Go AFK",MIN(IF(B33="Go AFK",IF(D33="",0,D33),0),Z32/60),"")</f>
        <v/>
      </c>
      <c r="Z33" s="7">
        <f>('Rules &amp; Formulas'!B13+30*AI33)</f>
        <v/>
      </c>
      <c r="AA33">
        <f>COUNTIFS($B$3:$B33,"Buy upgrade",$C$3:$C33,"Idle Power")</f>
        <v/>
      </c>
      <c r="AB33">
        <f>COUNTIFS($B$3:$B33,"Buy upgrade",$C$3:$C33,"Iron Blade")</f>
        <v/>
      </c>
      <c r="AC33">
        <f>COUNTIFS($B$3:$B33,"Buy upgrade",$C$3:$C33,"Steel Blade")</f>
        <v/>
      </c>
      <c r="AD33">
        <f>COUNTIFS($B$3:$B33,"Hire hunter",$C$3:$C33,"Briar")+COUNTIFS($B$3:$B33,"Buy upgrade",$C$3:$C33,"Hire Briar")</f>
        <v/>
      </c>
      <c r="AE33">
        <f>COUNTIFS($B$3:$B33,"Buy upgrade",$C$3:$C33,"Hunter Power")</f>
        <v/>
      </c>
      <c r="AF33">
        <f>COUNTIFS($B$3:$B33,"Buy upgrade",$C$3:$C33,"Bigger Hits")</f>
        <v/>
      </c>
      <c r="AG33">
        <f>COUNTIFS($B$3:$B33,"Buy upgrade",$C$3:$C33,"Swift Walk")</f>
        <v/>
      </c>
      <c r="AH33">
        <f>COUNTIFS($B$3:$B33,"Buy upgrade",$C$3:$C33,"Loot Luck")</f>
        <v/>
      </c>
      <c r="AI33">
        <f>COUNTIFS($B$3:$B33,"Buy upgrade",$C$3:$C33,"Offline Cap")</f>
        <v/>
      </c>
      <c r="AJ33">
        <f>COUNTIFS($B$3:$B33,"Buy upgrade",$C$3:$C33,"Bigger Food Stock")</f>
        <v/>
      </c>
      <c r="AK33">
        <f>COUNTIFS($B$3:$B33,"Buy upgrade",$C$3:$C33,"Food Efficiency")</f>
        <v/>
      </c>
    </row>
    <row r="34">
      <c r="A34" t="n">
        <v>32</v>
      </c>
      <c r="B34" s="6" t="n"/>
      <c r="C34" s="6" t="n"/>
      <c r="D34" s="6" t="n"/>
      <c r="E34" s="7">
        <f>IF(B34="","",IF(OR(B34="Hunt",B34="Go AFK"),IF(C34="","Can't","OK"),IF(B34="Fight boss",IF(I33&lt;IF((IFERROR(VLOOKUP(C34,Monsters!$T$4:$AH$15,15,FALSE),0))=0,120,IFERROR(VLOOKUP(C34,Monsters!$T$4:$AH$15,15,FALSE),0)),"Can't","OK"),IF(B34="Hire hunter",IF(AND(C34="Briar",AD33&gt;=1),"Can't",IF(H33&lt;IF(C34="Briar",140,IF(C34="Quill",3650,IF(C34="Moss",4850,IF(C34="Ember",12200,0)))),"Can't","OK")),IF(OR(B34="Buy upgrade",B34="Forge/Scrapwork buy"),IF(IFERROR(VLOOKUP(C34,Upgrades!$N$4:$T$47,2,FALSE),0)="points","Can't",IF(IFERROR(VLOOKUP(C34,Upgrades!$N$4:$T$47,2,FALSE),0)="gold",IF(H33&lt;IFERROR(FLOOR(IFERROR(VLOOKUP(C34,Upgrades!$N$4:$T$47,3,FALSE),0)*(IFERROR(VLOOKUP(C34,Upgrades!$N$4:$T$47,4,FALSE),0)^(COUNTIFS($B$3:$B33,"Buy upgrade",$C$3:$C33,C34)+COUNTIFS($B$3:$B33,"Hire hunter",$C$3:$C33,C34)+COUNTIFS($B$3:$B33,"Forge/Scrapwork buy",$C$3:$C33,C34))),1),0),"Can't","OK"),IF(IFERROR(VLOOKUP(C34,Upgrades!$N$4:$T$47,2,FALSE),0)="scraps",IF(J33&lt;IFERROR(FLOOR(IFERROR(VLOOKUP(C34,Upgrades!$N$4:$T$47,3,FALSE),0)*(IFERROR(VLOOKUP(C34,Upgrades!$N$4:$T$47,4,FALSE),0)^(COUNTIFS($B$3:$B33,"Buy upgrade",$C$3:$C33,C34)+COUNTIFS($B$3:$B33,"Hire hunter",$C$3:$C33,C34)+COUNTIFS($B$3:$B33,"Forge/Scrapwork buy",$C$3:$C33,C34))),1),0),"Can't","OK"),IF(IFERROR(VLOOKUP(C34,Upgrades!$N$4:$T$47,2,FALSE),0)="mats","Can't","OK")))),"Check")))))</f>
        <v/>
      </c>
      <c r="F34" s="7">
        <f>IF(B34="","",IF(AND(B34="Fight boss",I33&lt;IF((IFERROR(VLOOKUP(C34,Monsters!$T$4:$AH$15,15,FALSE),0))=0,120,IFERROR(VLOOKUP(C34,Monsters!$T$4:$AH$15,15,FALSE),0))),"Can't — need "&amp;TEXT(IF((IFERROR(VLOOKUP(C34,Monsters!$T$4:$AH$15,15,FALSE),0))=0,120,IFERROR(VLOOKUP(C34,Monsters!$T$4:$AH$15,15,FALSE),0))-I33,"0.0")&amp;" more Slayer points on the meter",IF(AND(B34="Hire hunter",C34="Briar",AD33&gt;=1),"Can't — already hired",IF(AND(B34="Hire hunter",H33&lt;IF(C34="Briar",140,IF(C34="Quill",3650,IF(C34="Moss",4850,IF(C34="Ember",12200,0))))),"Can't — need "&amp;TEXT(IF(C34="Briar",140,IF(C34="Quill",3650,IF(C34="Moss",4850,IF(C34="Ember",12200,0))))-H33,"0")&amp;" more gold",IF(AND(OR(B34="Buy upgrade",B34="Forge/Scrapwork buy"),IFERROR(VLOOKUP(C34,Upgrades!$N$4:$T$47,2,FALSE),0)="points"),"Can't — Sp-wallet spends not tracked here",IF(AND(OR(B34="Buy upgrade",B34="Forge/Scrapwork buy"),IFERROR(VLOOKUP(C34,Upgrades!$N$4:$T$47,2,FALSE),0)="gold",H33&lt;IFERROR(FLOOR(IFERROR(VLOOKUP(C34,Upgrades!$N$4:$T$47,3,FALSE),0)*(IFERROR(VLOOKUP(C34,Upgrades!$N$4:$T$47,4,FALSE),0)^(COUNTIFS($B$3:$B33,"Buy upgrade",$C$3:$C33,C34)+COUNTIFS($B$3:$B33,"Hire hunter",$C$3:$C33,C34)+COUNTIFS($B$3:$B33,"Forge/Scrapwork buy",$C$3:$C33,C34))),1),0)),"Can't — need "&amp;TEXT(IFERROR(FLOOR(IFERROR(VLOOKUP(C34,Upgrades!$N$4:$T$47,3,FALSE),0)*(IFERROR(VLOOKUP(C34,Upgrades!$N$4:$T$47,4,FALSE),0)^(COUNTIFS($B$3:$B33,"Buy upgrade",$C$3:$C33,C34)+COUNTIFS($B$3:$B33,"Hire hunter",$C$3:$C33,C34)+COUNTIFS($B$3:$B33,"Forge/Scrapwork buy",$C$3:$C33,C34))),1),0)-H33,"0")&amp;" more gold",IF(AND(OR(B34="Buy upgrade",B34="Forge/Scrapwork buy"),IFERROR(VLOOKUP(C34,Upgrades!$N$4:$T$47,2,FALSE),0)="scraps",J33&lt;IFERROR(FLOOR(IFERROR(VLOOKUP(C34,Upgrades!$N$4:$T$47,3,FALSE),0)*(IFERROR(VLOOKUP(C34,Upgrades!$N$4:$T$47,4,FALSE),0)^(COUNTIFS($B$3:$B33,"Buy upgrade",$C$3:$C33,C34)+COUNTIFS($B$3:$B33,"Hire hunter",$C$3:$C33,C34)+COUNTIFS($B$3:$B33,"Forge/Scrapwork buy",$C$3:$C33,C34))),1),0)),"Can't — need "&amp;TEXT(IFERROR(FLOOR(IFERROR(VLOOKUP(C34,Upgrades!$N$4:$T$47,3,FALSE),0)*(IFERROR(VLOOKUP(C34,Upgrades!$N$4:$T$47,4,FALSE),0)^(COUNTIFS($B$3:$B33,"Buy upgrade",$C$3:$C33,C34)+COUNTIFS($B$3:$B33,"Hire hunter",$C$3:$C33,C34)+COUNTIFS($B$3:$B33,"Forge/Scrapwork buy",$C$3:$C33,C34))),1),0)-J33,"0")&amp;" more scraps",IF(AND(B34="Fight boss",E34="OK",(IF((((105/'Rules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Formulas'!B12)),"WIN — boss down, next Level unlocks",IF(AND(B34="Fight boss",E34="OK"),"LOSE — TTK "&amp;TEXT(IF((((105/'Rules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Formulas'!B20*SQRT(1+0.55*(AG33&gt;=1))),0)))),"0")&amp;"s &gt; patience "&amp;TEXT('Rules &amp; Formulas'!B12,"0")&amp;"s (leave resets HP)",IF(B34="Go AFK","AFK resolved (see AFK counted h)","Applied")))))))))</f>
        <v/>
      </c>
      <c r="G34" s="7">
        <f>IF(AND((E34="OK"),B34="Fight boss",(IF((((105/'Rules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Formulas'!B12),C34="Elder Thornpelt"),2,IF(AND((E34="OK"),B34="Fight boss",(IF((((105/'Rules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Formulas'!B12),C34="Ashfang Alpha"),3,G33))</f>
        <v/>
      </c>
      <c r="H34" s="7">
        <f>MAX(0,H33+IF(AND((E34="OK"),B34="Hunt"),(IF(B34="Hunt",(('Rules &amp; Formulas'!B4*N33*('Rules &amp; Formulas'!B5+O33)*IFERROR(VLOOKUP(C34,Monsters!$T$4:$AH$15,10,FALSE),0)*IFERROR(VLOOKUP(C34,Monsters!$T$4:$AH$15,9,FALSE),0))*'Rules &amp; Formulas'!B6)*IF(D34="",0,D34),0))*(IFERROR(VLOOKUP(C34,Monsters!$T$4:$AH$15,3,FALSE),0))*(1+0.1*AH33)+(IF(OR(B34&lt;&gt;"Hunt",IFERROR(VLOOKUP(C34,Monsters!$T$4:$AH$15,6,FALSE),0)=0),0,FLOOR((IF(B34="Hunt",(('Rules &amp; Formulas'!B4*N33*('Rules &amp; Formulas'!B5+O33)*IFERROR(VLOOKUP(C34,Monsters!$T$4:$AH$15,10,FALSE),0)*IFERROR(VLOOKUP(C34,Monsters!$T$4:$AH$15,9,FALSE),0))*'Rules &amp; Formulas'!B6)*IF(D34="",0,D34),0))/MAX(1,IFERROR(VLOOKUP(C34,Monsters!$T$4:$AH$15,6,FALSE),0)),1)))*(IFERROR(VLOOKUP(C34,Monsters!$T$4:$AH$15,7,FALSE),0))*0.5*(1+0.1*AH33),0)+IF(AND((E34="OK"),B34="Go AFK"),(IF(B34="Go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AFK",IF(D34="",0,D34),0),Z33/60)*60)),0))*(IFERROR(VLOOKUP(C34,Monsters!$T$4:$AH$15,3,FALSE),0))*(1+0.1*AH33)+(IF(OR(B34&lt;&gt;"Go AFK",IFERROR(VLOOKUP(C34,Monsters!$T$4:$AH$15,6,FALSE),0)=0),0,FLOOR((IF(B34="Go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AFK",IF(D34="",0,D34),0),Z33/60)*60)),0))/MAX(1,IFERROR(VLOOKUP(C34,Monsters!$T$4:$AH$15,6,FALSE),0)),1)))*(IFERROR(VLOOKUP(C34,Monsters!$T$4:$AH$15,7,FALSE),0))*0.5*(1+0.1*AH33),0)+IF(AND((E34="OK"),B34="Fight boss",(IF((((105/'Rules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Formulas'!B12)),IFERROR(VLOOKUP(C34,Monsters!$T$4:$AH$15,3,FALSE),0),0)-IF(AND((E34="OK"),OR(B34="Buy upgrade",B34="Forge/Scrapwork buy"),IFERROR(VLOOKUP(C34,Upgrades!$N$4:$T$47,2,FALSE),0)="gold"),IFERROR(FLOOR(IFERROR(VLOOKUP(C34,Upgrades!$N$4:$T$47,3,FALSE),0)*(IFERROR(VLOOKUP(C34,Upgrades!$N$4:$T$47,4,FALSE),0)^(COUNTIFS($B$3:$B33,"Buy upgrade",$C$3:$C33,C34)+COUNTIFS($B$3:$B33,"Hire hunter",$C$3:$C33,C34)+COUNTIFS($B$3:$B33,"Forge/Scrapwork buy",$C$3:$C33,C34))),1),0),0)-IF(AND((E34="OK"),B34="Hire hunter"),IF(C34="Briar",140,IF(C34="Quill",3650,IF(C34="Moss",4850,IF(C34="Ember",12200,0)))),0))</f>
        <v/>
      </c>
      <c r="I34" s="7">
        <f>IF(AND((E34="OK"),B34="Fight boss",(IF((((105/'Rules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Formulas'!B12)),0,MIN(IF(G33&lt;=1,120,IF(G33=2,280,600)),I33+IF(AND((E34="OK"),B34="Hunt"),((IF(B34="Hunt",(('Rules &amp; Formulas'!B4*N33*('Rules &amp; Formulas'!B5+O33)*IFERROR(VLOOKUP(C34,Monsters!$T$4:$AH$15,10,FALSE),0)*IFERROR(VLOOKUP(C34,Monsters!$T$4:$AH$15,9,FALSE),0))*'Rules &amp; Formulas'!B6)*IF(D34="",0,D34),0))*(IFERROR(VLOOKUP(C34,Monsters!$T$4:$AH$15,4,FALSE),0))+(IF(OR(B34&lt;&gt;"Hunt",IFERROR(VLOOKUP(C34,Monsters!$T$4:$AH$15,6,FALSE),0)=0),0,FLOOR((IF(B34="Hunt",(('Rules &amp; Formulas'!B4*N33*('Rules &amp; Formulas'!B5+O33)*IFERROR(VLOOKUP(C34,Monsters!$T$4:$AH$15,10,FALSE),0)*IFERROR(VLOOKUP(C34,Monsters!$T$4:$AH$15,9,FALSE),0))*'Rules &amp; Formulas'!B6)*IF(D34="",0,D34),0))/MAX(1,IFERROR(VLOOKUP(C34,Monsters!$T$4:$AH$15,6,FALSE),0)),1)))*(IFERROR(VLOOKUP(C34,Monsters!$T$4:$AH$15,7,FALSE),0))),0)+IF(AND((E34="OK"),B34="Go AFK"),((IF(B34="Go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AFK",IF(D34="",0,D34),0),Z33/60)*60)),0))*(IFERROR(VLOOKUP(C34,Monsters!$T$4:$AH$15,4,FALSE),0))+(IF(OR(B34&lt;&gt;"Go AFK",IFERROR(VLOOKUP(C34,Monsters!$T$4:$AH$15,6,FALSE),0)=0),0,FLOOR((IF(B34="Go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AFK",IF(D34="",0,D34),0),Z33/60)*60)),0))/MAX(1,IFERROR(VLOOKUP(C34,Monsters!$T$4:$AH$15,6,FALSE),0)),1)))*(IFERROR(VLOOKUP(C34,Monsters!$T$4:$AH$15,7,FALSE),0))),0)))</f>
        <v/>
      </c>
      <c r="J34" s="7">
        <f>MAX(0,J33+IF(AND((E34="OK"),B34="Hunt"),(IF(B34="Hunt",(('Rules &amp; Formulas'!B4*N33*('Rules &amp; Formulas'!B5+O33)*IFERROR(VLOOKUP(C34,Monsters!$T$4:$AH$15,10,FALSE),0)*IFERROR(VLOOKUP(C34,Monsters!$T$4:$AH$15,9,FALSE),0))*'Rules &amp; Formulas'!B6)*IF(D34="",0,D34),0))*(IFERROR(VLOOKUP(C34,Monsters!$T$4:$AH$15,5,FALSE),0)),0)+IF(AND((E34="OK"),B34="Go AFK"),(IF(B34="Go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AFK",IF(D34="",0,D34),0),Z33/60)*60)),0))*(IFERROR(VLOOKUP(C34,Monsters!$T$4:$AH$15,5,FALSE),0)),0)-IF(AND((E34="OK"),OR(B34="Buy upgrade",B34="Forge/Scrapwork buy"),IFERROR(VLOOKUP(C34,Upgrades!$N$4:$T$47,2,FALSE),0)="scraps"),IFERROR(FLOOR(IFERROR(VLOOKUP(C34,Upgrades!$N$4:$T$47,3,FALSE),0)*(IFERROR(VLOOKUP(C34,Upgrades!$N$4:$T$47,4,FALSE),0)^(COUNTIFS($B$3:$B33,"Buy upgrade",$C$3:$C33,C34)+COUNTIFS($B$3:$B33,"Hire hunter",$C$3:$C33,C34)+COUNTIFS($B$3:$B33,"Forge/Scrapwork buy",$C$3:$C33,C34))),1),0),0))</f>
        <v/>
      </c>
      <c r="K34" s="7">
        <f>MAX(0,K33+IF(AND((E34="OK"),B34="Hunt"),IF(C34="Thornpelt Bear",(IF(B34="Hunt",(('Rules &amp; Formulas'!B4*N33*('Rules &amp; Formulas'!B5+O33)*IFERROR(VLOOKUP(C34,Monsters!$T$4:$AH$15,10,FALSE),0)*IFERROR(VLOOKUP(C34,Monsters!$T$4:$AH$15,9,FALSE),0))*'Rules &amp; Formulas'!B6)*IF(D34="",0,D34),0))*0.12,0),0)+IF(AND((E34="OK"),B34="Go AFK"),IF(C34="Thornpelt Bear",(IF(B34="Go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AFK",IF(D34="",0,D34),0),Z33/60)*60)),0))*0.12,0),0))</f>
        <v/>
      </c>
      <c r="L34" s="7">
        <f>MAX(0,L33+IF(AND((E34="OK"),B34="Hunt"),IF(C34="Dire Thornpelt",(IF(B34="Hunt",(('Rules &amp; Formulas'!B4*N33*('Rules &amp; Formulas'!B5+O33)*IFERROR(VLOOKUP(C34,Monsters!$T$4:$AH$15,10,FALSE),0)*IFERROR(VLOOKUP(C34,Monsters!$T$4:$AH$15,9,FALSE),0))*'Rules &amp; Formulas'!B6)*IF(D34="",0,D34),0))*0.1,0),0)+IF(AND((E34="OK"),B34="Go AFK"),IF(C34="Dire Thornpelt",(IF(B34="Go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AFK",IF(D34="",0,D34),0),Z33/60)*60)),0))*0.1,0),0))</f>
        <v/>
      </c>
      <c r="M34" s="7">
        <f>IF(AND((E34="OK"),B34="Go AFK"),MAX(0,MIN(('Rules &amp; Formulas'!B15+25*AJ33),M33+('Rules &amp; Formulas'!B14+0.4*AJ33)*(MIN(IF(B34="Go AFK",IF(D34="",0,D34),0),Z33/60)*60))-(IF(B34="Go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AFK",IF(D34="",0,D34),0),Z33/60)*60)),0))*(IF((IFERROR(VLOOKUP(C34,Monsters!$T$4:$AH$15,8,FALSE),0))=0,0.35,IFERROR(VLOOKUP(C34,Monsters!$T$4:$AH$15,8,FALSE),0))/(1+0.08*AK33))),MIN(('Rules &amp; Formulas'!B15+25*AJ34),M33))</f>
        <v/>
      </c>
      <c r="N34" s="7">
        <f>(1+0.08+0.12*AA34+0.12*AB34+0.16*AC34)</f>
        <v/>
      </c>
      <c r="O34" s="7">
        <f>((AD34&gt;=1)*1*(1+0.3*AE34))</f>
        <v/>
      </c>
      <c r="P34" s="7">
        <f>IF(OR(B34="Hunt",B34="Go AFK"),(('Rules &amp; Formulas'!B4*N33*('Rules &amp; Formulas'!B5+O33)*IFERROR(VLOOKUP(C34,Monsters!$T$4:$AH$15,10,FALSE),0)*IFERROR(VLOOKUP(C34,Monsters!$T$4:$AH$15,9,FALSE),0))*'Rules &amp; Formulas'!B6),"")</f>
        <v/>
      </c>
      <c r="Q34" s="7">
        <f>IF(OR(B34="Hunt",B34="Go AFK"),('Rules &amp; Formulas'!B4*N33*('Rules &amp; Formulas'!B5+O33)*IFERROR(VLOOKUP(C34,Monsters!$T$4:$AH$15,10,FALSE),0)*IFERROR(VLOOKUP(C34,Monsters!$T$4:$AH$15,9,FALSE),0)),"")</f>
        <v/>
      </c>
      <c r="R34" s="7">
        <f>IF(AND((E34="OK"),B34="Hunt"),IF(B34="Hunt",(('Rules &amp; Formulas'!B4*N33*('Rules &amp; Formulas'!B5+O33)*IFERROR(VLOOKUP(C34,Monsters!$T$4:$AH$15,10,FALSE),0)*IFERROR(VLOOKUP(C34,Monsters!$T$4:$AH$15,9,FALSE),0))*'Rules &amp; Formulas'!B6)*IF(D34="",0,D34),0),IF(AND((E34="OK"),B34="Go AFK"),IF(B34="Go AFK",MIN(IF((IF((IFERROR(VLOOKUP(C34,Monsters!$T$4:$AH$15,8,FALSE),0))=0,0.35,IFERROR(VLOOKUP(C34,Monsters!$T$4:$AH$15,8,FALSE),0))/(1+0.08*AK33))&lt;=0,999999,FLOOR(MIN(('Rules &amp; Formulas'!B15+25*AJ33),M33+('Rules &amp; Formulas'!B14+0.4*AJ33)*(MIN(IF(B34="Go AFK",IF(D34="",0,D34),0),Z33/60)*60))/(IF((IFERROR(VLOOKUP(C34,Monsters!$T$4:$AH$15,8,FALSE),0))=0,0.35,IFERROR(VLOOKUP(C34,Monsters!$T$4:$AH$15,8,FALSE),0))/(1+0.08*AK33)),1)),('Rules &amp; Formulas'!B4*N33*('Rules &amp; Formulas'!B5+O33)*IFERROR(VLOOKUP(C34,Monsters!$T$4:$AH$15,10,FALSE),0)*IFERROR(VLOOKUP(C34,Monsters!$T$4:$AH$15,9,FALSE),0))*(MIN(IF(B34="Go AFK",IF(D34="",0,D34),0),Z33/60)*60)),0),0))</f>
        <v/>
      </c>
      <c r="S34" s="7">
        <f>(105/'Rules &amp; Formulas'!B10)*'Rules &amp; Formulas'!B11</f>
        <v/>
      </c>
      <c r="T34" s="7">
        <f>IF(AD33&gt;=1,(MAX(1,ROUND('Rules &amp; Formulas'!B18*(1+0.3*AE33)*(1+0.4*AF33),0)))*(1000/'Rules &amp; Formulas'!B19)*MIN(0.95,'Rules &amp; Formulas'!B20*SQRT(1+0.55*(AG33&gt;=1))),0)</f>
        <v/>
      </c>
      <c r="U34" s="7">
        <f>S34+T34</f>
        <v/>
      </c>
      <c r="V34" s="7">
        <f>IF(I33&gt;=IF((IFERROR(VLOOKUP(C34,Monsters!$T$4:$AH$15,15,FALSE),0))=0,120,IFERROR(VLOOKUP(C34,Monsters!$T$4:$AH$15,15,FALSE),0)),"YES","no")</f>
        <v/>
      </c>
      <c r="W34" s="7">
        <f>IF(AND(B34="Fight boss",E34="OK"),IF((((105/'Rules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Formulas'!B20*SQRT(1+0.55*(AG33&gt;=1))),0)))),"")</f>
        <v/>
      </c>
      <c r="X34" s="7">
        <f>IF(AND(B34="Fight boss",E34="OK"),IF((IF((((105/'Rules &amp; Formulas'!B10)*'Rules &amp; Formulas'!B11+IF(AD33&gt;=1,(MAX(1,ROUND('Rules &amp; Formulas'!B18*(1+0.3*AE33)*(1+0.4*AF33),0)))*(1000/'Rules &amp; Formulas'!B19)*MIN(0.95,'Rules &amp; Formulas'!B20*SQRT(1+0.55*(AG33&gt;=1))),0)))&lt;=0,9999,(IFERROR(VLOOKUP(C34,Monsters!$T$4:$AH$15,2,FALSE),0))/(((105/'Rules &amp; Formulas'!B10)*'Rules &amp; Formulas'!B11+IF(AD33&gt;=1,(MAX(1,ROUND('Rules &amp; Formulas'!B18*(1+0.3*AE33)*(1+0.4*AF33),0)))*(1000/'Rules &amp; Formulas'!B19)*MIN(0.95,'Rules &amp; Formulas'!B20*SQRT(1+0.55*(AG33&gt;=1))),0))))&lt;='Rules &amp; Formulas'!B12),"WIN","LOSE"),"")</f>
        <v/>
      </c>
      <c r="Y34" s="7">
        <f>IF(B34="Go AFK",MIN(IF(B34="Go AFK",IF(D34="",0,D34),0),Z33/60),"")</f>
        <v/>
      </c>
      <c r="Z34" s="7">
        <f>('Rules &amp; Formulas'!B13+30*AI34)</f>
        <v/>
      </c>
      <c r="AA34">
        <f>COUNTIFS($B$3:$B34,"Buy upgrade",$C$3:$C34,"Idle Power")</f>
        <v/>
      </c>
      <c r="AB34">
        <f>COUNTIFS($B$3:$B34,"Buy upgrade",$C$3:$C34,"Iron Blade")</f>
        <v/>
      </c>
      <c r="AC34">
        <f>COUNTIFS($B$3:$B34,"Buy upgrade",$C$3:$C34,"Steel Blade")</f>
        <v/>
      </c>
      <c r="AD34">
        <f>COUNTIFS($B$3:$B34,"Hire hunter",$C$3:$C34,"Briar")+COUNTIFS($B$3:$B34,"Buy upgrade",$C$3:$C34,"Hire Briar")</f>
        <v/>
      </c>
      <c r="AE34">
        <f>COUNTIFS($B$3:$B34,"Buy upgrade",$C$3:$C34,"Hunter Power")</f>
        <v/>
      </c>
      <c r="AF34">
        <f>COUNTIFS($B$3:$B34,"Buy upgrade",$C$3:$C34,"Bigger Hits")</f>
        <v/>
      </c>
      <c r="AG34">
        <f>COUNTIFS($B$3:$B34,"Buy upgrade",$C$3:$C34,"Swift Walk")</f>
        <v/>
      </c>
      <c r="AH34">
        <f>COUNTIFS($B$3:$B34,"Buy upgrade",$C$3:$C34,"Loot Luck")</f>
        <v/>
      </c>
      <c r="AI34">
        <f>COUNTIFS($B$3:$B34,"Buy upgrade",$C$3:$C34,"Offline Cap")</f>
        <v/>
      </c>
      <c r="AJ34">
        <f>COUNTIFS($B$3:$B34,"Buy upgrade",$C$3:$C34,"Bigger Food Stock")</f>
        <v/>
      </c>
      <c r="AK34">
        <f>COUNTIFS($B$3:$B34,"Buy upgrade",$C$3:$C34,"Food Efficiency")</f>
        <v/>
      </c>
    </row>
    <row r="35">
      <c r="A35" t="n">
        <v>33</v>
      </c>
      <c r="B35" s="6" t="n"/>
      <c r="C35" s="6" t="n"/>
      <c r="D35" s="6" t="n"/>
      <c r="E35" s="7">
        <f>IF(B35="","",IF(OR(B35="Hunt",B35="Go AFK"),IF(C35="","Can't","OK"),IF(B35="Fight boss",IF(I34&lt;IF((IFERROR(VLOOKUP(C35,Monsters!$T$4:$AH$15,15,FALSE),0))=0,120,IFERROR(VLOOKUP(C35,Monsters!$T$4:$AH$15,15,FALSE),0)),"Can't","OK"),IF(B35="Hire hunter",IF(AND(C35="Briar",AD34&gt;=1),"Can't",IF(H34&lt;IF(C35="Briar",140,IF(C35="Quill",3650,IF(C35="Moss",4850,IF(C35="Ember",12200,0)))),"Can't","OK")),IF(OR(B35="Buy upgrade",B35="Forge/Scrapwork buy"),IF(IFERROR(VLOOKUP(C35,Upgrades!$N$4:$T$47,2,FALSE),0)="points","Can't",IF(IFERROR(VLOOKUP(C35,Upgrades!$N$4:$T$47,2,FALSE),0)="gold",IF(H34&lt;IFERROR(FLOOR(IFERROR(VLOOKUP(C35,Upgrades!$N$4:$T$47,3,FALSE),0)*(IFERROR(VLOOKUP(C35,Upgrades!$N$4:$T$47,4,FALSE),0)^(COUNTIFS($B$3:$B34,"Buy upgrade",$C$3:$C34,C35)+COUNTIFS($B$3:$B34,"Hire hunter",$C$3:$C34,C35)+COUNTIFS($B$3:$B34,"Forge/Scrapwork buy",$C$3:$C34,C35))),1),0),"Can't","OK"),IF(IFERROR(VLOOKUP(C35,Upgrades!$N$4:$T$47,2,FALSE),0)="scraps",IF(J34&lt;IFERROR(FLOOR(IFERROR(VLOOKUP(C35,Upgrades!$N$4:$T$47,3,FALSE),0)*(IFERROR(VLOOKUP(C35,Upgrades!$N$4:$T$47,4,FALSE),0)^(COUNTIFS($B$3:$B34,"Buy upgrade",$C$3:$C34,C35)+COUNTIFS($B$3:$B34,"Hire hunter",$C$3:$C34,C35)+COUNTIFS($B$3:$B34,"Forge/Scrapwork buy",$C$3:$C34,C35))),1),0),"Can't","OK"),IF(IFERROR(VLOOKUP(C35,Upgrades!$N$4:$T$47,2,FALSE),0)="mats","Can't","OK")))),"Check")))))</f>
        <v/>
      </c>
      <c r="F35" s="7">
        <f>IF(B35="","",IF(AND(B35="Fight boss",I34&lt;IF((IFERROR(VLOOKUP(C35,Monsters!$T$4:$AH$15,15,FALSE),0))=0,120,IFERROR(VLOOKUP(C35,Monsters!$T$4:$AH$15,15,FALSE),0))),"Can't — need "&amp;TEXT(IF((IFERROR(VLOOKUP(C35,Monsters!$T$4:$AH$15,15,FALSE),0))=0,120,IFERROR(VLOOKUP(C35,Monsters!$T$4:$AH$15,15,FALSE),0))-I34,"0.0")&amp;" more Slayer points on the meter",IF(AND(B35="Hire hunter",C35="Briar",AD34&gt;=1),"Can't — already hired",IF(AND(B35="Hire hunter",H34&lt;IF(C35="Briar",140,IF(C35="Quill",3650,IF(C35="Moss",4850,IF(C35="Ember",12200,0))))),"Can't — need "&amp;TEXT(IF(C35="Briar",140,IF(C35="Quill",3650,IF(C35="Moss",4850,IF(C35="Ember",12200,0))))-H34,"0")&amp;" more gold",IF(AND(OR(B35="Buy upgrade",B35="Forge/Scrapwork buy"),IFERROR(VLOOKUP(C35,Upgrades!$N$4:$T$47,2,FALSE),0)="points"),"Can't — Sp-wallet spends not tracked here",IF(AND(OR(B35="Buy upgrade",B35="Forge/Scrapwork buy"),IFERROR(VLOOKUP(C35,Upgrades!$N$4:$T$47,2,FALSE),0)="gold",H34&lt;IFERROR(FLOOR(IFERROR(VLOOKUP(C35,Upgrades!$N$4:$T$47,3,FALSE),0)*(IFERROR(VLOOKUP(C35,Upgrades!$N$4:$T$47,4,FALSE),0)^(COUNTIFS($B$3:$B34,"Buy upgrade",$C$3:$C34,C35)+COUNTIFS($B$3:$B34,"Hire hunter",$C$3:$C34,C35)+COUNTIFS($B$3:$B34,"Forge/Scrapwork buy",$C$3:$C34,C35))),1),0)),"Can't — need "&amp;TEXT(IFERROR(FLOOR(IFERROR(VLOOKUP(C35,Upgrades!$N$4:$T$47,3,FALSE),0)*(IFERROR(VLOOKUP(C35,Upgrades!$N$4:$T$47,4,FALSE),0)^(COUNTIFS($B$3:$B34,"Buy upgrade",$C$3:$C34,C35)+COUNTIFS($B$3:$B34,"Hire hunter",$C$3:$C34,C35)+COUNTIFS($B$3:$B34,"Forge/Scrapwork buy",$C$3:$C34,C35))),1),0)-H34,"0")&amp;" more gold",IF(AND(OR(B35="Buy upgrade",B35="Forge/Scrapwork buy"),IFERROR(VLOOKUP(C35,Upgrades!$N$4:$T$47,2,FALSE),0)="scraps",J34&lt;IFERROR(FLOOR(IFERROR(VLOOKUP(C35,Upgrades!$N$4:$T$47,3,FALSE),0)*(IFERROR(VLOOKUP(C35,Upgrades!$N$4:$T$47,4,FALSE),0)^(COUNTIFS($B$3:$B34,"Buy upgrade",$C$3:$C34,C35)+COUNTIFS($B$3:$B34,"Hire hunter",$C$3:$C34,C35)+COUNTIFS($B$3:$B34,"Forge/Scrapwork buy",$C$3:$C34,C35))),1),0)),"Can't — need "&amp;TEXT(IFERROR(FLOOR(IFERROR(VLOOKUP(C35,Upgrades!$N$4:$T$47,3,FALSE),0)*(IFERROR(VLOOKUP(C35,Upgrades!$N$4:$T$47,4,FALSE),0)^(COUNTIFS($B$3:$B34,"Buy upgrade",$C$3:$C34,C35)+COUNTIFS($B$3:$B34,"Hire hunter",$C$3:$C34,C35)+COUNTIFS($B$3:$B34,"Forge/Scrapwork buy",$C$3:$C34,C35))),1),0)-J34,"0")&amp;" more scraps",IF(AND(B35="Fight boss",E35="OK",(IF((((105/'Rules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Formulas'!B12)),"WIN — boss down, next Level unlocks",IF(AND(B35="Fight boss",E35="OK"),"LOSE — TTK "&amp;TEXT(IF((((105/'Rules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Formulas'!B20*SQRT(1+0.55*(AG34&gt;=1))),0)))),"0")&amp;"s &gt; patience "&amp;TEXT('Rules &amp; Formulas'!B12,"0")&amp;"s (leave resets HP)",IF(B35="Go AFK","AFK resolved (see AFK counted h)","Applied")))))))))</f>
        <v/>
      </c>
      <c r="G35" s="7">
        <f>IF(AND((E35="OK"),B35="Fight boss",(IF((((105/'Rules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Formulas'!B12),C35="Elder Thornpelt"),2,IF(AND((E35="OK"),B35="Fight boss",(IF((((105/'Rules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Formulas'!B12),C35="Ashfang Alpha"),3,G34))</f>
        <v/>
      </c>
      <c r="H35" s="7">
        <f>MAX(0,H34+IF(AND((E35="OK"),B35="Hunt"),(IF(B35="Hunt",(('Rules &amp; Formulas'!B4*N34*('Rules &amp; Formulas'!B5+O34)*IFERROR(VLOOKUP(C35,Monsters!$T$4:$AH$15,10,FALSE),0)*IFERROR(VLOOKUP(C35,Monsters!$T$4:$AH$15,9,FALSE),0))*'Rules &amp; Formulas'!B6)*IF(D35="",0,D35),0))*(IFERROR(VLOOKUP(C35,Monsters!$T$4:$AH$15,3,FALSE),0))*(1+0.1*AH34)+(IF(OR(B35&lt;&gt;"Hunt",IFERROR(VLOOKUP(C35,Monsters!$T$4:$AH$15,6,FALSE),0)=0),0,FLOOR((IF(B35="Hunt",(('Rules &amp; Formulas'!B4*N34*('Rules &amp; Formulas'!B5+O34)*IFERROR(VLOOKUP(C35,Monsters!$T$4:$AH$15,10,FALSE),0)*IFERROR(VLOOKUP(C35,Monsters!$T$4:$AH$15,9,FALSE),0))*'Rules &amp; Formulas'!B6)*IF(D35="",0,D35),0))/MAX(1,IFERROR(VLOOKUP(C35,Monsters!$T$4:$AH$15,6,FALSE),0)),1)))*(IFERROR(VLOOKUP(C35,Monsters!$T$4:$AH$15,7,FALSE),0))*0.5*(1+0.1*AH34),0)+IF(AND((E35="OK"),B35="Go AFK"),(IF(B35="Go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AFK",IF(D35="",0,D35),0),Z34/60)*60)),0))*(IFERROR(VLOOKUP(C35,Monsters!$T$4:$AH$15,3,FALSE),0))*(1+0.1*AH34)+(IF(OR(B35&lt;&gt;"Go AFK",IFERROR(VLOOKUP(C35,Monsters!$T$4:$AH$15,6,FALSE),0)=0),0,FLOOR((IF(B35="Go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AFK",IF(D35="",0,D35),0),Z34/60)*60)),0))/MAX(1,IFERROR(VLOOKUP(C35,Monsters!$T$4:$AH$15,6,FALSE),0)),1)))*(IFERROR(VLOOKUP(C35,Monsters!$T$4:$AH$15,7,FALSE),0))*0.5*(1+0.1*AH34),0)+IF(AND((E35="OK"),B35="Fight boss",(IF((((105/'Rules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Formulas'!B12)),IFERROR(VLOOKUP(C35,Monsters!$T$4:$AH$15,3,FALSE),0),0)-IF(AND((E35="OK"),OR(B35="Buy upgrade",B35="Forge/Scrapwork buy"),IFERROR(VLOOKUP(C35,Upgrades!$N$4:$T$47,2,FALSE),0)="gold"),IFERROR(FLOOR(IFERROR(VLOOKUP(C35,Upgrades!$N$4:$T$47,3,FALSE),0)*(IFERROR(VLOOKUP(C35,Upgrades!$N$4:$T$47,4,FALSE),0)^(COUNTIFS($B$3:$B34,"Buy upgrade",$C$3:$C34,C35)+COUNTIFS($B$3:$B34,"Hire hunter",$C$3:$C34,C35)+COUNTIFS($B$3:$B34,"Forge/Scrapwork buy",$C$3:$C34,C35))),1),0),0)-IF(AND((E35="OK"),B35="Hire hunter"),IF(C35="Briar",140,IF(C35="Quill",3650,IF(C35="Moss",4850,IF(C35="Ember",12200,0)))),0))</f>
        <v/>
      </c>
      <c r="I35" s="7">
        <f>IF(AND((E35="OK"),B35="Fight boss",(IF((((105/'Rules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Formulas'!B12)),0,MIN(IF(G34&lt;=1,120,IF(G34=2,280,600)),I34+IF(AND((E35="OK"),B35="Hunt"),((IF(B35="Hunt",(('Rules &amp; Formulas'!B4*N34*('Rules &amp; Formulas'!B5+O34)*IFERROR(VLOOKUP(C35,Monsters!$T$4:$AH$15,10,FALSE),0)*IFERROR(VLOOKUP(C35,Monsters!$T$4:$AH$15,9,FALSE),0))*'Rules &amp; Formulas'!B6)*IF(D35="",0,D35),0))*(IFERROR(VLOOKUP(C35,Monsters!$T$4:$AH$15,4,FALSE),0))+(IF(OR(B35&lt;&gt;"Hunt",IFERROR(VLOOKUP(C35,Monsters!$T$4:$AH$15,6,FALSE),0)=0),0,FLOOR((IF(B35="Hunt",(('Rules &amp; Formulas'!B4*N34*('Rules &amp; Formulas'!B5+O34)*IFERROR(VLOOKUP(C35,Monsters!$T$4:$AH$15,10,FALSE),0)*IFERROR(VLOOKUP(C35,Monsters!$T$4:$AH$15,9,FALSE),0))*'Rules &amp; Formulas'!B6)*IF(D35="",0,D35),0))/MAX(1,IFERROR(VLOOKUP(C35,Monsters!$T$4:$AH$15,6,FALSE),0)),1)))*(IFERROR(VLOOKUP(C35,Monsters!$T$4:$AH$15,7,FALSE),0))),0)+IF(AND((E35="OK"),B35="Go AFK"),((IF(B35="Go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AFK",IF(D35="",0,D35),0),Z34/60)*60)),0))*(IFERROR(VLOOKUP(C35,Monsters!$T$4:$AH$15,4,FALSE),0))+(IF(OR(B35&lt;&gt;"Go AFK",IFERROR(VLOOKUP(C35,Monsters!$T$4:$AH$15,6,FALSE),0)=0),0,FLOOR((IF(B35="Go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AFK",IF(D35="",0,D35),0),Z34/60)*60)),0))/MAX(1,IFERROR(VLOOKUP(C35,Monsters!$T$4:$AH$15,6,FALSE),0)),1)))*(IFERROR(VLOOKUP(C35,Monsters!$T$4:$AH$15,7,FALSE),0))),0)))</f>
        <v/>
      </c>
      <c r="J35" s="7">
        <f>MAX(0,J34+IF(AND((E35="OK"),B35="Hunt"),(IF(B35="Hunt",(('Rules &amp; Formulas'!B4*N34*('Rules &amp; Formulas'!B5+O34)*IFERROR(VLOOKUP(C35,Monsters!$T$4:$AH$15,10,FALSE),0)*IFERROR(VLOOKUP(C35,Monsters!$T$4:$AH$15,9,FALSE),0))*'Rules &amp; Formulas'!B6)*IF(D35="",0,D35),0))*(IFERROR(VLOOKUP(C35,Monsters!$T$4:$AH$15,5,FALSE),0)),0)+IF(AND((E35="OK"),B35="Go AFK"),(IF(B35="Go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AFK",IF(D35="",0,D35),0),Z34/60)*60)),0))*(IFERROR(VLOOKUP(C35,Monsters!$T$4:$AH$15,5,FALSE),0)),0)-IF(AND((E35="OK"),OR(B35="Buy upgrade",B35="Forge/Scrapwork buy"),IFERROR(VLOOKUP(C35,Upgrades!$N$4:$T$47,2,FALSE),0)="scraps"),IFERROR(FLOOR(IFERROR(VLOOKUP(C35,Upgrades!$N$4:$T$47,3,FALSE),0)*(IFERROR(VLOOKUP(C35,Upgrades!$N$4:$T$47,4,FALSE),0)^(COUNTIFS($B$3:$B34,"Buy upgrade",$C$3:$C34,C35)+COUNTIFS($B$3:$B34,"Hire hunter",$C$3:$C34,C35)+COUNTIFS($B$3:$B34,"Forge/Scrapwork buy",$C$3:$C34,C35))),1),0),0))</f>
        <v/>
      </c>
      <c r="K35" s="7">
        <f>MAX(0,K34+IF(AND((E35="OK"),B35="Hunt"),IF(C35="Thornpelt Bear",(IF(B35="Hunt",(('Rules &amp; Formulas'!B4*N34*('Rules &amp; Formulas'!B5+O34)*IFERROR(VLOOKUP(C35,Monsters!$T$4:$AH$15,10,FALSE),0)*IFERROR(VLOOKUP(C35,Monsters!$T$4:$AH$15,9,FALSE),0))*'Rules &amp; Formulas'!B6)*IF(D35="",0,D35),0))*0.12,0),0)+IF(AND((E35="OK"),B35="Go AFK"),IF(C35="Thornpelt Bear",(IF(B35="Go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AFK",IF(D35="",0,D35),0),Z34/60)*60)),0))*0.12,0),0))</f>
        <v/>
      </c>
      <c r="L35" s="7">
        <f>MAX(0,L34+IF(AND((E35="OK"),B35="Hunt"),IF(C35="Dire Thornpelt",(IF(B35="Hunt",(('Rules &amp; Formulas'!B4*N34*('Rules &amp; Formulas'!B5+O34)*IFERROR(VLOOKUP(C35,Monsters!$T$4:$AH$15,10,FALSE),0)*IFERROR(VLOOKUP(C35,Monsters!$T$4:$AH$15,9,FALSE),0))*'Rules &amp; Formulas'!B6)*IF(D35="",0,D35),0))*0.1,0),0)+IF(AND((E35="OK"),B35="Go AFK"),IF(C35="Dire Thornpelt",(IF(B35="Go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AFK",IF(D35="",0,D35),0),Z34/60)*60)),0))*0.1,0),0))</f>
        <v/>
      </c>
      <c r="M35" s="7">
        <f>IF(AND((E35="OK"),B35="Go AFK"),MAX(0,MIN(('Rules &amp; Formulas'!B15+25*AJ34),M34+('Rules &amp; Formulas'!B14+0.4*AJ34)*(MIN(IF(B35="Go AFK",IF(D35="",0,D35),0),Z34/60)*60))-(IF(B35="Go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AFK",IF(D35="",0,D35),0),Z34/60)*60)),0))*(IF((IFERROR(VLOOKUP(C35,Monsters!$T$4:$AH$15,8,FALSE),0))=0,0.35,IFERROR(VLOOKUP(C35,Monsters!$T$4:$AH$15,8,FALSE),0))/(1+0.08*AK34))),MIN(('Rules &amp; Formulas'!B15+25*AJ35),M34))</f>
        <v/>
      </c>
      <c r="N35" s="7">
        <f>(1+0.08+0.12*AA35+0.12*AB35+0.16*AC35)</f>
        <v/>
      </c>
      <c r="O35" s="7">
        <f>((AD35&gt;=1)*1*(1+0.3*AE35))</f>
        <v/>
      </c>
      <c r="P35" s="7">
        <f>IF(OR(B35="Hunt",B35="Go AFK"),(('Rules &amp; Formulas'!B4*N34*('Rules &amp; Formulas'!B5+O34)*IFERROR(VLOOKUP(C35,Monsters!$T$4:$AH$15,10,FALSE),0)*IFERROR(VLOOKUP(C35,Monsters!$T$4:$AH$15,9,FALSE),0))*'Rules &amp; Formulas'!B6),"")</f>
        <v/>
      </c>
      <c r="Q35" s="7">
        <f>IF(OR(B35="Hunt",B35="Go AFK"),('Rules &amp; Formulas'!B4*N34*('Rules &amp; Formulas'!B5+O34)*IFERROR(VLOOKUP(C35,Monsters!$T$4:$AH$15,10,FALSE),0)*IFERROR(VLOOKUP(C35,Monsters!$T$4:$AH$15,9,FALSE),0)),"")</f>
        <v/>
      </c>
      <c r="R35" s="7">
        <f>IF(AND((E35="OK"),B35="Hunt"),IF(B35="Hunt",(('Rules &amp; Formulas'!B4*N34*('Rules &amp; Formulas'!B5+O34)*IFERROR(VLOOKUP(C35,Monsters!$T$4:$AH$15,10,FALSE),0)*IFERROR(VLOOKUP(C35,Monsters!$T$4:$AH$15,9,FALSE),0))*'Rules &amp; Formulas'!B6)*IF(D35="",0,D35),0),IF(AND((E35="OK"),B35="Go AFK"),IF(B35="Go AFK",MIN(IF((IF((IFERROR(VLOOKUP(C35,Monsters!$T$4:$AH$15,8,FALSE),0))=0,0.35,IFERROR(VLOOKUP(C35,Monsters!$T$4:$AH$15,8,FALSE),0))/(1+0.08*AK34))&lt;=0,999999,FLOOR(MIN(('Rules &amp; Formulas'!B15+25*AJ34),M34+('Rules &amp; Formulas'!B14+0.4*AJ34)*(MIN(IF(B35="Go AFK",IF(D35="",0,D35),0),Z34/60)*60))/(IF((IFERROR(VLOOKUP(C35,Monsters!$T$4:$AH$15,8,FALSE),0))=0,0.35,IFERROR(VLOOKUP(C35,Monsters!$T$4:$AH$15,8,FALSE),0))/(1+0.08*AK34)),1)),('Rules &amp; Formulas'!B4*N34*('Rules &amp; Formulas'!B5+O34)*IFERROR(VLOOKUP(C35,Monsters!$T$4:$AH$15,10,FALSE),0)*IFERROR(VLOOKUP(C35,Monsters!$T$4:$AH$15,9,FALSE),0))*(MIN(IF(B35="Go AFK",IF(D35="",0,D35),0),Z34/60)*60)),0),0))</f>
        <v/>
      </c>
      <c r="S35" s="7">
        <f>(105/'Rules &amp; Formulas'!B10)*'Rules &amp; Formulas'!B11</f>
        <v/>
      </c>
      <c r="T35" s="7">
        <f>IF(AD34&gt;=1,(MAX(1,ROUND('Rules &amp; Formulas'!B18*(1+0.3*AE34)*(1+0.4*AF34),0)))*(1000/'Rules &amp; Formulas'!B19)*MIN(0.95,'Rules &amp; Formulas'!B20*SQRT(1+0.55*(AG34&gt;=1))),0)</f>
        <v/>
      </c>
      <c r="U35" s="7">
        <f>S35+T35</f>
        <v/>
      </c>
      <c r="V35" s="7">
        <f>IF(I34&gt;=IF((IFERROR(VLOOKUP(C35,Monsters!$T$4:$AH$15,15,FALSE),0))=0,120,IFERROR(VLOOKUP(C35,Monsters!$T$4:$AH$15,15,FALSE),0)),"YES","no")</f>
        <v/>
      </c>
      <c r="W35" s="7">
        <f>IF(AND(B35="Fight boss",E35="OK"),IF((((105/'Rules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Formulas'!B20*SQRT(1+0.55*(AG34&gt;=1))),0)))),"")</f>
        <v/>
      </c>
      <c r="X35" s="7">
        <f>IF(AND(B35="Fight boss",E35="OK"),IF((IF((((105/'Rules &amp; Formulas'!B10)*'Rules &amp; Formulas'!B11+IF(AD34&gt;=1,(MAX(1,ROUND('Rules &amp; Formulas'!B18*(1+0.3*AE34)*(1+0.4*AF34),0)))*(1000/'Rules &amp; Formulas'!B19)*MIN(0.95,'Rules &amp; Formulas'!B20*SQRT(1+0.55*(AG34&gt;=1))),0)))&lt;=0,9999,(IFERROR(VLOOKUP(C35,Monsters!$T$4:$AH$15,2,FALSE),0))/(((105/'Rules &amp; Formulas'!B10)*'Rules &amp; Formulas'!B11+IF(AD34&gt;=1,(MAX(1,ROUND('Rules &amp; Formulas'!B18*(1+0.3*AE34)*(1+0.4*AF34),0)))*(1000/'Rules &amp; Formulas'!B19)*MIN(0.95,'Rules &amp; Formulas'!B20*SQRT(1+0.55*(AG34&gt;=1))),0))))&lt;='Rules &amp; Formulas'!B12),"WIN","LOSE"),"")</f>
        <v/>
      </c>
      <c r="Y35" s="7">
        <f>IF(B35="Go AFK",MIN(IF(B35="Go AFK",IF(D35="",0,D35),0),Z34/60),"")</f>
        <v/>
      </c>
      <c r="Z35" s="7">
        <f>('Rules &amp; Formulas'!B13+30*AI35)</f>
        <v/>
      </c>
      <c r="AA35">
        <f>COUNTIFS($B$3:$B35,"Buy upgrade",$C$3:$C35,"Idle Power")</f>
        <v/>
      </c>
      <c r="AB35">
        <f>COUNTIFS($B$3:$B35,"Buy upgrade",$C$3:$C35,"Iron Blade")</f>
        <v/>
      </c>
      <c r="AC35">
        <f>COUNTIFS($B$3:$B35,"Buy upgrade",$C$3:$C35,"Steel Blade")</f>
        <v/>
      </c>
      <c r="AD35">
        <f>COUNTIFS($B$3:$B35,"Hire hunter",$C$3:$C35,"Briar")+COUNTIFS($B$3:$B35,"Buy upgrade",$C$3:$C35,"Hire Briar")</f>
        <v/>
      </c>
      <c r="AE35">
        <f>COUNTIFS($B$3:$B35,"Buy upgrade",$C$3:$C35,"Hunter Power")</f>
        <v/>
      </c>
      <c r="AF35">
        <f>COUNTIFS($B$3:$B35,"Buy upgrade",$C$3:$C35,"Bigger Hits")</f>
        <v/>
      </c>
      <c r="AG35">
        <f>COUNTIFS($B$3:$B35,"Buy upgrade",$C$3:$C35,"Swift Walk")</f>
        <v/>
      </c>
      <c r="AH35">
        <f>COUNTIFS($B$3:$B35,"Buy upgrade",$C$3:$C35,"Loot Luck")</f>
        <v/>
      </c>
      <c r="AI35">
        <f>COUNTIFS($B$3:$B35,"Buy upgrade",$C$3:$C35,"Offline Cap")</f>
        <v/>
      </c>
      <c r="AJ35">
        <f>COUNTIFS($B$3:$B35,"Buy upgrade",$C$3:$C35,"Bigger Food Stock")</f>
        <v/>
      </c>
      <c r="AK35">
        <f>COUNTIFS($B$3:$B35,"Buy upgrade",$C$3:$C35,"Food Efficiency")</f>
        <v/>
      </c>
    </row>
    <row r="36">
      <c r="A36" t="n">
        <v>34</v>
      </c>
      <c r="B36" s="6" t="n"/>
      <c r="C36" s="6" t="n"/>
      <c r="D36" s="6" t="n"/>
      <c r="E36" s="7">
        <f>IF(B36="","",IF(OR(B36="Hunt",B36="Go AFK"),IF(C36="","Can't","OK"),IF(B36="Fight boss",IF(I35&lt;IF((IFERROR(VLOOKUP(C36,Monsters!$T$4:$AH$15,15,FALSE),0))=0,120,IFERROR(VLOOKUP(C36,Monsters!$T$4:$AH$15,15,FALSE),0)),"Can't","OK"),IF(B36="Hire hunter",IF(AND(C36="Briar",AD35&gt;=1),"Can't",IF(H35&lt;IF(C36="Briar",140,IF(C36="Quill",3650,IF(C36="Moss",4850,IF(C36="Ember",12200,0)))),"Can't","OK")),IF(OR(B36="Buy upgrade",B36="Forge/Scrapwork buy"),IF(IFERROR(VLOOKUP(C36,Upgrades!$N$4:$T$47,2,FALSE),0)="points","Can't",IF(IFERROR(VLOOKUP(C36,Upgrades!$N$4:$T$47,2,FALSE),0)="gold",IF(H35&lt;IFERROR(FLOOR(IFERROR(VLOOKUP(C36,Upgrades!$N$4:$T$47,3,FALSE),0)*(IFERROR(VLOOKUP(C36,Upgrades!$N$4:$T$47,4,FALSE),0)^(COUNTIFS($B$3:$B35,"Buy upgrade",$C$3:$C35,C36)+COUNTIFS($B$3:$B35,"Hire hunter",$C$3:$C35,C36)+COUNTIFS($B$3:$B35,"Forge/Scrapwork buy",$C$3:$C35,C36))),1),0),"Can't","OK"),IF(IFERROR(VLOOKUP(C36,Upgrades!$N$4:$T$47,2,FALSE),0)="scraps",IF(J35&lt;IFERROR(FLOOR(IFERROR(VLOOKUP(C36,Upgrades!$N$4:$T$47,3,FALSE),0)*(IFERROR(VLOOKUP(C36,Upgrades!$N$4:$T$47,4,FALSE),0)^(COUNTIFS($B$3:$B35,"Buy upgrade",$C$3:$C35,C36)+COUNTIFS($B$3:$B35,"Hire hunter",$C$3:$C35,C36)+COUNTIFS($B$3:$B35,"Forge/Scrapwork buy",$C$3:$C35,C36))),1),0),"Can't","OK"),IF(IFERROR(VLOOKUP(C36,Upgrades!$N$4:$T$47,2,FALSE),0)="mats","Can't","OK")))),"Check")))))</f>
        <v/>
      </c>
      <c r="F36" s="7">
        <f>IF(B36="","",IF(AND(B36="Fight boss",I35&lt;IF((IFERROR(VLOOKUP(C36,Monsters!$T$4:$AH$15,15,FALSE),0))=0,120,IFERROR(VLOOKUP(C36,Monsters!$T$4:$AH$15,15,FALSE),0))),"Can't — need "&amp;TEXT(IF((IFERROR(VLOOKUP(C36,Monsters!$T$4:$AH$15,15,FALSE),0))=0,120,IFERROR(VLOOKUP(C36,Monsters!$T$4:$AH$15,15,FALSE),0))-I35,"0.0")&amp;" more Slayer points on the meter",IF(AND(B36="Hire hunter",C36="Briar",AD35&gt;=1),"Can't — already hired",IF(AND(B36="Hire hunter",H35&lt;IF(C36="Briar",140,IF(C36="Quill",3650,IF(C36="Moss",4850,IF(C36="Ember",12200,0))))),"Can't — need "&amp;TEXT(IF(C36="Briar",140,IF(C36="Quill",3650,IF(C36="Moss",4850,IF(C36="Ember",12200,0))))-H35,"0")&amp;" more gold",IF(AND(OR(B36="Buy upgrade",B36="Forge/Scrapwork buy"),IFERROR(VLOOKUP(C36,Upgrades!$N$4:$T$47,2,FALSE),0)="points"),"Can't — Sp-wallet spends not tracked here",IF(AND(OR(B36="Buy upgrade",B36="Forge/Scrapwork buy"),IFERROR(VLOOKUP(C36,Upgrades!$N$4:$T$47,2,FALSE),0)="gold",H35&lt;IFERROR(FLOOR(IFERROR(VLOOKUP(C36,Upgrades!$N$4:$T$47,3,FALSE),0)*(IFERROR(VLOOKUP(C36,Upgrades!$N$4:$T$47,4,FALSE),0)^(COUNTIFS($B$3:$B35,"Buy upgrade",$C$3:$C35,C36)+COUNTIFS($B$3:$B35,"Hire hunter",$C$3:$C35,C36)+COUNTIFS($B$3:$B35,"Forge/Scrapwork buy",$C$3:$C35,C36))),1),0)),"Can't — need "&amp;TEXT(IFERROR(FLOOR(IFERROR(VLOOKUP(C36,Upgrades!$N$4:$T$47,3,FALSE),0)*(IFERROR(VLOOKUP(C36,Upgrades!$N$4:$T$47,4,FALSE),0)^(COUNTIFS($B$3:$B35,"Buy upgrade",$C$3:$C35,C36)+COUNTIFS($B$3:$B35,"Hire hunter",$C$3:$C35,C36)+COUNTIFS($B$3:$B35,"Forge/Scrapwork buy",$C$3:$C35,C36))),1),0)-H35,"0")&amp;" more gold",IF(AND(OR(B36="Buy upgrade",B36="Forge/Scrapwork buy"),IFERROR(VLOOKUP(C36,Upgrades!$N$4:$T$47,2,FALSE),0)="scraps",J35&lt;IFERROR(FLOOR(IFERROR(VLOOKUP(C36,Upgrades!$N$4:$T$47,3,FALSE),0)*(IFERROR(VLOOKUP(C36,Upgrades!$N$4:$T$47,4,FALSE),0)^(COUNTIFS($B$3:$B35,"Buy upgrade",$C$3:$C35,C36)+COUNTIFS($B$3:$B35,"Hire hunter",$C$3:$C35,C36)+COUNTIFS($B$3:$B35,"Forge/Scrapwork buy",$C$3:$C35,C36))),1),0)),"Can't — need "&amp;TEXT(IFERROR(FLOOR(IFERROR(VLOOKUP(C36,Upgrades!$N$4:$T$47,3,FALSE),0)*(IFERROR(VLOOKUP(C36,Upgrades!$N$4:$T$47,4,FALSE),0)^(COUNTIFS($B$3:$B35,"Buy upgrade",$C$3:$C35,C36)+COUNTIFS($B$3:$B35,"Hire hunter",$C$3:$C35,C36)+COUNTIFS($B$3:$B35,"Forge/Scrapwork buy",$C$3:$C35,C36))),1),0)-J35,"0")&amp;" more scraps",IF(AND(B36="Fight boss",E36="OK",(IF((((105/'Rules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Formulas'!B12)),"WIN — boss down, next Level unlocks",IF(AND(B36="Fight boss",E36="OK"),"LOSE — TTK "&amp;TEXT(IF((((105/'Rules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Formulas'!B20*SQRT(1+0.55*(AG35&gt;=1))),0)))),"0")&amp;"s &gt; patience "&amp;TEXT('Rules &amp; Formulas'!B12,"0")&amp;"s (leave resets HP)",IF(B36="Go AFK","AFK resolved (see AFK counted h)","Applied")))))))))</f>
        <v/>
      </c>
      <c r="G36" s="7">
        <f>IF(AND((E36="OK"),B36="Fight boss",(IF((((105/'Rules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Formulas'!B12),C36="Elder Thornpelt"),2,IF(AND((E36="OK"),B36="Fight boss",(IF((((105/'Rules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Formulas'!B12),C36="Ashfang Alpha"),3,G35))</f>
        <v/>
      </c>
      <c r="H36" s="7">
        <f>MAX(0,H35+IF(AND((E36="OK"),B36="Hunt"),(IF(B36="Hunt",(('Rules &amp; Formulas'!B4*N35*('Rules &amp; Formulas'!B5+O35)*IFERROR(VLOOKUP(C36,Monsters!$T$4:$AH$15,10,FALSE),0)*IFERROR(VLOOKUP(C36,Monsters!$T$4:$AH$15,9,FALSE),0))*'Rules &amp; Formulas'!B6)*IF(D36="",0,D36),0))*(IFERROR(VLOOKUP(C36,Monsters!$T$4:$AH$15,3,FALSE),0))*(1+0.1*AH35)+(IF(OR(B36&lt;&gt;"Hunt",IFERROR(VLOOKUP(C36,Monsters!$T$4:$AH$15,6,FALSE),0)=0),0,FLOOR((IF(B36="Hunt",(('Rules &amp; Formulas'!B4*N35*('Rules &amp; Formulas'!B5+O35)*IFERROR(VLOOKUP(C36,Monsters!$T$4:$AH$15,10,FALSE),0)*IFERROR(VLOOKUP(C36,Monsters!$T$4:$AH$15,9,FALSE),0))*'Rules &amp; Formulas'!B6)*IF(D36="",0,D36),0))/MAX(1,IFERROR(VLOOKUP(C36,Monsters!$T$4:$AH$15,6,FALSE),0)),1)))*(IFERROR(VLOOKUP(C36,Monsters!$T$4:$AH$15,7,FALSE),0))*0.5*(1+0.1*AH35),0)+IF(AND((E36="OK"),B36="Go AFK"),(IF(B36="Go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AFK",IF(D36="",0,D36),0),Z35/60)*60)),0))*(IFERROR(VLOOKUP(C36,Monsters!$T$4:$AH$15,3,FALSE),0))*(1+0.1*AH35)+(IF(OR(B36&lt;&gt;"Go AFK",IFERROR(VLOOKUP(C36,Monsters!$T$4:$AH$15,6,FALSE),0)=0),0,FLOOR((IF(B36="Go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AFK",IF(D36="",0,D36),0),Z35/60)*60)),0))/MAX(1,IFERROR(VLOOKUP(C36,Monsters!$T$4:$AH$15,6,FALSE),0)),1)))*(IFERROR(VLOOKUP(C36,Monsters!$T$4:$AH$15,7,FALSE),0))*0.5*(1+0.1*AH35),0)+IF(AND((E36="OK"),B36="Fight boss",(IF((((105/'Rules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Formulas'!B12)),IFERROR(VLOOKUP(C36,Monsters!$T$4:$AH$15,3,FALSE),0),0)-IF(AND((E36="OK"),OR(B36="Buy upgrade",B36="Forge/Scrapwork buy"),IFERROR(VLOOKUP(C36,Upgrades!$N$4:$T$47,2,FALSE),0)="gold"),IFERROR(FLOOR(IFERROR(VLOOKUP(C36,Upgrades!$N$4:$T$47,3,FALSE),0)*(IFERROR(VLOOKUP(C36,Upgrades!$N$4:$T$47,4,FALSE),0)^(COUNTIFS($B$3:$B35,"Buy upgrade",$C$3:$C35,C36)+COUNTIFS($B$3:$B35,"Hire hunter",$C$3:$C35,C36)+COUNTIFS($B$3:$B35,"Forge/Scrapwork buy",$C$3:$C35,C36))),1),0),0)-IF(AND((E36="OK"),B36="Hire hunter"),IF(C36="Briar",140,IF(C36="Quill",3650,IF(C36="Moss",4850,IF(C36="Ember",12200,0)))),0))</f>
        <v/>
      </c>
      <c r="I36" s="7">
        <f>IF(AND((E36="OK"),B36="Fight boss",(IF((((105/'Rules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Formulas'!B12)),0,MIN(IF(G35&lt;=1,120,IF(G35=2,280,600)),I35+IF(AND((E36="OK"),B36="Hunt"),((IF(B36="Hunt",(('Rules &amp; Formulas'!B4*N35*('Rules &amp; Formulas'!B5+O35)*IFERROR(VLOOKUP(C36,Monsters!$T$4:$AH$15,10,FALSE),0)*IFERROR(VLOOKUP(C36,Monsters!$T$4:$AH$15,9,FALSE),0))*'Rules &amp; Formulas'!B6)*IF(D36="",0,D36),0))*(IFERROR(VLOOKUP(C36,Monsters!$T$4:$AH$15,4,FALSE),0))+(IF(OR(B36&lt;&gt;"Hunt",IFERROR(VLOOKUP(C36,Monsters!$T$4:$AH$15,6,FALSE),0)=0),0,FLOOR((IF(B36="Hunt",(('Rules &amp; Formulas'!B4*N35*('Rules &amp; Formulas'!B5+O35)*IFERROR(VLOOKUP(C36,Monsters!$T$4:$AH$15,10,FALSE),0)*IFERROR(VLOOKUP(C36,Monsters!$T$4:$AH$15,9,FALSE),0))*'Rules &amp; Formulas'!B6)*IF(D36="",0,D36),0))/MAX(1,IFERROR(VLOOKUP(C36,Monsters!$T$4:$AH$15,6,FALSE),0)),1)))*(IFERROR(VLOOKUP(C36,Monsters!$T$4:$AH$15,7,FALSE),0))),0)+IF(AND((E36="OK"),B36="Go AFK"),((IF(B36="Go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AFK",IF(D36="",0,D36),0),Z35/60)*60)),0))*(IFERROR(VLOOKUP(C36,Monsters!$T$4:$AH$15,4,FALSE),0))+(IF(OR(B36&lt;&gt;"Go AFK",IFERROR(VLOOKUP(C36,Monsters!$T$4:$AH$15,6,FALSE),0)=0),0,FLOOR((IF(B36="Go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AFK",IF(D36="",0,D36),0),Z35/60)*60)),0))/MAX(1,IFERROR(VLOOKUP(C36,Monsters!$T$4:$AH$15,6,FALSE),0)),1)))*(IFERROR(VLOOKUP(C36,Monsters!$T$4:$AH$15,7,FALSE),0))),0)))</f>
        <v/>
      </c>
      <c r="J36" s="7">
        <f>MAX(0,J35+IF(AND((E36="OK"),B36="Hunt"),(IF(B36="Hunt",(('Rules &amp; Formulas'!B4*N35*('Rules &amp; Formulas'!B5+O35)*IFERROR(VLOOKUP(C36,Monsters!$T$4:$AH$15,10,FALSE),0)*IFERROR(VLOOKUP(C36,Monsters!$T$4:$AH$15,9,FALSE),0))*'Rules &amp; Formulas'!B6)*IF(D36="",0,D36),0))*(IFERROR(VLOOKUP(C36,Monsters!$T$4:$AH$15,5,FALSE),0)),0)+IF(AND((E36="OK"),B36="Go AFK"),(IF(B36="Go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AFK",IF(D36="",0,D36),0),Z35/60)*60)),0))*(IFERROR(VLOOKUP(C36,Monsters!$T$4:$AH$15,5,FALSE),0)),0)-IF(AND((E36="OK"),OR(B36="Buy upgrade",B36="Forge/Scrapwork buy"),IFERROR(VLOOKUP(C36,Upgrades!$N$4:$T$47,2,FALSE),0)="scraps"),IFERROR(FLOOR(IFERROR(VLOOKUP(C36,Upgrades!$N$4:$T$47,3,FALSE),0)*(IFERROR(VLOOKUP(C36,Upgrades!$N$4:$T$47,4,FALSE),0)^(COUNTIFS($B$3:$B35,"Buy upgrade",$C$3:$C35,C36)+COUNTIFS($B$3:$B35,"Hire hunter",$C$3:$C35,C36)+COUNTIFS($B$3:$B35,"Forge/Scrapwork buy",$C$3:$C35,C36))),1),0),0))</f>
        <v/>
      </c>
      <c r="K36" s="7">
        <f>MAX(0,K35+IF(AND((E36="OK"),B36="Hunt"),IF(C36="Thornpelt Bear",(IF(B36="Hunt",(('Rules &amp; Formulas'!B4*N35*('Rules &amp; Formulas'!B5+O35)*IFERROR(VLOOKUP(C36,Monsters!$T$4:$AH$15,10,FALSE),0)*IFERROR(VLOOKUP(C36,Monsters!$T$4:$AH$15,9,FALSE),0))*'Rules &amp; Formulas'!B6)*IF(D36="",0,D36),0))*0.12,0),0)+IF(AND((E36="OK"),B36="Go AFK"),IF(C36="Thornpelt Bear",(IF(B36="Go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AFK",IF(D36="",0,D36),0),Z35/60)*60)),0))*0.12,0),0))</f>
        <v/>
      </c>
      <c r="L36" s="7">
        <f>MAX(0,L35+IF(AND((E36="OK"),B36="Hunt"),IF(C36="Dire Thornpelt",(IF(B36="Hunt",(('Rules &amp; Formulas'!B4*N35*('Rules &amp; Formulas'!B5+O35)*IFERROR(VLOOKUP(C36,Monsters!$T$4:$AH$15,10,FALSE),0)*IFERROR(VLOOKUP(C36,Monsters!$T$4:$AH$15,9,FALSE),0))*'Rules &amp; Formulas'!B6)*IF(D36="",0,D36),0))*0.1,0),0)+IF(AND((E36="OK"),B36="Go AFK"),IF(C36="Dire Thornpelt",(IF(B36="Go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AFK",IF(D36="",0,D36),0),Z35/60)*60)),0))*0.1,0),0))</f>
        <v/>
      </c>
      <c r="M36" s="7">
        <f>IF(AND((E36="OK"),B36="Go AFK"),MAX(0,MIN(('Rules &amp; Formulas'!B15+25*AJ35),M35+('Rules &amp; Formulas'!B14+0.4*AJ35)*(MIN(IF(B36="Go AFK",IF(D36="",0,D36),0),Z35/60)*60))-(IF(B36="Go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AFK",IF(D36="",0,D36),0),Z35/60)*60)),0))*(IF((IFERROR(VLOOKUP(C36,Monsters!$T$4:$AH$15,8,FALSE),0))=0,0.35,IFERROR(VLOOKUP(C36,Monsters!$T$4:$AH$15,8,FALSE),0))/(1+0.08*AK35))),MIN(('Rules &amp; Formulas'!B15+25*AJ36),M35))</f>
        <v/>
      </c>
      <c r="N36" s="7">
        <f>(1+0.08+0.12*AA36+0.12*AB36+0.16*AC36)</f>
        <v/>
      </c>
      <c r="O36" s="7">
        <f>((AD36&gt;=1)*1*(1+0.3*AE36))</f>
        <v/>
      </c>
      <c r="P36" s="7">
        <f>IF(OR(B36="Hunt",B36="Go AFK"),(('Rules &amp; Formulas'!B4*N35*('Rules &amp; Formulas'!B5+O35)*IFERROR(VLOOKUP(C36,Monsters!$T$4:$AH$15,10,FALSE),0)*IFERROR(VLOOKUP(C36,Monsters!$T$4:$AH$15,9,FALSE),0))*'Rules &amp; Formulas'!B6),"")</f>
        <v/>
      </c>
      <c r="Q36" s="7">
        <f>IF(OR(B36="Hunt",B36="Go AFK"),('Rules &amp; Formulas'!B4*N35*('Rules &amp; Formulas'!B5+O35)*IFERROR(VLOOKUP(C36,Monsters!$T$4:$AH$15,10,FALSE),0)*IFERROR(VLOOKUP(C36,Monsters!$T$4:$AH$15,9,FALSE),0)),"")</f>
        <v/>
      </c>
      <c r="R36" s="7">
        <f>IF(AND((E36="OK"),B36="Hunt"),IF(B36="Hunt",(('Rules &amp; Formulas'!B4*N35*('Rules &amp; Formulas'!B5+O35)*IFERROR(VLOOKUP(C36,Monsters!$T$4:$AH$15,10,FALSE),0)*IFERROR(VLOOKUP(C36,Monsters!$T$4:$AH$15,9,FALSE),0))*'Rules &amp; Formulas'!B6)*IF(D36="",0,D36),0),IF(AND((E36="OK"),B36="Go AFK"),IF(B36="Go AFK",MIN(IF((IF((IFERROR(VLOOKUP(C36,Monsters!$T$4:$AH$15,8,FALSE),0))=0,0.35,IFERROR(VLOOKUP(C36,Monsters!$T$4:$AH$15,8,FALSE),0))/(1+0.08*AK35))&lt;=0,999999,FLOOR(MIN(('Rules &amp; Formulas'!B15+25*AJ35),M35+('Rules &amp; Formulas'!B14+0.4*AJ35)*(MIN(IF(B36="Go AFK",IF(D36="",0,D36),0),Z35/60)*60))/(IF((IFERROR(VLOOKUP(C36,Monsters!$T$4:$AH$15,8,FALSE),0))=0,0.35,IFERROR(VLOOKUP(C36,Monsters!$T$4:$AH$15,8,FALSE),0))/(1+0.08*AK35)),1)),('Rules &amp; Formulas'!B4*N35*('Rules &amp; Formulas'!B5+O35)*IFERROR(VLOOKUP(C36,Monsters!$T$4:$AH$15,10,FALSE),0)*IFERROR(VLOOKUP(C36,Monsters!$T$4:$AH$15,9,FALSE),0))*(MIN(IF(B36="Go AFK",IF(D36="",0,D36),0),Z35/60)*60)),0),0))</f>
        <v/>
      </c>
      <c r="S36" s="7">
        <f>(105/'Rules &amp; Formulas'!B10)*'Rules &amp; Formulas'!B11</f>
        <v/>
      </c>
      <c r="T36" s="7">
        <f>IF(AD35&gt;=1,(MAX(1,ROUND('Rules &amp; Formulas'!B18*(1+0.3*AE35)*(1+0.4*AF35),0)))*(1000/'Rules &amp; Formulas'!B19)*MIN(0.95,'Rules &amp; Formulas'!B20*SQRT(1+0.55*(AG35&gt;=1))),0)</f>
        <v/>
      </c>
      <c r="U36" s="7">
        <f>S36+T36</f>
        <v/>
      </c>
      <c r="V36" s="7">
        <f>IF(I35&gt;=IF((IFERROR(VLOOKUP(C36,Monsters!$T$4:$AH$15,15,FALSE),0))=0,120,IFERROR(VLOOKUP(C36,Monsters!$T$4:$AH$15,15,FALSE),0)),"YES","no")</f>
        <v/>
      </c>
      <c r="W36" s="7">
        <f>IF(AND(B36="Fight boss",E36="OK"),IF((((105/'Rules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Formulas'!B20*SQRT(1+0.55*(AG35&gt;=1))),0)))),"")</f>
        <v/>
      </c>
      <c r="X36" s="7">
        <f>IF(AND(B36="Fight boss",E36="OK"),IF((IF((((105/'Rules &amp; Formulas'!B10)*'Rules &amp; Formulas'!B11+IF(AD35&gt;=1,(MAX(1,ROUND('Rules &amp; Formulas'!B18*(1+0.3*AE35)*(1+0.4*AF35),0)))*(1000/'Rules &amp; Formulas'!B19)*MIN(0.95,'Rules &amp; Formulas'!B20*SQRT(1+0.55*(AG35&gt;=1))),0)))&lt;=0,9999,(IFERROR(VLOOKUP(C36,Monsters!$T$4:$AH$15,2,FALSE),0))/(((105/'Rules &amp; Formulas'!B10)*'Rules &amp; Formulas'!B11+IF(AD35&gt;=1,(MAX(1,ROUND('Rules &amp; Formulas'!B18*(1+0.3*AE35)*(1+0.4*AF35),0)))*(1000/'Rules &amp; Formulas'!B19)*MIN(0.95,'Rules &amp; Formulas'!B20*SQRT(1+0.55*(AG35&gt;=1))),0))))&lt;='Rules &amp; Formulas'!B12),"WIN","LOSE"),"")</f>
        <v/>
      </c>
      <c r="Y36" s="7">
        <f>IF(B36="Go AFK",MIN(IF(B36="Go AFK",IF(D36="",0,D36),0),Z35/60),"")</f>
        <v/>
      </c>
      <c r="Z36" s="7">
        <f>('Rules &amp; Formulas'!B13+30*AI36)</f>
        <v/>
      </c>
      <c r="AA36">
        <f>COUNTIFS($B$3:$B36,"Buy upgrade",$C$3:$C36,"Idle Power")</f>
        <v/>
      </c>
      <c r="AB36">
        <f>COUNTIFS($B$3:$B36,"Buy upgrade",$C$3:$C36,"Iron Blade")</f>
        <v/>
      </c>
      <c r="AC36">
        <f>COUNTIFS($B$3:$B36,"Buy upgrade",$C$3:$C36,"Steel Blade")</f>
        <v/>
      </c>
      <c r="AD36">
        <f>COUNTIFS($B$3:$B36,"Hire hunter",$C$3:$C36,"Briar")+COUNTIFS($B$3:$B36,"Buy upgrade",$C$3:$C36,"Hire Briar")</f>
        <v/>
      </c>
      <c r="AE36">
        <f>COUNTIFS($B$3:$B36,"Buy upgrade",$C$3:$C36,"Hunter Power")</f>
        <v/>
      </c>
      <c r="AF36">
        <f>COUNTIFS($B$3:$B36,"Buy upgrade",$C$3:$C36,"Bigger Hits")</f>
        <v/>
      </c>
      <c r="AG36">
        <f>COUNTIFS($B$3:$B36,"Buy upgrade",$C$3:$C36,"Swift Walk")</f>
        <v/>
      </c>
      <c r="AH36">
        <f>COUNTIFS($B$3:$B36,"Buy upgrade",$C$3:$C36,"Loot Luck")</f>
        <v/>
      </c>
      <c r="AI36">
        <f>COUNTIFS($B$3:$B36,"Buy upgrade",$C$3:$C36,"Offline Cap")</f>
        <v/>
      </c>
      <c r="AJ36">
        <f>COUNTIFS($B$3:$B36,"Buy upgrade",$C$3:$C36,"Bigger Food Stock")</f>
        <v/>
      </c>
      <c r="AK36">
        <f>COUNTIFS($B$3:$B36,"Buy upgrade",$C$3:$C36,"Food Efficiency")</f>
        <v/>
      </c>
    </row>
    <row r="37">
      <c r="A37" t="n">
        <v>35</v>
      </c>
      <c r="B37" s="6" t="n"/>
      <c r="C37" s="6" t="n"/>
      <c r="D37" s="6" t="n"/>
      <c r="E37" s="7">
        <f>IF(B37="","",IF(OR(B37="Hunt",B37="Go AFK"),IF(C37="","Can't","OK"),IF(B37="Fight boss",IF(I36&lt;IF((IFERROR(VLOOKUP(C37,Monsters!$T$4:$AH$15,15,FALSE),0))=0,120,IFERROR(VLOOKUP(C37,Monsters!$T$4:$AH$15,15,FALSE),0)),"Can't","OK"),IF(B37="Hire hunter",IF(AND(C37="Briar",AD36&gt;=1),"Can't",IF(H36&lt;IF(C37="Briar",140,IF(C37="Quill",3650,IF(C37="Moss",4850,IF(C37="Ember",12200,0)))),"Can't","OK")),IF(OR(B37="Buy upgrade",B37="Forge/Scrapwork buy"),IF(IFERROR(VLOOKUP(C37,Upgrades!$N$4:$T$47,2,FALSE),0)="points","Can't",IF(IFERROR(VLOOKUP(C37,Upgrades!$N$4:$T$47,2,FALSE),0)="gold",IF(H36&lt;IFERROR(FLOOR(IFERROR(VLOOKUP(C37,Upgrades!$N$4:$T$47,3,FALSE),0)*(IFERROR(VLOOKUP(C37,Upgrades!$N$4:$T$47,4,FALSE),0)^(COUNTIFS($B$3:$B36,"Buy upgrade",$C$3:$C36,C37)+COUNTIFS($B$3:$B36,"Hire hunter",$C$3:$C36,C37)+COUNTIFS($B$3:$B36,"Forge/Scrapwork buy",$C$3:$C36,C37))),1),0),"Can't","OK"),IF(IFERROR(VLOOKUP(C37,Upgrades!$N$4:$T$47,2,FALSE),0)="scraps",IF(J36&lt;IFERROR(FLOOR(IFERROR(VLOOKUP(C37,Upgrades!$N$4:$T$47,3,FALSE),0)*(IFERROR(VLOOKUP(C37,Upgrades!$N$4:$T$47,4,FALSE),0)^(COUNTIFS($B$3:$B36,"Buy upgrade",$C$3:$C36,C37)+COUNTIFS($B$3:$B36,"Hire hunter",$C$3:$C36,C37)+COUNTIFS($B$3:$B36,"Forge/Scrapwork buy",$C$3:$C36,C37))),1),0),"Can't","OK"),IF(IFERROR(VLOOKUP(C37,Upgrades!$N$4:$T$47,2,FALSE),0)="mats","Can't","OK")))),"Check")))))</f>
        <v/>
      </c>
      <c r="F37" s="7">
        <f>IF(B37="","",IF(AND(B37="Fight boss",I36&lt;IF((IFERROR(VLOOKUP(C37,Monsters!$T$4:$AH$15,15,FALSE),0))=0,120,IFERROR(VLOOKUP(C37,Monsters!$T$4:$AH$15,15,FALSE),0))),"Can't — need "&amp;TEXT(IF((IFERROR(VLOOKUP(C37,Monsters!$T$4:$AH$15,15,FALSE),0))=0,120,IFERROR(VLOOKUP(C37,Monsters!$T$4:$AH$15,15,FALSE),0))-I36,"0.0")&amp;" more Slayer points on the meter",IF(AND(B37="Hire hunter",C37="Briar",AD36&gt;=1),"Can't — already hired",IF(AND(B37="Hire hunter",H36&lt;IF(C37="Briar",140,IF(C37="Quill",3650,IF(C37="Moss",4850,IF(C37="Ember",12200,0))))),"Can't — need "&amp;TEXT(IF(C37="Briar",140,IF(C37="Quill",3650,IF(C37="Moss",4850,IF(C37="Ember",12200,0))))-H36,"0")&amp;" more gold",IF(AND(OR(B37="Buy upgrade",B37="Forge/Scrapwork buy"),IFERROR(VLOOKUP(C37,Upgrades!$N$4:$T$47,2,FALSE),0)="points"),"Can't — Sp-wallet spends not tracked here",IF(AND(OR(B37="Buy upgrade",B37="Forge/Scrapwork buy"),IFERROR(VLOOKUP(C37,Upgrades!$N$4:$T$47,2,FALSE),0)="gold",H36&lt;IFERROR(FLOOR(IFERROR(VLOOKUP(C37,Upgrades!$N$4:$T$47,3,FALSE),0)*(IFERROR(VLOOKUP(C37,Upgrades!$N$4:$T$47,4,FALSE),0)^(COUNTIFS($B$3:$B36,"Buy upgrade",$C$3:$C36,C37)+COUNTIFS($B$3:$B36,"Hire hunter",$C$3:$C36,C37)+COUNTIFS($B$3:$B36,"Forge/Scrapwork buy",$C$3:$C36,C37))),1),0)),"Can't — need "&amp;TEXT(IFERROR(FLOOR(IFERROR(VLOOKUP(C37,Upgrades!$N$4:$T$47,3,FALSE),0)*(IFERROR(VLOOKUP(C37,Upgrades!$N$4:$T$47,4,FALSE),0)^(COUNTIFS($B$3:$B36,"Buy upgrade",$C$3:$C36,C37)+COUNTIFS($B$3:$B36,"Hire hunter",$C$3:$C36,C37)+COUNTIFS($B$3:$B36,"Forge/Scrapwork buy",$C$3:$C36,C37))),1),0)-H36,"0")&amp;" more gold",IF(AND(OR(B37="Buy upgrade",B37="Forge/Scrapwork buy"),IFERROR(VLOOKUP(C37,Upgrades!$N$4:$T$47,2,FALSE),0)="scraps",J36&lt;IFERROR(FLOOR(IFERROR(VLOOKUP(C37,Upgrades!$N$4:$T$47,3,FALSE),0)*(IFERROR(VLOOKUP(C37,Upgrades!$N$4:$T$47,4,FALSE),0)^(COUNTIFS($B$3:$B36,"Buy upgrade",$C$3:$C36,C37)+COUNTIFS($B$3:$B36,"Hire hunter",$C$3:$C36,C37)+COUNTIFS($B$3:$B36,"Forge/Scrapwork buy",$C$3:$C36,C37))),1),0)),"Can't — need "&amp;TEXT(IFERROR(FLOOR(IFERROR(VLOOKUP(C37,Upgrades!$N$4:$T$47,3,FALSE),0)*(IFERROR(VLOOKUP(C37,Upgrades!$N$4:$T$47,4,FALSE),0)^(COUNTIFS($B$3:$B36,"Buy upgrade",$C$3:$C36,C37)+COUNTIFS($B$3:$B36,"Hire hunter",$C$3:$C36,C37)+COUNTIFS($B$3:$B36,"Forge/Scrapwork buy",$C$3:$C36,C37))),1),0)-J36,"0")&amp;" more scraps",IF(AND(B37="Fight boss",E37="OK",(IF((((105/'Rules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Formulas'!B12)),"WIN — boss down, next Level unlocks",IF(AND(B37="Fight boss",E37="OK"),"LOSE — TTK "&amp;TEXT(IF((((105/'Rules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Formulas'!B20*SQRT(1+0.55*(AG36&gt;=1))),0)))),"0")&amp;"s &gt; patience "&amp;TEXT('Rules &amp; Formulas'!B12,"0")&amp;"s (leave resets HP)",IF(B37="Go AFK","AFK resolved (see AFK counted h)","Applied")))))))))</f>
        <v/>
      </c>
      <c r="G37" s="7">
        <f>IF(AND((E37="OK"),B37="Fight boss",(IF((((105/'Rules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Formulas'!B12),C37="Elder Thornpelt"),2,IF(AND((E37="OK"),B37="Fight boss",(IF((((105/'Rules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Formulas'!B12),C37="Ashfang Alpha"),3,G36))</f>
        <v/>
      </c>
      <c r="H37" s="7">
        <f>MAX(0,H36+IF(AND((E37="OK"),B37="Hunt"),(IF(B37="Hunt",(('Rules &amp; Formulas'!B4*N36*('Rules &amp; Formulas'!B5+O36)*IFERROR(VLOOKUP(C37,Monsters!$T$4:$AH$15,10,FALSE),0)*IFERROR(VLOOKUP(C37,Monsters!$T$4:$AH$15,9,FALSE),0))*'Rules &amp; Formulas'!B6)*IF(D37="",0,D37),0))*(IFERROR(VLOOKUP(C37,Monsters!$T$4:$AH$15,3,FALSE),0))*(1+0.1*AH36)+(IF(OR(B37&lt;&gt;"Hunt",IFERROR(VLOOKUP(C37,Monsters!$T$4:$AH$15,6,FALSE),0)=0),0,FLOOR((IF(B37="Hunt",(('Rules &amp; Formulas'!B4*N36*('Rules &amp; Formulas'!B5+O36)*IFERROR(VLOOKUP(C37,Monsters!$T$4:$AH$15,10,FALSE),0)*IFERROR(VLOOKUP(C37,Monsters!$T$4:$AH$15,9,FALSE),0))*'Rules &amp; Formulas'!B6)*IF(D37="",0,D37),0))/MAX(1,IFERROR(VLOOKUP(C37,Monsters!$T$4:$AH$15,6,FALSE),0)),1)))*(IFERROR(VLOOKUP(C37,Monsters!$T$4:$AH$15,7,FALSE),0))*0.5*(1+0.1*AH36),0)+IF(AND((E37="OK"),B37="Go AFK"),(IF(B37="Go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AFK",IF(D37="",0,D37),0),Z36/60)*60)),0))*(IFERROR(VLOOKUP(C37,Monsters!$T$4:$AH$15,3,FALSE),0))*(1+0.1*AH36)+(IF(OR(B37&lt;&gt;"Go AFK",IFERROR(VLOOKUP(C37,Monsters!$T$4:$AH$15,6,FALSE),0)=0),0,FLOOR((IF(B37="Go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AFK",IF(D37="",0,D37),0),Z36/60)*60)),0))/MAX(1,IFERROR(VLOOKUP(C37,Monsters!$T$4:$AH$15,6,FALSE),0)),1)))*(IFERROR(VLOOKUP(C37,Monsters!$T$4:$AH$15,7,FALSE),0))*0.5*(1+0.1*AH36),0)+IF(AND((E37="OK"),B37="Fight boss",(IF((((105/'Rules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Formulas'!B12)),IFERROR(VLOOKUP(C37,Monsters!$T$4:$AH$15,3,FALSE),0),0)-IF(AND((E37="OK"),OR(B37="Buy upgrade",B37="Forge/Scrapwork buy"),IFERROR(VLOOKUP(C37,Upgrades!$N$4:$T$47,2,FALSE),0)="gold"),IFERROR(FLOOR(IFERROR(VLOOKUP(C37,Upgrades!$N$4:$T$47,3,FALSE),0)*(IFERROR(VLOOKUP(C37,Upgrades!$N$4:$T$47,4,FALSE),0)^(COUNTIFS($B$3:$B36,"Buy upgrade",$C$3:$C36,C37)+COUNTIFS($B$3:$B36,"Hire hunter",$C$3:$C36,C37)+COUNTIFS($B$3:$B36,"Forge/Scrapwork buy",$C$3:$C36,C37))),1),0),0)-IF(AND((E37="OK"),B37="Hire hunter"),IF(C37="Briar",140,IF(C37="Quill",3650,IF(C37="Moss",4850,IF(C37="Ember",12200,0)))),0))</f>
        <v/>
      </c>
      <c r="I37" s="7">
        <f>IF(AND((E37="OK"),B37="Fight boss",(IF((((105/'Rules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Formulas'!B12)),0,MIN(IF(G36&lt;=1,120,IF(G36=2,280,600)),I36+IF(AND((E37="OK"),B37="Hunt"),((IF(B37="Hunt",(('Rules &amp; Formulas'!B4*N36*('Rules &amp; Formulas'!B5+O36)*IFERROR(VLOOKUP(C37,Monsters!$T$4:$AH$15,10,FALSE),0)*IFERROR(VLOOKUP(C37,Monsters!$T$4:$AH$15,9,FALSE),0))*'Rules &amp; Formulas'!B6)*IF(D37="",0,D37),0))*(IFERROR(VLOOKUP(C37,Monsters!$T$4:$AH$15,4,FALSE),0))+(IF(OR(B37&lt;&gt;"Hunt",IFERROR(VLOOKUP(C37,Monsters!$T$4:$AH$15,6,FALSE),0)=0),0,FLOOR((IF(B37="Hunt",(('Rules &amp; Formulas'!B4*N36*('Rules &amp; Formulas'!B5+O36)*IFERROR(VLOOKUP(C37,Monsters!$T$4:$AH$15,10,FALSE),0)*IFERROR(VLOOKUP(C37,Monsters!$T$4:$AH$15,9,FALSE),0))*'Rules &amp; Formulas'!B6)*IF(D37="",0,D37),0))/MAX(1,IFERROR(VLOOKUP(C37,Monsters!$T$4:$AH$15,6,FALSE),0)),1)))*(IFERROR(VLOOKUP(C37,Monsters!$T$4:$AH$15,7,FALSE),0))),0)+IF(AND((E37="OK"),B37="Go AFK"),((IF(B37="Go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AFK",IF(D37="",0,D37),0),Z36/60)*60)),0))*(IFERROR(VLOOKUP(C37,Monsters!$T$4:$AH$15,4,FALSE),0))+(IF(OR(B37&lt;&gt;"Go AFK",IFERROR(VLOOKUP(C37,Monsters!$T$4:$AH$15,6,FALSE),0)=0),0,FLOOR((IF(B37="Go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AFK",IF(D37="",0,D37),0),Z36/60)*60)),0))/MAX(1,IFERROR(VLOOKUP(C37,Monsters!$T$4:$AH$15,6,FALSE),0)),1)))*(IFERROR(VLOOKUP(C37,Monsters!$T$4:$AH$15,7,FALSE),0))),0)))</f>
        <v/>
      </c>
      <c r="J37" s="7">
        <f>MAX(0,J36+IF(AND((E37="OK"),B37="Hunt"),(IF(B37="Hunt",(('Rules &amp; Formulas'!B4*N36*('Rules &amp; Formulas'!B5+O36)*IFERROR(VLOOKUP(C37,Monsters!$T$4:$AH$15,10,FALSE),0)*IFERROR(VLOOKUP(C37,Monsters!$T$4:$AH$15,9,FALSE),0))*'Rules &amp; Formulas'!B6)*IF(D37="",0,D37),0))*(IFERROR(VLOOKUP(C37,Monsters!$T$4:$AH$15,5,FALSE),0)),0)+IF(AND((E37="OK"),B37="Go AFK"),(IF(B37="Go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AFK",IF(D37="",0,D37),0),Z36/60)*60)),0))*(IFERROR(VLOOKUP(C37,Monsters!$T$4:$AH$15,5,FALSE),0)),0)-IF(AND((E37="OK"),OR(B37="Buy upgrade",B37="Forge/Scrapwork buy"),IFERROR(VLOOKUP(C37,Upgrades!$N$4:$T$47,2,FALSE),0)="scraps"),IFERROR(FLOOR(IFERROR(VLOOKUP(C37,Upgrades!$N$4:$T$47,3,FALSE),0)*(IFERROR(VLOOKUP(C37,Upgrades!$N$4:$T$47,4,FALSE),0)^(COUNTIFS($B$3:$B36,"Buy upgrade",$C$3:$C36,C37)+COUNTIFS($B$3:$B36,"Hire hunter",$C$3:$C36,C37)+COUNTIFS($B$3:$B36,"Forge/Scrapwork buy",$C$3:$C36,C37))),1),0),0))</f>
        <v/>
      </c>
      <c r="K37" s="7">
        <f>MAX(0,K36+IF(AND((E37="OK"),B37="Hunt"),IF(C37="Thornpelt Bear",(IF(B37="Hunt",(('Rules &amp; Formulas'!B4*N36*('Rules &amp; Formulas'!B5+O36)*IFERROR(VLOOKUP(C37,Monsters!$T$4:$AH$15,10,FALSE),0)*IFERROR(VLOOKUP(C37,Monsters!$T$4:$AH$15,9,FALSE),0))*'Rules &amp; Formulas'!B6)*IF(D37="",0,D37),0))*0.12,0),0)+IF(AND((E37="OK"),B37="Go AFK"),IF(C37="Thornpelt Bear",(IF(B37="Go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AFK",IF(D37="",0,D37),0),Z36/60)*60)),0))*0.12,0),0))</f>
        <v/>
      </c>
      <c r="L37" s="7">
        <f>MAX(0,L36+IF(AND((E37="OK"),B37="Hunt"),IF(C37="Dire Thornpelt",(IF(B37="Hunt",(('Rules &amp; Formulas'!B4*N36*('Rules &amp; Formulas'!B5+O36)*IFERROR(VLOOKUP(C37,Monsters!$T$4:$AH$15,10,FALSE),0)*IFERROR(VLOOKUP(C37,Monsters!$T$4:$AH$15,9,FALSE),0))*'Rules &amp; Formulas'!B6)*IF(D37="",0,D37),0))*0.1,0),0)+IF(AND((E37="OK"),B37="Go AFK"),IF(C37="Dire Thornpelt",(IF(B37="Go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AFK",IF(D37="",0,D37),0),Z36/60)*60)),0))*0.1,0),0))</f>
        <v/>
      </c>
      <c r="M37" s="7">
        <f>IF(AND((E37="OK"),B37="Go AFK"),MAX(0,MIN(('Rules &amp; Formulas'!B15+25*AJ36),M36+('Rules &amp; Formulas'!B14+0.4*AJ36)*(MIN(IF(B37="Go AFK",IF(D37="",0,D37),0),Z36/60)*60))-(IF(B37="Go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AFK",IF(D37="",0,D37),0),Z36/60)*60)),0))*(IF((IFERROR(VLOOKUP(C37,Monsters!$T$4:$AH$15,8,FALSE),0))=0,0.35,IFERROR(VLOOKUP(C37,Monsters!$T$4:$AH$15,8,FALSE),0))/(1+0.08*AK36))),MIN(('Rules &amp; Formulas'!B15+25*AJ37),M36))</f>
        <v/>
      </c>
      <c r="N37" s="7">
        <f>(1+0.08+0.12*AA37+0.12*AB37+0.16*AC37)</f>
        <v/>
      </c>
      <c r="O37" s="7">
        <f>((AD37&gt;=1)*1*(1+0.3*AE37))</f>
        <v/>
      </c>
      <c r="P37" s="7">
        <f>IF(OR(B37="Hunt",B37="Go AFK"),(('Rules &amp; Formulas'!B4*N36*('Rules &amp; Formulas'!B5+O36)*IFERROR(VLOOKUP(C37,Monsters!$T$4:$AH$15,10,FALSE),0)*IFERROR(VLOOKUP(C37,Monsters!$T$4:$AH$15,9,FALSE),0))*'Rules &amp; Formulas'!B6),"")</f>
        <v/>
      </c>
      <c r="Q37" s="7">
        <f>IF(OR(B37="Hunt",B37="Go AFK"),('Rules &amp; Formulas'!B4*N36*('Rules &amp; Formulas'!B5+O36)*IFERROR(VLOOKUP(C37,Monsters!$T$4:$AH$15,10,FALSE),0)*IFERROR(VLOOKUP(C37,Monsters!$T$4:$AH$15,9,FALSE),0)),"")</f>
        <v/>
      </c>
      <c r="R37" s="7">
        <f>IF(AND((E37="OK"),B37="Hunt"),IF(B37="Hunt",(('Rules &amp; Formulas'!B4*N36*('Rules &amp; Formulas'!B5+O36)*IFERROR(VLOOKUP(C37,Monsters!$T$4:$AH$15,10,FALSE),0)*IFERROR(VLOOKUP(C37,Monsters!$T$4:$AH$15,9,FALSE),0))*'Rules &amp; Formulas'!B6)*IF(D37="",0,D37),0),IF(AND((E37="OK"),B37="Go AFK"),IF(B37="Go AFK",MIN(IF((IF((IFERROR(VLOOKUP(C37,Monsters!$T$4:$AH$15,8,FALSE),0))=0,0.35,IFERROR(VLOOKUP(C37,Monsters!$T$4:$AH$15,8,FALSE),0))/(1+0.08*AK36))&lt;=0,999999,FLOOR(MIN(('Rules &amp; Formulas'!B15+25*AJ36),M36+('Rules &amp; Formulas'!B14+0.4*AJ36)*(MIN(IF(B37="Go AFK",IF(D37="",0,D37),0),Z36/60)*60))/(IF((IFERROR(VLOOKUP(C37,Monsters!$T$4:$AH$15,8,FALSE),0))=0,0.35,IFERROR(VLOOKUP(C37,Monsters!$T$4:$AH$15,8,FALSE),0))/(1+0.08*AK36)),1)),('Rules &amp; Formulas'!B4*N36*('Rules &amp; Formulas'!B5+O36)*IFERROR(VLOOKUP(C37,Monsters!$T$4:$AH$15,10,FALSE),0)*IFERROR(VLOOKUP(C37,Monsters!$T$4:$AH$15,9,FALSE),0))*(MIN(IF(B37="Go AFK",IF(D37="",0,D37),0),Z36/60)*60)),0),0))</f>
        <v/>
      </c>
      <c r="S37" s="7">
        <f>(105/'Rules &amp; Formulas'!B10)*'Rules &amp; Formulas'!B11</f>
        <v/>
      </c>
      <c r="T37" s="7">
        <f>IF(AD36&gt;=1,(MAX(1,ROUND('Rules &amp; Formulas'!B18*(1+0.3*AE36)*(1+0.4*AF36),0)))*(1000/'Rules &amp; Formulas'!B19)*MIN(0.95,'Rules &amp; Formulas'!B20*SQRT(1+0.55*(AG36&gt;=1))),0)</f>
        <v/>
      </c>
      <c r="U37" s="7">
        <f>S37+T37</f>
        <v/>
      </c>
      <c r="V37" s="7">
        <f>IF(I36&gt;=IF((IFERROR(VLOOKUP(C37,Monsters!$T$4:$AH$15,15,FALSE),0))=0,120,IFERROR(VLOOKUP(C37,Monsters!$T$4:$AH$15,15,FALSE),0)),"YES","no")</f>
        <v/>
      </c>
      <c r="W37" s="7">
        <f>IF(AND(B37="Fight boss",E37="OK"),IF((((105/'Rules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Formulas'!B20*SQRT(1+0.55*(AG36&gt;=1))),0)))),"")</f>
        <v/>
      </c>
      <c r="X37" s="7">
        <f>IF(AND(B37="Fight boss",E37="OK"),IF((IF((((105/'Rules &amp; Formulas'!B10)*'Rules &amp; Formulas'!B11+IF(AD36&gt;=1,(MAX(1,ROUND('Rules &amp; Formulas'!B18*(1+0.3*AE36)*(1+0.4*AF36),0)))*(1000/'Rules &amp; Formulas'!B19)*MIN(0.95,'Rules &amp; Formulas'!B20*SQRT(1+0.55*(AG36&gt;=1))),0)))&lt;=0,9999,(IFERROR(VLOOKUP(C37,Monsters!$T$4:$AH$15,2,FALSE),0))/(((105/'Rules &amp; Formulas'!B10)*'Rules &amp; Formulas'!B11+IF(AD36&gt;=1,(MAX(1,ROUND('Rules &amp; Formulas'!B18*(1+0.3*AE36)*(1+0.4*AF36),0)))*(1000/'Rules &amp; Formulas'!B19)*MIN(0.95,'Rules &amp; Formulas'!B20*SQRT(1+0.55*(AG36&gt;=1))),0))))&lt;='Rules &amp; Formulas'!B12),"WIN","LOSE"),"")</f>
        <v/>
      </c>
      <c r="Y37" s="7">
        <f>IF(B37="Go AFK",MIN(IF(B37="Go AFK",IF(D37="",0,D37),0),Z36/60),"")</f>
        <v/>
      </c>
      <c r="Z37" s="7">
        <f>('Rules &amp; Formulas'!B13+30*AI37)</f>
        <v/>
      </c>
      <c r="AA37">
        <f>COUNTIFS($B$3:$B37,"Buy upgrade",$C$3:$C37,"Idle Power")</f>
        <v/>
      </c>
      <c r="AB37">
        <f>COUNTIFS($B$3:$B37,"Buy upgrade",$C$3:$C37,"Iron Blade")</f>
        <v/>
      </c>
      <c r="AC37">
        <f>COUNTIFS($B$3:$B37,"Buy upgrade",$C$3:$C37,"Steel Blade")</f>
        <v/>
      </c>
      <c r="AD37">
        <f>COUNTIFS($B$3:$B37,"Hire hunter",$C$3:$C37,"Briar")+COUNTIFS($B$3:$B37,"Buy upgrade",$C$3:$C37,"Hire Briar")</f>
        <v/>
      </c>
      <c r="AE37">
        <f>COUNTIFS($B$3:$B37,"Buy upgrade",$C$3:$C37,"Hunter Power")</f>
        <v/>
      </c>
      <c r="AF37">
        <f>COUNTIFS($B$3:$B37,"Buy upgrade",$C$3:$C37,"Bigger Hits")</f>
        <v/>
      </c>
      <c r="AG37">
        <f>COUNTIFS($B$3:$B37,"Buy upgrade",$C$3:$C37,"Swift Walk")</f>
        <v/>
      </c>
      <c r="AH37">
        <f>COUNTIFS($B$3:$B37,"Buy upgrade",$C$3:$C37,"Loot Luck")</f>
        <v/>
      </c>
      <c r="AI37">
        <f>COUNTIFS($B$3:$B37,"Buy upgrade",$C$3:$C37,"Offline Cap")</f>
        <v/>
      </c>
      <c r="AJ37">
        <f>COUNTIFS($B$3:$B37,"Buy upgrade",$C$3:$C37,"Bigger Food Stock")</f>
        <v/>
      </c>
      <c r="AK37">
        <f>COUNTIFS($B$3:$B37,"Buy upgrade",$C$3:$C37,"Food Efficiency")</f>
        <v/>
      </c>
    </row>
    <row r="38">
      <c r="A38" t="n">
        <v>36</v>
      </c>
      <c r="B38" s="6" t="n"/>
      <c r="C38" s="6" t="n"/>
      <c r="D38" s="6" t="n"/>
      <c r="E38" s="7">
        <f>IF(B38="","",IF(OR(B38="Hunt",B38="Go AFK"),IF(C38="","Can't","OK"),IF(B38="Fight boss",IF(I37&lt;IF((IFERROR(VLOOKUP(C38,Monsters!$T$4:$AH$15,15,FALSE),0))=0,120,IFERROR(VLOOKUP(C38,Monsters!$T$4:$AH$15,15,FALSE),0)),"Can't","OK"),IF(B38="Hire hunter",IF(AND(C38="Briar",AD37&gt;=1),"Can't",IF(H37&lt;IF(C38="Briar",140,IF(C38="Quill",3650,IF(C38="Moss",4850,IF(C38="Ember",12200,0)))),"Can't","OK")),IF(OR(B38="Buy upgrade",B38="Forge/Scrapwork buy"),IF(IFERROR(VLOOKUP(C38,Upgrades!$N$4:$T$47,2,FALSE),0)="points","Can't",IF(IFERROR(VLOOKUP(C38,Upgrades!$N$4:$T$47,2,FALSE),0)="gold",IF(H37&lt;IFERROR(FLOOR(IFERROR(VLOOKUP(C38,Upgrades!$N$4:$T$47,3,FALSE),0)*(IFERROR(VLOOKUP(C38,Upgrades!$N$4:$T$47,4,FALSE),0)^(COUNTIFS($B$3:$B37,"Buy upgrade",$C$3:$C37,C38)+COUNTIFS($B$3:$B37,"Hire hunter",$C$3:$C37,C38)+COUNTIFS($B$3:$B37,"Forge/Scrapwork buy",$C$3:$C37,C38))),1),0),"Can't","OK"),IF(IFERROR(VLOOKUP(C38,Upgrades!$N$4:$T$47,2,FALSE),0)="scraps",IF(J37&lt;IFERROR(FLOOR(IFERROR(VLOOKUP(C38,Upgrades!$N$4:$T$47,3,FALSE),0)*(IFERROR(VLOOKUP(C38,Upgrades!$N$4:$T$47,4,FALSE),0)^(COUNTIFS($B$3:$B37,"Buy upgrade",$C$3:$C37,C38)+COUNTIFS($B$3:$B37,"Hire hunter",$C$3:$C37,C38)+COUNTIFS($B$3:$B37,"Forge/Scrapwork buy",$C$3:$C37,C38))),1),0),"Can't","OK"),IF(IFERROR(VLOOKUP(C38,Upgrades!$N$4:$T$47,2,FALSE),0)="mats","Can't","OK")))),"Check")))))</f>
        <v/>
      </c>
      <c r="F38" s="7">
        <f>IF(B38="","",IF(AND(B38="Fight boss",I37&lt;IF((IFERROR(VLOOKUP(C38,Monsters!$T$4:$AH$15,15,FALSE),0))=0,120,IFERROR(VLOOKUP(C38,Monsters!$T$4:$AH$15,15,FALSE),0))),"Can't — need "&amp;TEXT(IF((IFERROR(VLOOKUP(C38,Monsters!$T$4:$AH$15,15,FALSE),0))=0,120,IFERROR(VLOOKUP(C38,Monsters!$T$4:$AH$15,15,FALSE),0))-I37,"0.0")&amp;" more Slayer points on the meter",IF(AND(B38="Hire hunter",C38="Briar",AD37&gt;=1),"Can't — already hired",IF(AND(B38="Hire hunter",H37&lt;IF(C38="Briar",140,IF(C38="Quill",3650,IF(C38="Moss",4850,IF(C38="Ember",12200,0))))),"Can't — need "&amp;TEXT(IF(C38="Briar",140,IF(C38="Quill",3650,IF(C38="Moss",4850,IF(C38="Ember",12200,0))))-H37,"0")&amp;" more gold",IF(AND(OR(B38="Buy upgrade",B38="Forge/Scrapwork buy"),IFERROR(VLOOKUP(C38,Upgrades!$N$4:$T$47,2,FALSE),0)="points"),"Can't — Sp-wallet spends not tracked here",IF(AND(OR(B38="Buy upgrade",B38="Forge/Scrapwork buy"),IFERROR(VLOOKUP(C38,Upgrades!$N$4:$T$47,2,FALSE),0)="gold",H37&lt;IFERROR(FLOOR(IFERROR(VLOOKUP(C38,Upgrades!$N$4:$T$47,3,FALSE),0)*(IFERROR(VLOOKUP(C38,Upgrades!$N$4:$T$47,4,FALSE),0)^(COUNTIFS($B$3:$B37,"Buy upgrade",$C$3:$C37,C38)+COUNTIFS($B$3:$B37,"Hire hunter",$C$3:$C37,C38)+COUNTIFS($B$3:$B37,"Forge/Scrapwork buy",$C$3:$C37,C38))),1),0)),"Can't — need "&amp;TEXT(IFERROR(FLOOR(IFERROR(VLOOKUP(C38,Upgrades!$N$4:$T$47,3,FALSE),0)*(IFERROR(VLOOKUP(C38,Upgrades!$N$4:$T$47,4,FALSE),0)^(COUNTIFS($B$3:$B37,"Buy upgrade",$C$3:$C37,C38)+COUNTIFS($B$3:$B37,"Hire hunter",$C$3:$C37,C38)+COUNTIFS($B$3:$B37,"Forge/Scrapwork buy",$C$3:$C37,C38))),1),0)-H37,"0")&amp;" more gold",IF(AND(OR(B38="Buy upgrade",B38="Forge/Scrapwork buy"),IFERROR(VLOOKUP(C38,Upgrades!$N$4:$T$47,2,FALSE),0)="scraps",J37&lt;IFERROR(FLOOR(IFERROR(VLOOKUP(C38,Upgrades!$N$4:$T$47,3,FALSE),0)*(IFERROR(VLOOKUP(C38,Upgrades!$N$4:$T$47,4,FALSE),0)^(COUNTIFS($B$3:$B37,"Buy upgrade",$C$3:$C37,C38)+COUNTIFS($B$3:$B37,"Hire hunter",$C$3:$C37,C38)+COUNTIFS($B$3:$B37,"Forge/Scrapwork buy",$C$3:$C37,C38))),1),0)),"Can't — need "&amp;TEXT(IFERROR(FLOOR(IFERROR(VLOOKUP(C38,Upgrades!$N$4:$T$47,3,FALSE),0)*(IFERROR(VLOOKUP(C38,Upgrades!$N$4:$T$47,4,FALSE),0)^(COUNTIFS($B$3:$B37,"Buy upgrade",$C$3:$C37,C38)+COUNTIFS($B$3:$B37,"Hire hunter",$C$3:$C37,C38)+COUNTIFS($B$3:$B37,"Forge/Scrapwork buy",$C$3:$C37,C38))),1),0)-J37,"0")&amp;" more scraps",IF(AND(B38="Fight boss",E38="OK",(IF((((105/'Rules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Formulas'!B12)),"WIN — boss down, next Level unlocks",IF(AND(B38="Fight boss",E38="OK"),"LOSE — TTK "&amp;TEXT(IF((((105/'Rules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Formulas'!B20*SQRT(1+0.55*(AG37&gt;=1))),0)))),"0")&amp;"s &gt; patience "&amp;TEXT('Rules &amp; Formulas'!B12,"0")&amp;"s (leave resets HP)",IF(B38="Go AFK","AFK resolved (see AFK counted h)","Applied")))))))))</f>
        <v/>
      </c>
      <c r="G38" s="7">
        <f>IF(AND((E38="OK"),B38="Fight boss",(IF((((105/'Rules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Formulas'!B12),C38="Elder Thornpelt"),2,IF(AND((E38="OK"),B38="Fight boss",(IF((((105/'Rules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Formulas'!B12),C38="Ashfang Alpha"),3,G37))</f>
        <v/>
      </c>
      <c r="H38" s="7">
        <f>MAX(0,H37+IF(AND((E38="OK"),B38="Hunt"),(IF(B38="Hunt",(('Rules &amp; Formulas'!B4*N37*('Rules &amp; Formulas'!B5+O37)*IFERROR(VLOOKUP(C38,Monsters!$T$4:$AH$15,10,FALSE),0)*IFERROR(VLOOKUP(C38,Monsters!$T$4:$AH$15,9,FALSE),0))*'Rules &amp; Formulas'!B6)*IF(D38="",0,D38),0))*(IFERROR(VLOOKUP(C38,Monsters!$T$4:$AH$15,3,FALSE),0))*(1+0.1*AH37)+(IF(OR(B38&lt;&gt;"Hunt",IFERROR(VLOOKUP(C38,Monsters!$T$4:$AH$15,6,FALSE),0)=0),0,FLOOR((IF(B38="Hunt",(('Rules &amp; Formulas'!B4*N37*('Rules &amp; Formulas'!B5+O37)*IFERROR(VLOOKUP(C38,Monsters!$T$4:$AH$15,10,FALSE),0)*IFERROR(VLOOKUP(C38,Monsters!$T$4:$AH$15,9,FALSE),0))*'Rules &amp; Formulas'!B6)*IF(D38="",0,D38),0))/MAX(1,IFERROR(VLOOKUP(C38,Monsters!$T$4:$AH$15,6,FALSE),0)),1)))*(IFERROR(VLOOKUP(C38,Monsters!$T$4:$AH$15,7,FALSE),0))*0.5*(1+0.1*AH37),0)+IF(AND((E38="OK"),B38="Go AFK"),(IF(B38="Go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AFK",IF(D38="",0,D38),0),Z37/60)*60)),0))*(IFERROR(VLOOKUP(C38,Monsters!$T$4:$AH$15,3,FALSE),0))*(1+0.1*AH37)+(IF(OR(B38&lt;&gt;"Go AFK",IFERROR(VLOOKUP(C38,Monsters!$T$4:$AH$15,6,FALSE),0)=0),0,FLOOR((IF(B38="Go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AFK",IF(D38="",0,D38),0),Z37/60)*60)),0))/MAX(1,IFERROR(VLOOKUP(C38,Monsters!$T$4:$AH$15,6,FALSE),0)),1)))*(IFERROR(VLOOKUP(C38,Monsters!$T$4:$AH$15,7,FALSE),0))*0.5*(1+0.1*AH37),0)+IF(AND((E38="OK"),B38="Fight boss",(IF((((105/'Rules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Formulas'!B12)),IFERROR(VLOOKUP(C38,Monsters!$T$4:$AH$15,3,FALSE),0),0)-IF(AND((E38="OK"),OR(B38="Buy upgrade",B38="Forge/Scrapwork buy"),IFERROR(VLOOKUP(C38,Upgrades!$N$4:$T$47,2,FALSE),0)="gold"),IFERROR(FLOOR(IFERROR(VLOOKUP(C38,Upgrades!$N$4:$T$47,3,FALSE),0)*(IFERROR(VLOOKUP(C38,Upgrades!$N$4:$T$47,4,FALSE),0)^(COUNTIFS($B$3:$B37,"Buy upgrade",$C$3:$C37,C38)+COUNTIFS($B$3:$B37,"Hire hunter",$C$3:$C37,C38)+COUNTIFS($B$3:$B37,"Forge/Scrapwork buy",$C$3:$C37,C38))),1),0),0)-IF(AND((E38="OK"),B38="Hire hunter"),IF(C38="Briar",140,IF(C38="Quill",3650,IF(C38="Moss",4850,IF(C38="Ember",12200,0)))),0))</f>
        <v/>
      </c>
      <c r="I38" s="7">
        <f>IF(AND((E38="OK"),B38="Fight boss",(IF((((105/'Rules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Formulas'!B12)),0,MIN(IF(G37&lt;=1,120,IF(G37=2,280,600)),I37+IF(AND((E38="OK"),B38="Hunt"),((IF(B38="Hunt",(('Rules &amp; Formulas'!B4*N37*('Rules &amp; Formulas'!B5+O37)*IFERROR(VLOOKUP(C38,Monsters!$T$4:$AH$15,10,FALSE),0)*IFERROR(VLOOKUP(C38,Monsters!$T$4:$AH$15,9,FALSE),0))*'Rules &amp; Formulas'!B6)*IF(D38="",0,D38),0))*(IFERROR(VLOOKUP(C38,Monsters!$T$4:$AH$15,4,FALSE),0))+(IF(OR(B38&lt;&gt;"Hunt",IFERROR(VLOOKUP(C38,Monsters!$T$4:$AH$15,6,FALSE),0)=0),0,FLOOR((IF(B38="Hunt",(('Rules &amp; Formulas'!B4*N37*('Rules &amp; Formulas'!B5+O37)*IFERROR(VLOOKUP(C38,Monsters!$T$4:$AH$15,10,FALSE),0)*IFERROR(VLOOKUP(C38,Monsters!$T$4:$AH$15,9,FALSE),0))*'Rules &amp; Formulas'!B6)*IF(D38="",0,D38),0))/MAX(1,IFERROR(VLOOKUP(C38,Monsters!$T$4:$AH$15,6,FALSE),0)),1)))*(IFERROR(VLOOKUP(C38,Monsters!$T$4:$AH$15,7,FALSE),0))),0)+IF(AND((E38="OK"),B38="Go AFK"),((IF(B38="Go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AFK",IF(D38="",0,D38),0),Z37/60)*60)),0))*(IFERROR(VLOOKUP(C38,Monsters!$T$4:$AH$15,4,FALSE),0))+(IF(OR(B38&lt;&gt;"Go AFK",IFERROR(VLOOKUP(C38,Monsters!$T$4:$AH$15,6,FALSE),0)=0),0,FLOOR((IF(B38="Go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AFK",IF(D38="",0,D38),0),Z37/60)*60)),0))/MAX(1,IFERROR(VLOOKUP(C38,Monsters!$T$4:$AH$15,6,FALSE),0)),1)))*(IFERROR(VLOOKUP(C38,Monsters!$T$4:$AH$15,7,FALSE),0))),0)))</f>
        <v/>
      </c>
      <c r="J38" s="7">
        <f>MAX(0,J37+IF(AND((E38="OK"),B38="Hunt"),(IF(B38="Hunt",(('Rules &amp; Formulas'!B4*N37*('Rules &amp; Formulas'!B5+O37)*IFERROR(VLOOKUP(C38,Monsters!$T$4:$AH$15,10,FALSE),0)*IFERROR(VLOOKUP(C38,Monsters!$T$4:$AH$15,9,FALSE),0))*'Rules &amp; Formulas'!B6)*IF(D38="",0,D38),0))*(IFERROR(VLOOKUP(C38,Monsters!$T$4:$AH$15,5,FALSE),0)),0)+IF(AND((E38="OK"),B38="Go AFK"),(IF(B38="Go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AFK",IF(D38="",0,D38),0),Z37/60)*60)),0))*(IFERROR(VLOOKUP(C38,Monsters!$T$4:$AH$15,5,FALSE),0)),0)-IF(AND((E38="OK"),OR(B38="Buy upgrade",B38="Forge/Scrapwork buy"),IFERROR(VLOOKUP(C38,Upgrades!$N$4:$T$47,2,FALSE),0)="scraps"),IFERROR(FLOOR(IFERROR(VLOOKUP(C38,Upgrades!$N$4:$T$47,3,FALSE),0)*(IFERROR(VLOOKUP(C38,Upgrades!$N$4:$T$47,4,FALSE),0)^(COUNTIFS($B$3:$B37,"Buy upgrade",$C$3:$C37,C38)+COUNTIFS($B$3:$B37,"Hire hunter",$C$3:$C37,C38)+COUNTIFS($B$3:$B37,"Forge/Scrapwork buy",$C$3:$C37,C38))),1),0),0))</f>
        <v/>
      </c>
      <c r="K38" s="7">
        <f>MAX(0,K37+IF(AND((E38="OK"),B38="Hunt"),IF(C38="Thornpelt Bear",(IF(B38="Hunt",(('Rules &amp; Formulas'!B4*N37*('Rules &amp; Formulas'!B5+O37)*IFERROR(VLOOKUP(C38,Monsters!$T$4:$AH$15,10,FALSE),0)*IFERROR(VLOOKUP(C38,Monsters!$T$4:$AH$15,9,FALSE),0))*'Rules &amp; Formulas'!B6)*IF(D38="",0,D38),0))*0.12,0),0)+IF(AND((E38="OK"),B38="Go AFK"),IF(C38="Thornpelt Bear",(IF(B38="Go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AFK",IF(D38="",0,D38),0),Z37/60)*60)),0))*0.12,0),0))</f>
        <v/>
      </c>
      <c r="L38" s="7">
        <f>MAX(0,L37+IF(AND((E38="OK"),B38="Hunt"),IF(C38="Dire Thornpelt",(IF(B38="Hunt",(('Rules &amp; Formulas'!B4*N37*('Rules &amp; Formulas'!B5+O37)*IFERROR(VLOOKUP(C38,Monsters!$T$4:$AH$15,10,FALSE),0)*IFERROR(VLOOKUP(C38,Monsters!$T$4:$AH$15,9,FALSE),0))*'Rules &amp; Formulas'!B6)*IF(D38="",0,D38),0))*0.1,0),0)+IF(AND((E38="OK"),B38="Go AFK"),IF(C38="Dire Thornpelt",(IF(B38="Go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AFK",IF(D38="",0,D38),0),Z37/60)*60)),0))*0.1,0),0))</f>
        <v/>
      </c>
      <c r="M38" s="7">
        <f>IF(AND((E38="OK"),B38="Go AFK"),MAX(0,MIN(('Rules &amp; Formulas'!B15+25*AJ37),M37+('Rules &amp; Formulas'!B14+0.4*AJ37)*(MIN(IF(B38="Go AFK",IF(D38="",0,D38),0),Z37/60)*60))-(IF(B38="Go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AFK",IF(D38="",0,D38),0),Z37/60)*60)),0))*(IF((IFERROR(VLOOKUP(C38,Monsters!$T$4:$AH$15,8,FALSE),0))=0,0.35,IFERROR(VLOOKUP(C38,Monsters!$T$4:$AH$15,8,FALSE),0))/(1+0.08*AK37))),MIN(('Rules &amp; Formulas'!B15+25*AJ38),M37))</f>
        <v/>
      </c>
      <c r="N38" s="7">
        <f>(1+0.08+0.12*AA38+0.12*AB38+0.16*AC38)</f>
        <v/>
      </c>
      <c r="O38" s="7">
        <f>((AD38&gt;=1)*1*(1+0.3*AE38))</f>
        <v/>
      </c>
      <c r="P38" s="7">
        <f>IF(OR(B38="Hunt",B38="Go AFK"),(('Rules &amp; Formulas'!B4*N37*('Rules &amp; Formulas'!B5+O37)*IFERROR(VLOOKUP(C38,Monsters!$T$4:$AH$15,10,FALSE),0)*IFERROR(VLOOKUP(C38,Monsters!$T$4:$AH$15,9,FALSE),0))*'Rules &amp; Formulas'!B6),"")</f>
        <v/>
      </c>
      <c r="Q38" s="7">
        <f>IF(OR(B38="Hunt",B38="Go AFK"),('Rules &amp; Formulas'!B4*N37*('Rules &amp; Formulas'!B5+O37)*IFERROR(VLOOKUP(C38,Monsters!$T$4:$AH$15,10,FALSE),0)*IFERROR(VLOOKUP(C38,Monsters!$T$4:$AH$15,9,FALSE),0)),"")</f>
        <v/>
      </c>
      <c r="R38" s="7">
        <f>IF(AND((E38="OK"),B38="Hunt"),IF(B38="Hunt",(('Rules &amp; Formulas'!B4*N37*('Rules &amp; Formulas'!B5+O37)*IFERROR(VLOOKUP(C38,Monsters!$T$4:$AH$15,10,FALSE),0)*IFERROR(VLOOKUP(C38,Monsters!$T$4:$AH$15,9,FALSE),0))*'Rules &amp; Formulas'!B6)*IF(D38="",0,D38),0),IF(AND((E38="OK"),B38="Go AFK"),IF(B38="Go AFK",MIN(IF((IF((IFERROR(VLOOKUP(C38,Monsters!$T$4:$AH$15,8,FALSE),0))=0,0.35,IFERROR(VLOOKUP(C38,Monsters!$T$4:$AH$15,8,FALSE),0))/(1+0.08*AK37))&lt;=0,999999,FLOOR(MIN(('Rules &amp; Formulas'!B15+25*AJ37),M37+('Rules &amp; Formulas'!B14+0.4*AJ37)*(MIN(IF(B38="Go AFK",IF(D38="",0,D38),0),Z37/60)*60))/(IF((IFERROR(VLOOKUP(C38,Monsters!$T$4:$AH$15,8,FALSE),0))=0,0.35,IFERROR(VLOOKUP(C38,Monsters!$T$4:$AH$15,8,FALSE),0))/(1+0.08*AK37)),1)),('Rules &amp; Formulas'!B4*N37*('Rules &amp; Formulas'!B5+O37)*IFERROR(VLOOKUP(C38,Monsters!$T$4:$AH$15,10,FALSE),0)*IFERROR(VLOOKUP(C38,Monsters!$T$4:$AH$15,9,FALSE),0))*(MIN(IF(B38="Go AFK",IF(D38="",0,D38),0),Z37/60)*60)),0),0))</f>
        <v/>
      </c>
      <c r="S38" s="7">
        <f>(105/'Rules &amp; Formulas'!B10)*'Rules &amp; Formulas'!B11</f>
        <v/>
      </c>
      <c r="T38" s="7">
        <f>IF(AD37&gt;=1,(MAX(1,ROUND('Rules &amp; Formulas'!B18*(1+0.3*AE37)*(1+0.4*AF37),0)))*(1000/'Rules &amp; Formulas'!B19)*MIN(0.95,'Rules &amp; Formulas'!B20*SQRT(1+0.55*(AG37&gt;=1))),0)</f>
        <v/>
      </c>
      <c r="U38" s="7">
        <f>S38+T38</f>
        <v/>
      </c>
      <c r="V38" s="7">
        <f>IF(I37&gt;=IF((IFERROR(VLOOKUP(C38,Monsters!$T$4:$AH$15,15,FALSE),0))=0,120,IFERROR(VLOOKUP(C38,Monsters!$T$4:$AH$15,15,FALSE),0)),"YES","no")</f>
        <v/>
      </c>
      <c r="W38" s="7">
        <f>IF(AND(B38="Fight boss",E38="OK"),IF((((105/'Rules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Formulas'!B20*SQRT(1+0.55*(AG37&gt;=1))),0)))),"")</f>
        <v/>
      </c>
      <c r="X38" s="7">
        <f>IF(AND(B38="Fight boss",E38="OK"),IF((IF((((105/'Rules &amp; Formulas'!B10)*'Rules &amp; Formulas'!B11+IF(AD37&gt;=1,(MAX(1,ROUND('Rules &amp; Formulas'!B18*(1+0.3*AE37)*(1+0.4*AF37),0)))*(1000/'Rules &amp; Formulas'!B19)*MIN(0.95,'Rules &amp; Formulas'!B20*SQRT(1+0.55*(AG37&gt;=1))),0)))&lt;=0,9999,(IFERROR(VLOOKUP(C38,Monsters!$T$4:$AH$15,2,FALSE),0))/(((105/'Rules &amp; Formulas'!B10)*'Rules &amp; Formulas'!B11+IF(AD37&gt;=1,(MAX(1,ROUND('Rules &amp; Formulas'!B18*(1+0.3*AE37)*(1+0.4*AF37),0)))*(1000/'Rules &amp; Formulas'!B19)*MIN(0.95,'Rules &amp; Formulas'!B20*SQRT(1+0.55*(AG37&gt;=1))),0))))&lt;='Rules &amp; Formulas'!B12),"WIN","LOSE"),"")</f>
        <v/>
      </c>
      <c r="Y38" s="7">
        <f>IF(B38="Go AFK",MIN(IF(B38="Go AFK",IF(D38="",0,D38),0),Z37/60),"")</f>
        <v/>
      </c>
      <c r="Z38" s="7">
        <f>('Rules &amp; Formulas'!B13+30*AI38)</f>
        <v/>
      </c>
      <c r="AA38">
        <f>COUNTIFS($B$3:$B38,"Buy upgrade",$C$3:$C38,"Idle Power")</f>
        <v/>
      </c>
      <c r="AB38">
        <f>COUNTIFS($B$3:$B38,"Buy upgrade",$C$3:$C38,"Iron Blade")</f>
        <v/>
      </c>
      <c r="AC38">
        <f>COUNTIFS($B$3:$B38,"Buy upgrade",$C$3:$C38,"Steel Blade")</f>
        <v/>
      </c>
      <c r="AD38">
        <f>COUNTIFS($B$3:$B38,"Hire hunter",$C$3:$C38,"Briar")+COUNTIFS($B$3:$B38,"Buy upgrade",$C$3:$C38,"Hire Briar")</f>
        <v/>
      </c>
      <c r="AE38">
        <f>COUNTIFS($B$3:$B38,"Buy upgrade",$C$3:$C38,"Hunter Power")</f>
        <v/>
      </c>
      <c r="AF38">
        <f>COUNTIFS($B$3:$B38,"Buy upgrade",$C$3:$C38,"Bigger Hits")</f>
        <v/>
      </c>
      <c r="AG38">
        <f>COUNTIFS($B$3:$B38,"Buy upgrade",$C$3:$C38,"Swift Walk")</f>
        <v/>
      </c>
      <c r="AH38">
        <f>COUNTIFS($B$3:$B38,"Buy upgrade",$C$3:$C38,"Loot Luck")</f>
        <v/>
      </c>
      <c r="AI38">
        <f>COUNTIFS($B$3:$B38,"Buy upgrade",$C$3:$C38,"Offline Cap")</f>
        <v/>
      </c>
      <c r="AJ38">
        <f>COUNTIFS($B$3:$B38,"Buy upgrade",$C$3:$C38,"Bigger Food Stock")</f>
        <v/>
      </c>
      <c r="AK38">
        <f>COUNTIFS($B$3:$B38,"Buy upgrade",$C$3:$C38,"Food Efficiency")</f>
        <v/>
      </c>
    </row>
    <row r="39">
      <c r="A39" t="n">
        <v>37</v>
      </c>
      <c r="B39" s="6" t="n"/>
      <c r="C39" s="6" t="n"/>
      <c r="D39" s="6" t="n"/>
      <c r="E39" s="7">
        <f>IF(B39="","",IF(OR(B39="Hunt",B39="Go AFK"),IF(C39="","Can't","OK"),IF(B39="Fight boss",IF(I38&lt;IF((IFERROR(VLOOKUP(C39,Monsters!$T$4:$AH$15,15,FALSE),0))=0,120,IFERROR(VLOOKUP(C39,Monsters!$T$4:$AH$15,15,FALSE),0)),"Can't","OK"),IF(B39="Hire hunter",IF(AND(C39="Briar",AD38&gt;=1),"Can't",IF(H38&lt;IF(C39="Briar",140,IF(C39="Quill",3650,IF(C39="Moss",4850,IF(C39="Ember",12200,0)))),"Can't","OK")),IF(OR(B39="Buy upgrade",B39="Forge/Scrapwork buy"),IF(IFERROR(VLOOKUP(C39,Upgrades!$N$4:$T$47,2,FALSE),0)="points","Can't",IF(IFERROR(VLOOKUP(C39,Upgrades!$N$4:$T$47,2,FALSE),0)="gold",IF(H38&lt;IFERROR(FLOOR(IFERROR(VLOOKUP(C39,Upgrades!$N$4:$T$47,3,FALSE),0)*(IFERROR(VLOOKUP(C39,Upgrades!$N$4:$T$47,4,FALSE),0)^(COUNTIFS($B$3:$B38,"Buy upgrade",$C$3:$C38,C39)+COUNTIFS($B$3:$B38,"Hire hunter",$C$3:$C38,C39)+COUNTIFS($B$3:$B38,"Forge/Scrapwork buy",$C$3:$C38,C39))),1),0),"Can't","OK"),IF(IFERROR(VLOOKUP(C39,Upgrades!$N$4:$T$47,2,FALSE),0)="scraps",IF(J38&lt;IFERROR(FLOOR(IFERROR(VLOOKUP(C39,Upgrades!$N$4:$T$47,3,FALSE),0)*(IFERROR(VLOOKUP(C39,Upgrades!$N$4:$T$47,4,FALSE),0)^(COUNTIFS($B$3:$B38,"Buy upgrade",$C$3:$C38,C39)+COUNTIFS($B$3:$B38,"Hire hunter",$C$3:$C38,C39)+COUNTIFS($B$3:$B38,"Forge/Scrapwork buy",$C$3:$C38,C39))),1),0),"Can't","OK"),IF(IFERROR(VLOOKUP(C39,Upgrades!$N$4:$T$47,2,FALSE),0)="mats","Can't","OK")))),"Check")))))</f>
        <v/>
      </c>
      <c r="F39" s="7">
        <f>IF(B39="","",IF(AND(B39="Fight boss",I38&lt;IF((IFERROR(VLOOKUP(C39,Monsters!$T$4:$AH$15,15,FALSE),0))=0,120,IFERROR(VLOOKUP(C39,Monsters!$T$4:$AH$15,15,FALSE),0))),"Can't — need "&amp;TEXT(IF((IFERROR(VLOOKUP(C39,Monsters!$T$4:$AH$15,15,FALSE),0))=0,120,IFERROR(VLOOKUP(C39,Monsters!$T$4:$AH$15,15,FALSE),0))-I38,"0.0")&amp;" more Slayer points on the meter",IF(AND(B39="Hire hunter",C39="Briar",AD38&gt;=1),"Can't — already hired",IF(AND(B39="Hire hunter",H38&lt;IF(C39="Briar",140,IF(C39="Quill",3650,IF(C39="Moss",4850,IF(C39="Ember",12200,0))))),"Can't — need "&amp;TEXT(IF(C39="Briar",140,IF(C39="Quill",3650,IF(C39="Moss",4850,IF(C39="Ember",12200,0))))-H38,"0")&amp;" more gold",IF(AND(OR(B39="Buy upgrade",B39="Forge/Scrapwork buy"),IFERROR(VLOOKUP(C39,Upgrades!$N$4:$T$47,2,FALSE),0)="points"),"Can't — Sp-wallet spends not tracked here",IF(AND(OR(B39="Buy upgrade",B39="Forge/Scrapwork buy"),IFERROR(VLOOKUP(C39,Upgrades!$N$4:$T$47,2,FALSE),0)="gold",H38&lt;IFERROR(FLOOR(IFERROR(VLOOKUP(C39,Upgrades!$N$4:$T$47,3,FALSE),0)*(IFERROR(VLOOKUP(C39,Upgrades!$N$4:$T$47,4,FALSE),0)^(COUNTIFS($B$3:$B38,"Buy upgrade",$C$3:$C38,C39)+COUNTIFS($B$3:$B38,"Hire hunter",$C$3:$C38,C39)+COUNTIFS($B$3:$B38,"Forge/Scrapwork buy",$C$3:$C38,C39))),1),0)),"Can't — need "&amp;TEXT(IFERROR(FLOOR(IFERROR(VLOOKUP(C39,Upgrades!$N$4:$T$47,3,FALSE),0)*(IFERROR(VLOOKUP(C39,Upgrades!$N$4:$T$47,4,FALSE),0)^(COUNTIFS($B$3:$B38,"Buy upgrade",$C$3:$C38,C39)+COUNTIFS($B$3:$B38,"Hire hunter",$C$3:$C38,C39)+COUNTIFS($B$3:$B38,"Forge/Scrapwork buy",$C$3:$C38,C39))),1),0)-H38,"0")&amp;" more gold",IF(AND(OR(B39="Buy upgrade",B39="Forge/Scrapwork buy"),IFERROR(VLOOKUP(C39,Upgrades!$N$4:$T$47,2,FALSE),0)="scraps",J38&lt;IFERROR(FLOOR(IFERROR(VLOOKUP(C39,Upgrades!$N$4:$T$47,3,FALSE),0)*(IFERROR(VLOOKUP(C39,Upgrades!$N$4:$T$47,4,FALSE),0)^(COUNTIFS($B$3:$B38,"Buy upgrade",$C$3:$C38,C39)+COUNTIFS($B$3:$B38,"Hire hunter",$C$3:$C38,C39)+COUNTIFS($B$3:$B38,"Forge/Scrapwork buy",$C$3:$C38,C39))),1),0)),"Can't — need "&amp;TEXT(IFERROR(FLOOR(IFERROR(VLOOKUP(C39,Upgrades!$N$4:$T$47,3,FALSE),0)*(IFERROR(VLOOKUP(C39,Upgrades!$N$4:$T$47,4,FALSE),0)^(COUNTIFS($B$3:$B38,"Buy upgrade",$C$3:$C38,C39)+COUNTIFS($B$3:$B38,"Hire hunter",$C$3:$C38,C39)+COUNTIFS($B$3:$B38,"Forge/Scrapwork buy",$C$3:$C38,C39))),1),0)-J38,"0")&amp;" more scraps",IF(AND(B39="Fight boss",E39="OK",(IF((((105/'Rules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Formulas'!B12)),"WIN — boss down, next Level unlocks",IF(AND(B39="Fight boss",E39="OK"),"LOSE — TTK "&amp;TEXT(IF((((105/'Rules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Formulas'!B20*SQRT(1+0.55*(AG38&gt;=1))),0)))),"0")&amp;"s &gt; patience "&amp;TEXT('Rules &amp; Formulas'!B12,"0")&amp;"s (leave resets HP)",IF(B39="Go AFK","AFK resolved (see AFK counted h)","Applied")))))))))</f>
        <v/>
      </c>
      <c r="G39" s="7">
        <f>IF(AND((E39="OK"),B39="Fight boss",(IF((((105/'Rules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Formulas'!B12),C39="Elder Thornpelt"),2,IF(AND((E39="OK"),B39="Fight boss",(IF((((105/'Rules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Formulas'!B12),C39="Ashfang Alpha"),3,G38))</f>
        <v/>
      </c>
      <c r="H39" s="7">
        <f>MAX(0,H38+IF(AND((E39="OK"),B39="Hunt"),(IF(B39="Hunt",(('Rules &amp; Formulas'!B4*N38*('Rules &amp; Formulas'!B5+O38)*IFERROR(VLOOKUP(C39,Monsters!$T$4:$AH$15,10,FALSE),0)*IFERROR(VLOOKUP(C39,Monsters!$T$4:$AH$15,9,FALSE),0))*'Rules &amp; Formulas'!B6)*IF(D39="",0,D39),0))*(IFERROR(VLOOKUP(C39,Monsters!$T$4:$AH$15,3,FALSE),0))*(1+0.1*AH38)+(IF(OR(B39&lt;&gt;"Hunt",IFERROR(VLOOKUP(C39,Monsters!$T$4:$AH$15,6,FALSE),0)=0),0,FLOOR((IF(B39="Hunt",(('Rules &amp; Formulas'!B4*N38*('Rules &amp; Formulas'!B5+O38)*IFERROR(VLOOKUP(C39,Monsters!$T$4:$AH$15,10,FALSE),0)*IFERROR(VLOOKUP(C39,Monsters!$T$4:$AH$15,9,FALSE),0))*'Rules &amp; Formulas'!B6)*IF(D39="",0,D39),0))/MAX(1,IFERROR(VLOOKUP(C39,Monsters!$T$4:$AH$15,6,FALSE),0)),1)))*(IFERROR(VLOOKUP(C39,Monsters!$T$4:$AH$15,7,FALSE),0))*0.5*(1+0.1*AH38),0)+IF(AND((E39="OK"),B39="Go AFK"),(IF(B39="Go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AFK",IF(D39="",0,D39),0),Z38/60)*60)),0))*(IFERROR(VLOOKUP(C39,Monsters!$T$4:$AH$15,3,FALSE),0))*(1+0.1*AH38)+(IF(OR(B39&lt;&gt;"Go AFK",IFERROR(VLOOKUP(C39,Monsters!$T$4:$AH$15,6,FALSE),0)=0),0,FLOOR((IF(B39="Go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AFK",IF(D39="",0,D39),0),Z38/60)*60)),0))/MAX(1,IFERROR(VLOOKUP(C39,Monsters!$T$4:$AH$15,6,FALSE),0)),1)))*(IFERROR(VLOOKUP(C39,Monsters!$T$4:$AH$15,7,FALSE),0))*0.5*(1+0.1*AH38),0)+IF(AND((E39="OK"),B39="Fight boss",(IF((((105/'Rules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Formulas'!B12)),IFERROR(VLOOKUP(C39,Monsters!$T$4:$AH$15,3,FALSE),0),0)-IF(AND((E39="OK"),OR(B39="Buy upgrade",B39="Forge/Scrapwork buy"),IFERROR(VLOOKUP(C39,Upgrades!$N$4:$T$47,2,FALSE),0)="gold"),IFERROR(FLOOR(IFERROR(VLOOKUP(C39,Upgrades!$N$4:$T$47,3,FALSE),0)*(IFERROR(VLOOKUP(C39,Upgrades!$N$4:$T$47,4,FALSE),0)^(COUNTIFS($B$3:$B38,"Buy upgrade",$C$3:$C38,C39)+COUNTIFS($B$3:$B38,"Hire hunter",$C$3:$C38,C39)+COUNTIFS($B$3:$B38,"Forge/Scrapwork buy",$C$3:$C38,C39))),1),0),0)-IF(AND((E39="OK"),B39="Hire hunter"),IF(C39="Briar",140,IF(C39="Quill",3650,IF(C39="Moss",4850,IF(C39="Ember",12200,0)))),0))</f>
        <v/>
      </c>
      <c r="I39" s="7">
        <f>IF(AND((E39="OK"),B39="Fight boss",(IF((((105/'Rules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Formulas'!B12)),0,MIN(IF(G38&lt;=1,120,IF(G38=2,280,600)),I38+IF(AND((E39="OK"),B39="Hunt"),((IF(B39="Hunt",(('Rules &amp; Formulas'!B4*N38*('Rules &amp; Formulas'!B5+O38)*IFERROR(VLOOKUP(C39,Monsters!$T$4:$AH$15,10,FALSE),0)*IFERROR(VLOOKUP(C39,Monsters!$T$4:$AH$15,9,FALSE),0))*'Rules &amp; Formulas'!B6)*IF(D39="",0,D39),0))*(IFERROR(VLOOKUP(C39,Monsters!$T$4:$AH$15,4,FALSE),0))+(IF(OR(B39&lt;&gt;"Hunt",IFERROR(VLOOKUP(C39,Monsters!$T$4:$AH$15,6,FALSE),0)=0),0,FLOOR((IF(B39="Hunt",(('Rules &amp; Formulas'!B4*N38*('Rules &amp; Formulas'!B5+O38)*IFERROR(VLOOKUP(C39,Monsters!$T$4:$AH$15,10,FALSE),0)*IFERROR(VLOOKUP(C39,Monsters!$T$4:$AH$15,9,FALSE),0))*'Rules &amp; Formulas'!B6)*IF(D39="",0,D39),0))/MAX(1,IFERROR(VLOOKUP(C39,Monsters!$T$4:$AH$15,6,FALSE),0)),1)))*(IFERROR(VLOOKUP(C39,Monsters!$T$4:$AH$15,7,FALSE),0))),0)+IF(AND((E39="OK"),B39="Go AFK"),((IF(B39="Go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AFK",IF(D39="",0,D39),0),Z38/60)*60)),0))*(IFERROR(VLOOKUP(C39,Monsters!$T$4:$AH$15,4,FALSE),0))+(IF(OR(B39&lt;&gt;"Go AFK",IFERROR(VLOOKUP(C39,Monsters!$T$4:$AH$15,6,FALSE),0)=0),0,FLOOR((IF(B39="Go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AFK",IF(D39="",0,D39),0),Z38/60)*60)),0))/MAX(1,IFERROR(VLOOKUP(C39,Monsters!$T$4:$AH$15,6,FALSE),0)),1)))*(IFERROR(VLOOKUP(C39,Monsters!$T$4:$AH$15,7,FALSE),0))),0)))</f>
        <v/>
      </c>
      <c r="J39" s="7">
        <f>MAX(0,J38+IF(AND((E39="OK"),B39="Hunt"),(IF(B39="Hunt",(('Rules &amp; Formulas'!B4*N38*('Rules &amp; Formulas'!B5+O38)*IFERROR(VLOOKUP(C39,Monsters!$T$4:$AH$15,10,FALSE),0)*IFERROR(VLOOKUP(C39,Monsters!$T$4:$AH$15,9,FALSE),0))*'Rules &amp; Formulas'!B6)*IF(D39="",0,D39),0))*(IFERROR(VLOOKUP(C39,Monsters!$T$4:$AH$15,5,FALSE),0)),0)+IF(AND((E39="OK"),B39="Go AFK"),(IF(B39="Go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AFK",IF(D39="",0,D39),0),Z38/60)*60)),0))*(IFERROR(VLOOKUP(C39,Monsters!$T$4:$AH$15,5,FALSE),0)),0)-IF(AND((E39="OK"),OR(B39="Buy upgrade",B39="Forge/Scrapwork buy"),IFERROR(VLOOKUP(C39,Upgrades!$N$4:$T$47,2,FALSE),0)="scraps"),IFERROR(FLOOR(IFERROR(VLOOKUP(C39,Upgrades!$N$4:$T$47,3,FALSE),0)*(IFERROR(VLOOKUP(C39,Upgrades!$N$4:$T$47,4,FALSE),0)^(COUNTIFS($B$3:$B38,"Buy upgrade",$C$3:$C38,C39)+COUNTIFS($B$3:$B38,"Hire hunter",$C$3:$C38,C39)+COUNTIFS($B$3:$B38,"Forge/Scrapwork buy",$C$3:$C38,C39))),1),0),0))</f>
        <v/>
      </c>
      <c r="K39" s="7">
        <f>MAX(0,K38+IF(AND((E39="OK"),B39="Hunt"),IF(C39="Thornpelt Bear",(IF(B39="Hunt",(('Rules &amp; Formulas'!B4*N38*('Rules &amp; Formulas'!B5+O38)*IFERROR(VLOOKUP(C39,Monsters!$T$4:$AH$15,10,FALSE),0)*IFERROR(VLOOKUP(C39,Monsters!$T$4:$AH$15,9,FALSE),0))*'Rules &amp; Formulas'!B6)*IF(D39="",0,D39),0))*0.12,0),0)+IF(AND((E39="OK"),B39="Go AFK"),IF(C39="Thornpelt Bear",(IF(B39="Go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AFK",IF(D39="",0,D39),0),Z38/60)*60)),0))*0.12,0),0))</f>
        <v/>
      </c>
      <c r="L39" s="7">
        <f>MAX(0,L38+IF(AND((E39="OK"),B39="Hunt"),IF(C39="Dire Thornpelt",(IF(B39="Hunt",(('Rules &amp; Formulas'!B4*N38*('Rules &amp; Formulas'!B5+O38)*IFERROR(VLOOKUP(C39,Monsters!$T$4:$AH$15,10,FALSE),0)*IFERROR(VLOOKUP(C39,Monsters!$T$4:$AH$15,9,FALSE),0))*'Rules &amp; Formulas'!B6)*IF(D39="",0,D39),0))*0.1,0),0)+IF(AND((E39="OK"),B39="Go AFK"),IF(C39="Dire Thornpelt",(IF(B39="Go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AFK",IF(D39="",0,D39),0),Z38/60)*60)),0))*0.1,0),0))</f>
        <v/>
      </c>
      <c r="M39" s="7">
        <f>IF(AND((E39="OK"),B39="Go AFK"),MAX(0,MIN(('Rules &amp; Formulas'!B15+25*AJ38),M38+('Rules &amp; Formulas'!B14+0.4*AJ38)*(MIN(IF(B39="Go AFK",IF(D39="",0,D39),0),Z38/60)*60))-(IF(B39="Go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AFK",IF(D39="",0,D39),0),Z38/60)*60)),0))*(IF((IFERROR(VLOOKUP(C39,Monsters!$T$4:$AH$15,8,FALSE),0))=0,0.35,IFERROR(VLOOKUP(C39,Monsters!$T$4:$AH$15,8,FALSE),0))/(1+0.08*AK38))),MIN(('Rules &amp; Formulas'!B15+25*AJ39),M38))</f>
        <v/>
      </c>
      <c r="N39" s="7">
        <f>(1+0.08+0.12*AA39+0.12*AB39+0.16*AC39)</f>
        <v/>
      </c>
      <c r="O39" s="7">
        <f>((AD39&gt;=1)*1*(1+0.3*AE39))</f>
        <v/>
      </c>
      <c r="P39" s="7">
        <f>IF(OR(B39="Hunt",B39="Go AFK"),(('Rules &amp; Formulas'!B4*N38*('Rules &amp; Formulas'!B5+O38)*IFERROR(VLOOKUP(C39,Monsters!$T$4:$AH$15,10,FALSE),0)*IFERROR(VLOOKUP(C39,Monsters!$T$4:$AH$15,9,FALSE),0))*'Rules &amp; Formulas'!B6),"")</f>
        <v/>
      </c>
      <c r="Q39" s="7">
        <f>IF(OR(B39="Hunt",B39="Go AFK"),('Rules &amp; Formulas'!B4*N38*('Rules &amp; Formulas'!B5+O38)*IFERROR(VLOOKUP(C39,Monsters!$T$4:$AH$15,10,FALSE),0)*IFERROR(VLOOKUP(C39,Monsters!$T$4:$AH$15,9,FALSE),0)),"")</f>
        <v/>
      </c>
      <c r="R39" s="7">
        <f>IF(AND((E39="OK"),B39="Hunt"),IF(B39="Hunt",(('Rules &amp; Formulas'!B4*N38*('Rules &amp; Formulas'!B5+O38)*IFERROR(VLOOKUP(C39,Monsters!$T$4:$AH$15,10,FALSE),0)*IFERROR(VLOOKUP(C39,Monsters!$T$4:$AH$15,9,FALSE),0))*'Rules &amp; Formulas'!B6)*IF(D39="",0,D39),0),IF(AND((E39="OK"),B39="Go AFK"),IF(B39="Go AFK",MIN(IF((IF((IFERROR(VLOOKUP(C39,Monsters!$T$4:$AH$15,8,FALSE),0))=0,0.35,IFERROR(VLOOKUP(C39,Monsters!$T$4:$AH$15,8,FALSE),0))/(1+0.08*AK38))&lt;=0,999999,FLOOR(MIN(('Rules &amp; Formulas'!B15+25*AJ38),M38+('Rules &amp; Formulas'!B14+0.4*AJ38)*(MIN(IF(B39="Go AFK",IF(D39="",0,D39),0),Z38/60)*60))/(IF((IFERROR(VLOOKUP(C39,Monsters!$T$4:$AH$15,8,FALSE),0))=0,0.35,IFERROR(VLOOKUP(C39,Monsters!$T$4:$AH$15,8,FALSE),0))/(1+0.08*AK38)),1)),('Rules &amp; Formulas'!B4*N38*('Rules &amp; Formulas'!B5+O38)*IFERROR(VLOOKUP(C39,Monsters!$T$4:$AH$15,10,FALSE),0)*IFERROR(VLOOKUP(C39,Monsters!$T$4:$AH$15,9,FALSE),0))*(MIN(IF(B39="Go AFK",IF(D39="",0,D39),0),Z38/60)*60)),0),0))</f>
        <v/>
      </c>
      <c r="S39" s="7">
        <f>(105/'Rules &amp; Formulas'!B10)*'Rules &amp; Formulas'!B11</f>
        <v/>
      </c>
      <c r="T39" s="7">
        <f>IF(AD38&gt;=1,(MAX(1,ROUND('Rules &amp; Formulas'!B18*(1+0.3*AE38)*(1+0.4*AF38),0)))*(1000/'Rules &amp; Formulas'!B19)*MIN(0.95,'Rules &amp; Formulas'!B20*SQRT(1+0.55*(AG38&gt;=1))),0)</f>
        <v/>
      </c>
      <c r="U39" s="7">
        <f>S39+T39</f>
        <v/>
      </c>
      <c r="V39" s="7">
        <f>IF(I38&gt;=IF((IFERROR(VLOOKUP(C39,Monsters!$T$4:$AH$15,15,FALSE),0))=0,120,IFERROR(VLOOKUP(C39,Monsters!$T$4:$AH$15,15,FALSE),0)),"YES","no")</f>
        <v/>
      </c>
      <c r="W39" s="7">
        <f>IF(AND(B39="Fight boss",E39="OK"),IF((((105/'Rules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Formulas'!B20*SQRT(1+0.55*(AG38&gt;=1))),0)))),"")</f>
        <v/>
      </c>
      <c r="X39" s="7">
        <f>IF(AND(B39="Fight boss",E39="OK"),IF((IF((((105/'Rules &amp; Formulas'!B10)*'Rules &amp; Formulas'!B11+IF(AD38&gt;=1,(MAX(1,ROUND('Rules &amp; Formulas'!B18*(1+0.3*AE38)*(1+0.4*AF38),0)))*(1000/'Rules &amp; Formulas'!B19)*MIN(0.95,'Rules &amp; Formulas'!B20*SQRT(1+0.55*(AG38&gt;=1))),0)))&lt;=0,9999,(IFERROR(VLOOKUP(C39,Monsters!$T$4:$AH$15,2,FALSE),0))/(((105/'Rules &amp; Formulas'!B10)*'Rules &amp; Formulas'!B11+IF(AD38&gt;=1,(MAX(1,ROUND('Rules &amp; Formulas'!B18*(1+0.3*AE38)*(1+0.4*AF38),0)))*(1000/'Rules &amp; Formulas'!B19)*MIN(0.95,'Rules &amp; Formulas'!B20*SQRT(1+0.55*(AG38&gt;=1))),0))))&lt;='Rules &amp; Formulas'!B12),"WIN","LOSE"),"")</f>
        <v/>
      </c>
      <c r="Y39" s="7">
        <f>IF(B39="Go AFK",MIN(IF(B39="Go AFK",IF(D39="",0,D39),0),Z38/60),"")</f>
        <v/>
      </c>
      <c r="Z39" s="7">
        <f>('Rules &amp; Formulas'!B13+30*AI39)</f>
        <v/>
      </c>
      <c r="AA39">
        <f>COUNTIFS($B$3:$B39,"Buy upgrade",$C$3:$C39,"Idle Power")</f>
        <v/>
      </c>
      <c r="AB39">
        <f>COUNTIFS($B$3:$B39,"Buy upgrade",$C$3:$C39,"Iron Blade")</f>
        <v/>
      </c>
      <c r="AC39">
        <f>COUNTIFS($B$3:$B39,"Buy upgrade",$C$3:$C39,"Steel Blade")</f>
        <v/>
      </c>
      <c r="AD39">
        <f>COUNTIFS($B$3:$B39,"Hire hunter",$C$3:$C39,"Briar")+COUNTIFS($B$3:$B39,"Buy upgrade",$C$3:$C39,"Hire Briar")</f>
        <v/>
      </c>
      <c r="AE39">
        <f>COUNTIFS($B$3:$B39,"Buy upgrade",$C$3:$C39,"Hunter Power")</f>
        <v/>
      </c>
      <c r="AF39">
        <f>COUNTIFS($B$3:$B39,"Buy upgrade",$C$3:$C39,"Bigger Hits")</f>
        <v/>
      </c>
      <c r="AG39">
        <f>COUNTIFS($B$3:$B39,"Buy upgrade",$C$3:$C39,"Swift Walk")</f>
        <v/>
      </c>
      <c r="AH39">
        <f>COUNTIFS($B$3:$B39,"Buy upgrade",$C$3:$C39,"Loot Luck")</f>
        <v/>
      </c>
      <c r="AI39">
        <f>COUNTIFS($B$3:$B39,"Buy upgrade",$C$3:$C39,"Offline Cap")</f>
        <v/>
      </c>
      <c r="AJ39">
        <f>COUNTIFS($B$3:$B39,"Buy upgrade",$C$3:$C39,"Bigger Food Stock")</f>
        <v/>
      </c>
      <c r="AK39">
        <f>COUNTIFS($B$3:$B39,"Buy upgrade",$C$3:$C39,"Food Efficiency")</f>
        <v/>
      </c>
    </row>
    <row r="40">
      <c r="A40" t="n">
        <v>38</v>
      </c>
      <c r="B40" s="6" t="n"/>
      <c r="C40" s="6" t="n"/>
      <c r="D40" s="6" t="n"/>
      <c r="E40" s="7">
        <f>IF(B40="","",IF(OR(B40="Hunt",B40="Go AFK"),IF(C40="","Can't","OK"),IF(B40="Fight boss",IF(I39&lt;IF((IFERROR(VLOOKUP(C40,Monsters!$T$4:$AH$15,15,FALSE),0))=0,120,IFERROR(VLOOKUP(C40,Monsters!$T$4:$AH$15,15,FALSE),0)),"Can't","OK"),IF(B40="Hire hunter",IF(AND(C40="Briar",AD39&gt;=1),"Can't",IF(H39&lt;IF(C40="Briar",140,IF(C40="Quill",3650,IF(C40="Moss",4850,IF(C40="Ember",12200,0)))),"Can't","OK")),IF(OR(B40="Buy upgrade",B40="Forge/Scrapwork buy"),IF(IFERROR(VLOOKUP(C40,Upgrades!$N$4:$T$47,2,FALSE),0)="points","Can't",IF(IFERROR(VLOOKUP(C40,Upgrades!$N$4:$T$47,2,FALSE),0)="gold",IF(H39&lt;IFERROR(FLOOR(IFERROR(VLOOKUP(C40,Upgrades!$N$4:$T$47,3,FALSE),0)*(IFERROR(VLOOKUP(C40,Upgrades!$N$4:$T$47,4,FALSE),0)^(COUNTIFS($B$3:$B39,"Buy upgrade",$C$3:$C39,C40)+COUNTIFS($B$3:$B39,"Hire hunter",$C$3:$C39,C40)+COUNTIFS($B$3:$B39,"Forge/Scrapwork buy",$C$3:$C39,C40))),1),0),"Can't","OK"),IF(IFERROR(VLOOKUP(C40,Upgrades!$N$4:$T$47,2,FALSE),0)="scraps",IF(J39&lt;IFERROR(FLOOR(IFERROR(VLOOKUP(C40,Upgrades!$N$4:$T$47,3,FALSE),0)*(IFERROR(VLOOKUP(C40,Upgrades!$N$4:$T$47,4,FALSE),0)^(COUNTIFS($B$3:$B39,"Buy upgrade",$C$3:$C39,C40)+COUNTIFS($B$3:$B39,"Hire hunter",$C$3:$C39,C40)+COUNTIFS($B$3:$B39,"Forge/Scrapwork buy",$C$3:$C39,C40))),1),0),"Can't","OK"),IF(IFERROR(VLOOKUP(C40,Upgrades!$N$4:$T$47,2,FALSE),0)="mats","Can't","OK")))),"Check")))))</f>
        <v/>
      </c>
      <c r="F40" s="7">
        <f>IF(B40="","",IF(AND(B40="Fight boss",I39&lt;IF((IFERROR(VLOOKUP(C40,Monsters!$T$4:$AH$15,15,FALSE),0))=0,120,IFERROR(VLOOKUP(C40,Monsters!$T$4:$AH$15,15,FALSE),0))),"Can't — need "&amp;TEXT(IF((IFERROR(VLOOKUP(C40,Monsters!$T$4:$AH$15,15,FALSE),0))=0,120,IFERROR(VLOOKUP(C40,Monsters!$T$4:$AH$15,15,FALSE),0))-I39,"0.0")&amp;" more Slayer points on the meter",IF(AND(B40="Hire hunter",C40="Briar",AD39&gt;=1),"Can't — already hired",IF(AND(B40="Hire hunter",H39&lt;IF(C40="Briar",140,IF(C40="Quill",3650,IF(C40="Moss",4850,IF(C40="Ember",12200,0))))),"Can't — need "&amp;TEXT(IF(C40="Briar",140,IF(C40="Quill",3650,IF(C40="Moss",4850,IF(C40="Ember",12200,0))))-H39,"0")&amp;" more gold",IF(AND(OR(B40="Buy upgrade",B40="Forge/Scrapwork buy"),IFERROR(VLOOKUP(C40,Upgrades!$N$4:$T$47,2,FALSE),0)="points"),"Can't — Sp-wallet spends not tracked here",IF(AND(OR(B40="Buy upgrade",B40="Forge/Scrapwork buy"),IFERROR(VLOOKUP(C40,Upgrades!$N$4:$T$47,2,FALSE),0)="gold",H39&lt;IFERROR(FLOOR(IFERROR(VLOOKUP(C40,Upgrades!$N$4:$T$47,3,FALSE),0)*(IFERROR(VLOOKUP(C40,Upgrades!$N$4:$T$47,4,FALSE),0)^(COUNTIFS($B$3:$B39,"Buy upgrade",$C$3:$C39,C40)+COUNTIFS($B$3:$B39,"Hire hunter",$C$3:$C39,C40)+COUNTIFS($B$3:$B39,"Forge/Scrapwork buy",$C$3:$C39,C40))),1),0)),"Can't — need "&amp;TEXT(IFERROR(FLOOR(IFERROR(VLOOKUP(C40,Upgrades!$N$4:$T$47,3,FALSE),0)*(IFERROR(VLOOKUP(C40,Upgrades!$N$4:$T$47,4,FALSE),0)^(COUNTIFS($B$3:$B39,"Buy upgrade",$C$3:$C39,C40)+COUNTIFS($B$3:$B39,"Hire hunter",$C$3:$C39,C40)+COUNTIFS($B$3:$B39,"Forge/Scrapwork buy",$C$3:$C39,C40))),1),0)-H39,"0")&amp;" more gold",IF(AND(OR(B40="Buy upgrade",B40="Forge/Scrapwork buy"),IFERROR(VLOOKUP(C40,Upgrades!$N$4:$T$47,2,FALSE),0)="scraps",J39&lt;IFERROR(FLOOR(IFERROR(VLOOKUP(C40,Upgrades!$N$4:$T$47,3,FALSE),0)*(IFERROR(VLOOKUP(C40,Upgrades!$N$4:$T$47,4,FALSE),0)^(COUNTIFS($B$3:$B39,"Buy upgrade",$C$3:$C39,C40)+COUNTIFS($B$3:$B39,"Hire hunter",$C$3:$C39,C40)+COUNTIFS($B$3:$B39,"Forge/Scrapwork buy",$C$3:$C39,C40))),1),0)),"Can't — need "&amp;TEXT(IFERROR(FLOOR(IFERROR(VLOOKUP(C40,Upgrades!$N$4:$T$47,3,FALSE),0)*(IFERROR(VLOOKUP(C40,Upgrades!$N$4:$T$47,4,FALSE),0)^(COUNTIFS($B$3:$B39,"Buy upgrade",$C$3:$C39,C40)+COUNTIFS($B$3:$B39,"Hire hunter",$C$3:$C39,C40)+COUNTIFS($B$3:$B39,"Forge/Scrapwork buy",$C$3:$C39,C40))),1),0)-J39,"0")&amp;" more scraps",IF(AND(B40="Fight boss",E40="OK",(IF((((105/'Rules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Formulas'!B12)),"WIN — boss down, next Level unlocks",IF(AND(B40="Fight boss",E40="OK"),"LOSE — TTK "&amp;TEXT(IF((((105/'Rules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Formulas'!B20*SQRT(1+0.55*(AG39&gt;=1))),0)))),"0")&amp;"s &gt; patience "&amp;TEXT('Rules &amp; Formulas'!B12,"0")&amp;"s (leave resets HP)",IF(B40="Go AFK","AFK resolved (see AFK counted h)","Applied")))))))))</f>
        <v/>
      </c>
      <c r="G40" s="7">
        <f>IF(AND((E40="OK"),B40="Fight boss",(IF((((105/'Rules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Formulas'!B12),C40="Elder Thornpelt"),2,IF(AND((E40="OK"),B40="Fight boss",(IF((((105/'Rules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Formulas'!B12),C40="Ashfang Alpha"),3,G39))</f>
        <v/>
      </c>
      <c r="H40" s="7">
        <f>MAX(0,H39+IF(AND((E40="OK"),B40="Hunt"),(IF(B40="Hunt",(('Rules &amp; Formulas'!B4*N39*('Rules &amp; Formulas'!B5+O39)*IFERROR(VLOOKUP(C40,Monsters!$T$4:$AH$15,10,FALSE),0)*IFERROR(VLOOKUP(C40,Monsters!$T$4:$AH$15,9,FALSE),0))*'Rules &amp; Formulas'!B6)*IF(D40="",0,D40),0))*(IFERROR(VLOOKUP(C40,Monsters!$T$4:$AH$15,3,FALSE),0))*(1+0.1*AH39)+(IF(OR(B40&lt;&gt;"Hunt",IFERROR(VLOOKUP(C40,Monsters!$T$4:$AH$15,6,FALSE),0)=0),0,FLOOR((IF(B40="Hunt",(('Rules &amp; Formulas'!B4*N39*('Rules &amp; Formulas'!B5+O39)*IFERROR(VLOOKUP(C40,Monsters!$T$4:$AH$15,10,FALSE),0)*IFERROR(VLOOKUP(C40,Monsters!$T$4:$AH$15,9,FALSE),0))*'Rules &amp; Formulas'!B6)*IF(D40="",0,D40),0))/MAX(1,IFERROR(VLOOKUP(C40,Monsters!$T$4:$AH$15,6,FALSE),0)),1)))*(IFERROR(VLOOKUP(C40,Monsters!$T$4:$AH$15,7,FALSE),0))*0.5*(1+0.1*AH39),0)+IF(AND((E40="OK"),B40="Go AFK"),(IF(B40="Go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AFK",IF(D40="",0,D40),0),Z39/60)*60)),0))*(IFERROR(VLOOKUP(C40,Monsters!$T$4:$AH$15,3,FALSE),0))*(1+0.1*AH39)+(IF(OR(B40&lt;&gt;"Go AFK",IFERROR(VLOOKUP(C40,Monsters!$T$4:$AH$15,6,FALSE),0)=0),0,FLOOR((IF(B40="Go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AFK",IF(D40="",0,D40),0),Z39/60)*60)),0))/MAX(1,IFERROR(VLOOKUP(C40,Monsters!$T$4:$AH$15,6,FALSE),0)),1)))*(IFERROR(VLOOKUP(C40,Monsters!$T$4:$AH$15,7,FALSE),0))*0.5*(1+0.1*AH39),0)+IF(AND((E40="OK"),B40="Fight boss",(IF((((105/'Rules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Formulas'!B12)),IFERROR(VLOOKUP(C40,Monsters!$T$4:$AH$15,3,FALSE),0),0)-IF(AND((E40="OK"),OR(B40="Buy upgrade",B40="Forge/Scrapwork buy"),IFERROR(VLOOKUP(C40,Upgrades!$N$4:$T$47,2,FALSE),0)="gold"),IFERROR(FLOOR(IFERROR(VLOOKUP(C40,Upgrades!$N$4:$T$47,3,FALSE),0)*(IFERROR(VLOOKUP(C40,Upgrades!$N$4:$T$47,4,FALSE),0)^(COUNTIFS($B$3:$B39,"Buy upgrade",$C$3:$C39,C40)+COUNTIFS($B$3:$B39,"Hire hunter",$C$3:$C39,C40)+COUNTIFS($B$3:$B39,"Forge/Scrapwork buy",$C$3:$C39,C40))),1),0),0)-IF(AND((E40="OK"),B40="Hire hunter"),IF(C40="Briar",140,IF(C40="Quill",3650,IF(C40="Moss",4850,IF(C40="Ember",12200,0)))),0))</f>
        <v/>
      </c>
      <c r="I40" s="7">
        <f>IF(AND((E40="OK"),B40="Fight boss",(IF((((105/'Rules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Formulas'!B12)),0,MIN(IF(G39&lt;=1,120,IF(G39=2,280,600)),I39+IF(AND((E40="OK"),B40="Hunt"),((IF(B40="Hunt",(('Rules &amp; Formulas'!B4*N39*('Rules &amp; Formulas'!B5+O39)*IFERROR(VLOOKUP(C40,Monsters!$T$4:$AH$15,10,FALSE),0)*IFERROR(VLOOKUP(C40,Monsters!$T$4:$AH$15,9,FALSE),0))*'Rules &amp; Formulas'!B6)*IF(D40="",0,D40),0))*(IFERROR(VLOOKUP(C40,Monsters!$T$4:$AH$15,4,FALSE),0))+(IF(OR(B40&lt;&gt;"Hunt",IFERROR(VLOOKUP(C40,Monsters!$T$4:$AH$15,6,FALSE),0)=0),0,FLOOR((IF(B40="Hunt",(('Rules &amp; Formulas'!B4*N39*('Rules &amp; Formulas'!B5+O39)*IFERROR(VLOOKUP(C40,Monsters!$T$4:$AH$15,10,FALSE),0)*IFERROR(VLOOKUP(C40,Monsters!$T$4:$AH$15,9,FALSE),0))*'Rules &amp; Formulas'!B6)*IF(D40="",0,D40),0))/MAX(1,IFERROR(VLOOKUP(C40,Monsters!$T$4:$AH$15,6,FALSE),0)),1)))*(IFERROR(VLOOKUP(C40,Monsters!$T$4:$AH$15,7,FALSE),0))),0)+IF(AND((E40="OK"),B40="Go AFK"),((IF(B40="Go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AFK",IF(D40="",0,D40),0),Z39/60)*60)),0))*(IFERROR(VLOOKUP(C40,Monsters!$T$4:$AH$15,4,FALSE),0))+(IF(OR(B40&lt;&gt;"Go AFK",IFERROR(VLOOKUP(C40,Monsters!$T$4:$AH$15,6,FALSE),0)=0),0,FLOOR((IF(B40="Go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AFK",IF(D40="",0,D40),0),Z39/60)*60)),0))/MAX(1,IFERROR(VLOOKUP(C40,Monsters!$T$4:$AH$15,6,FALSE),0)),1)))*(IFERROR(VLOOKUP(C40,Monsters!$T$4:$AH$15,7,FALSE),0))),0)))</f>
        <v/>
      </c>
      <c r="J40" s="7">
        <f>MAX(0,J39+IF(AND((E40="OK"),B40="Hunt"),(IF(B40="Hunt",(('Rules &amp; Formulas'!B4*N39*('Rules &amp; Formulas'!B5+O39)*IFERROR(VLOOKUP(C40,Monsters!$T$4:$AH$15,10,FALSE),0)*IFERROR(VLOOKUP(C40,Monsters!$T$4:$AH$15,9,FALSE),0))*'Rules &amp; Formulas'!B6)*IF(D40="",0,D40),0))*(IFERROR(VLOOKUP(C40,Monsters!$T$4:$AH$15,5,FALSE),0)),0)+IF(AND((E40="OK"),B40="Go AFK"),(IF(B40="Go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AFK",IF(D40="",0,D40),0),Z39/60)*60)),0))*(IFERROR(VLOOKUP(C40,Monsters!$T$4:$AH$15,5,FALSE),0)),0)-IF(AND((E40="OK"),OR(B40="Buy upgrade",B40="Forge/Scrapwork buy"),IFERROR(VLOOKUP(C40,Upgrades!$N$4:$T$47,2,FALSE),0)="scraps"),IFERROR(FLOOR(IFERROR(VLOOKUP(C40,Upgrades!$N$4:$T$47,3,FALSE),0)*(IFERROR(VLOOKUP(C40,Upgrades!$N$4:$T$47,4,FALSE),0)^(COUNTIFS($B$3:$B39,"Buy upgrade",$C$3:$C39,C40)+COUNTIFS($B$3:$B39,"Hire hunter",$C$3:$C39,C40)+COUNTIFS($B$3:$B39,"Forge/Scrapwork buy",$C$3:$C39,C40))),1),0),0))</f>
        <v/>
      </c>
      <c r="K40" s="7">
        <f>MAX(0,K39+IF(AND((E40="OK"),B40="Hunt"),IF(C40="Thornpelt Bear",(IF(B40="Hunt",(('Rules &amp; Formulas'!B4*N39*('Rules &amp; Formulas'!B5+O39)*IFERROR(VLOOKUP(C40,Monsters!$T$4:$AH$15,10,FALSE),0)*IFERROR(VLOOKUP(C40,Monsters!$T$4:$AH$15,9,FALSE),0))*'Rules &amp; Formulas'!B6)*IF(D40="",0,D40),0))*0.12,0),0)+IF(AND((E40="OK"),B40="Go AFK"),IF(C40="Thornpelt Bear",(IF(B40="Go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AFK",IF(D40="",0,D40),0),Z39/60)*60)),0))*0.12,0),0))</f>
        <v/>
      </c>
      <c r="L40" s="7">
        <f>MAX(0,L39+IF(AND((E40="OK"),B40="Hunt"),IF(C40="Dire Thornpelt",(IF(B40="Hunt",(('Rules &amp; Formulas'!B4*N39*('Rules &amp; Formulas'!B5+O39)*IFERROR(VLOOKUP(C40,Monsters!$T$4:$AH$15,10,FALSE),0)*IFERROR(VLOOKUP(C40,Monsters!$T$4:$AH$15,9,FALSE),0))*'Rules &amp; Formulas'!B6)*IF(D40="",0,D40),0))*0.1,0),0)+IF(AND((E40="OK"),B40="Go AFK"),IF(C40="Dire Thornpelt",(IF(B40="Go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AFK",IF(D40="",0,D40),0),Z39/60)*60)),0))*0.1,0),0))</f>
        <v/>
      </c>
      <c r="M40" s="7">
        <f>IF(AND((E40="OK"),B40="Go AFK"),MAX(0,MIN(('Rules &amp; Formulas'!B15+25*AJ39),M39+('Rules &amp; Formulas'!B14+0.4*AJ39)*(MIN(IF(B40="Go AFK",IF(D40="",0,D40),0),Z39/60)*60))-(IF(B40="Go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AFK",IF(D40="",0,D40),0),Z39/60)*60)),0))*(IF((IFERROR(VLOOKUP(C40,Monsters!$T$4:$AH$15,8,FALSE),0))=0,0.35,IFERROR(VLOOKUP(C40,Monsters!$T$4:$AH$15,8,FALSE),0))/(1+0.08*AK39))),MIN(('Rules &amp; Formulas'!B15+25*AJ40),M39))</f>
        <v/>
      </c>
      <c r="N40" s="7">
        <f>(1+0.08+0.12*AA40+0.12*AB40+0.16*AC40)</f>
        <v/>
      </c>
      <c r="O40" s="7">
        <f>((AD40&gt;=1)*1*(1+0.3*AE40))</f>
        <v/>
      </c>
      <c r="P40" s="7">
        <f>IF(OR(B40="Hunt",B40="Go AFK"),(('Rules &amp; Formulas'!B4*N39*('Rules &amp; Formulas'!B5+O39)*IFERROR(VLOOKUP(C40,Monsters!$T$4:$AH$15,10,FALSE),0)*IFERROR(VLOOKUP(C40,Monsters!$T$4:$AH$15,9,FALSE),0))*'Rules &amp; Formulas'!B6),"")</f>
        <v/>
      </c>
      <c r="Q40" s="7">
        <f>IF(OR(B40="Hunt",B40="Go AFK"),('Rules &amp; Formulas'!B4*N39*('Rules &amp; Formulas'!B5+O39)*IFERROR(VLOOKUP(C40,Monsters!$T$4:$AH$15,10,FALSE),0)*IFERROR(VLOOKUP(C40,Monsters!$T$4:$AH$15,9,FALSE),0)),"")</f>
        <v/>
      </c>
      <c r="R40" s="7">
        <f>IF(AND((E40="OK"),B40="Hunt"),IF(B40="Hunt",(('Rules &amp; Formulas'!B4*N39*('Rules &amp; Formulas'!B5+O39)*IFERROR(VLOOKUP(C40,Monsters!$T$4:$AH$15,10,FALSE),0)*IFERROR(VLOOKUP(C40,Monsters!$T$4:$AH$15,9,FALSE),0))*'Rules &amp; Formulas'!B6)*IF(D40="",0,D40),0),IF(AND((E40="OK"),B40="Go AFK"),IF(B40="Go AFK",MIN(IF((IF((IFERROR(VLOOKUP(C40,Monsters!$T$4:$AH$15,8,FALSE),0))=0,0.35,IFERROR(VLOOKUP(C40,Monsters!$T$4:$AH$15,8,FALSE),0))/(1+0.08*AK39))&lt;=0,999999,FLOOR(MIN(('Rules &amp; Formulas'!B15+25*AJ39),M39+('Rules &amp; Formulas'!B14+0.4*AJ39)*(MIN(IF(B40="Go AFK",IF(D40="",0,D40),0),Z39/60)*60))/(IF((IFERROR(VLOOKUP(C40,Monsters!$T$4:$AH$15,8,FALSE),0))=0,0.35,IFERROR(VLOOKUP(C40,Monsters!$T$4:$AH$15,8,FALSE),0))/(1+0.08*AK39)),1)),('Rules &amp; Formulas'!B4*N39*('Rules &amp; Formulas'!B5+O39)*IFERROR(VLOOKUP(C40,Monsters!$T$4:$AH$15,10,FALSE),0)*IFERROR(VLOOKUP(C40,Monsters!$T$4:$AH$15,9,FALSE),0))*(MIN(IF(B40="Go AFK",IF(D40="",0,D40),0),Z39/60)*60)),0),0))</f>
        <v/>
      </c>
      <c r="S40" s="7">
        <f>(105/'Rules &amp; Formulas'!B10)*'Rules &amp; Formulas'!B11</f>
        <v/>
      </c>
      <c r="T40" s="7">
        <f>IF(AD39&gt;=1,(MAX(1,ROUND('Rules &amp; Formulas'!B18*(1+0.3*AE39)*(1+0.4*AF39),0)))*(1000/'Rules &amp; Formulas'!B19)*MIN(0.95,'Rules &amp; Formulas'!B20*SQRT(1+0.55*(AG39&gt;=1))),0)</f>
        <v/>
      </c>
      <c r="U40" s="7">
        <f>S40+T40</f>
        <v/>
      </c>
      <c r="V40" s="7">
        <f>IF(I39&gt;=IF((IFERROR(VLOOKUP(C40,Monsters!$T$4:$AH$15,15,FALSE),0))=0,120,IFERROR(VLOOKUP(C40,Monsters!$T$4:$AH$15,15,FALSE),0)),"YES","no")</f>
        <v/>
      </c>
      <c r="W40" s="7">
        <f>IF(AND(B40="Fight boss",E40="OK"),IF((((105/'Rules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Formulas'!B20*SQRT(1+0.55*(AG39&gt;=1))),0)))),"")</f>
        <v/>
      </c>
      <c r="X40" s="7">
        <f>IF(AND(B40="Fight boss",E40="OK"),IF((IF((((105/'Rules &amp; Formulas'!B10)*'Rules &amp; Formulas'!B11+IF(AD39&gt;=1,(MAX(1,ROUND('Rules &amp; Formulas'!B18*(1+0.3*AE39)*(1+0.4*AF39),0)))*(1000/'Rules &amp; Formulas'!B19)*MIN(0.95,'Rules &amp; Formulas'!B20*SQRT(1+0.55*(AG39&gt;=1))),0)))&lt;=0,9999,(IFERROR(VLOOKUP(C40,Monsters!$T$4:$AH$15,2,FALSE),0))/(((105/'Rules &amp; Formulas'!B10)*'Rules &amp; Formulas'!B11+IF(AD39&gt;=1,(MAX(1,ROUND('Rules &amp; Formulas'!B18*(1+0.3*AE39)*(1+0.4*AF39),0)))*(1000/'Rules &amp; Formulas'!B19)*MIN(0.95,'Rules &amp; Formulas'!B20*SQRT(1+0.55*(AG39&gt;=1))),0))))&lt;='Rules &amp; Formulas'!B12),"WIN","LOSE"),"")</f>
        <v/>
      </c>
      <c r="Y40" s="7">
        <f>IF(B40="Go AFK",MIN(IF(B40="Go AFK",IF(D40="",0,D40),0),Z39/60),"")</f>
        <v/>
      </c>
      <c r="Z40" s="7">
        <f>('Rules &amp; Formulas'!B13+30*AI40)</f>
        <v/>
      </c>
      <c r="AA40">
        <f>COUNTIFS($B$3:$B40,"Buy upgrade",$C$3:$C40,"Idle Power")</f>
        <v/>
      </c>
      <c r="AB40">
        <f>COUNTIFS($B$3:$B40,"Buy upgrade",$C$3:$C40,"Iron Blade")</f>
        <v/>
      </c>
      <c r="AC40">
        <f>COUNTIFS($B$3:$B40,"Buy upgrade",$C$3:$C40,"Steel Blade")</f>
        <v/>
      </c>
      <c r="AD40">
        <f>COUNTIFS($B$3:$B40,"Hire hunter",$C$3:$C40,"Briar")+COUNTIFS($B$3:$B40,"Buy upgrade",$C$3:$C40,"Hire Briar")</f>
        <v/>
      </c>
      <c r="AE40">
        <f>COUNTIFS($B$3:$B40,"Buy upgrade",$C$3:$C40,"Hunter Power")</f>
        <v/>
      </c>
      <c r="AF40">
        <f>COUNTIFS($B$3:$B40,"Buy upgrade",$C$3:$C40,"Bigger Hits")</f>
        <v/>
      </c>
      <c r="AG40">
        <f>COUNTIFS($B$3:$B40,"Buy upgrade",$C$3:$C40,"Swift Walk")</f>
        <v/>
      </c>
      <c r="AH40">
        <f>COUNTIFS($B$3:$B40,"Buy upgrade",$C$3:$C40,"Loot Luck")</f>
        <v/>
      </c>
      <c r="AI40">
        <f>COUNTIFS($B$3:$B40,"Buy upgrade",$C$3:$C40,"Offline Cap")</f>
        <v/>
      </c>
      <c r="AJ40">
        <f>COUNTIFS($B$3:$B40,"Buy upgrade",$C$3:$C40,"Bigger Food Stock")</f>
        <v/>
      </c>
      <c r="AK40">
        <f>COUNTIFS($B$3:$B40,"Buy upgrade",$C$3:$C40,"Food Efficiency")</f>
        <v/>
      </c>
    </row>
    <row r="41">
      <c r="A41" t="n">
        <v>39</v>
      </c>
      <c r="B41" s="6" t="n"/>
      <c r="C41" s="6" t="n"/>
      <c r="D41" s="6" t="n"/>
      <c r="E41" s="7">
        <f>IF(B41="","",IF(OR(B41="Hunt",B41="Go AFK"),IF(C41="","Can't","OK"),IF(B41="Fight boss",IF(I40&lt;IF((IFERROR(VLOOKUP(C41,Monsters!$T$4:$AH$15,15,FALSE),0))=0,120,IFERROR(VLOOKUP(C41,Monsters!$T$4:$AH$15,15,FALSE),0)),"Can't","OK"),IF(B41="Hire hunter",IF(AND(C41="Briar",AD40&gt;=1),"Can't",IF(H40&lt;IF(C41="Briar",140,IF(C41="Quill",3650,IF(C41="Moss",4850,IF(C41="Ember",12200,0)))),"Can't","OK")),IF(OR(B41="Buy upgrade",B41="Forge/Scrapwork buy"),IF(IFERROR(VLOOKUP(C41,Upgrades!$N$4:$T$47,2,FALSE),0)="points","Can't",IF(IFERROR(VLOOKUP(C41,Upgrades!$N$4:$T$47,2,FALSE),0)="gold",IF(H40&lt;IFERROR(FLOOR(IFERROR(VLOOKUP(C41,Upgrades!$N$4:$T$47,3,FALSE),0)*(IFERROR(VLOOKUP(C41,Upgrades!$N$4:$T$47,4,FALSE),0)^(COUNTIFS($B$3:$B40,"Buy upgrade",$C$3:$C40,C41)+COUNTIFS($B$3:$B40,"Hire hunter",$C$3:$C40,C41)+COUNTIFS($B$3:$B40,"Forge/Scrapwork buy",$C$3:$C40,C41))),1),0),"Can't","OK"),IF(IFERROR(VLOOKUP(C41,Upgrades!$N$4:$T$47,2,FALSE),0)="scraps",IF(J40&lt;IFERROR(FLOOR(IFERROR(VLOOKUP(C41,Upgrades!$N$4:$T$47,3,FALSE),0)*(IFERROR(VLOOKUP(C41,Upgrades!$N$4:$T$47,4,FALSE),0)^(COUNTIFS($B$3:$B40,"Buy upgrade",$C$3:$C40,C41)+COUNTIFS($B$3:$B40,"Hire hunter",$C$3:$C40,C41)+COUNTIFS($B$3:$B40,"Forge/Scrapwork buy",$C$3:$C40,C41))),1),0),"Can't","OK"),IF(IFERROR(VLOOKUP(C41,Upgrades!$N$4:$T$47,2,FALSE),0)="mats","Can't","OK")))),"Check")))))</f>
        <v/>
      </c>
      <c r="F41" s="7">
        <f>IF(B41="","",IF(AND(B41="Fight boss",I40&lt;IF((IFERROR(VLOOKUP(C41,Monsters!$T$4:$AH$15,15,FALSE),0))=0,120,IFERROR(VLOOKUP(C41,Monsters!$T$4:$AH$15,15,FALSE),0))),"Can't — need "&amp;TEXT(IF((IFERROR(VLOOKUP(C41,Monsters!$T$4:$AH$15,15,FALSE),0))=0,120,IFERROR(VLOOKUP(C41,Monsters!$T$4:$AH$15,15,FALSE),0))-I40,"0.0")&amp;" more Slayer points on the meter",IF(AND(B41="Hire hunter",C41="Briar",AD40&gt;=1),"Can't — already hired",IF(AND(B41="Hire hunter",H40&lt;IF(C41="Briar",140,IF(C41="Quill",3650,IF(C41="Moss",4850,IF(C41="Ember",12200,0))))),"Can't — need "&amp;TEXT(IF(C41="Briar",140,IF(C41="Quill",3650,IF(C41="Moss",4850,IF(C41="Ember",12200,0))))-H40,"0")&amp;" more gold",IF(AND(OR(B41="Buy upgrade",B41="Forge/Scrapwork buy"),IFERROR(VLOOKUP(C41,Upgrades!$N$4:$T$47,2,FALSE),0)="points"),"Can't — Sp-wallet spends not tracked here",IF(AND(OR(B41="Buy upgrade",B41="Forge/Scrapwork buy"),IFERROR(VLOOKUP(C41,Upgrades!$N$4:$T$47,2,FALSE),0)="gold",H40&lt;IFERROR(FLOOR(IFERROR(VLOOKUP(C41,Upgrades!$N$4:$T$47,3,FALSE),0)*(IFERROR(VLOOKUP(C41,Upgrades!$N$4:$T$47,4,FALSE),0)^(COUNTIFS($B$3:$B40,"Buy upgrade",$C$3:$C40,C41)+COUNTIFS($B$3:$B40,"Hire hunter",$C$3:$C40,C41)+COUNTIFS($B$3:$B40,"Forge/Scrapwork buy",$C$3:$C40,C41))),1),0)),"Can't — need "&amp;TEXT(IFERROR(FLOOR(IFERROR(VLOOKUP(C41,Upgrades!$N$4:$T$47,3,FALSE),0)*(IFERROR(VLOOKUP(C41,Upgrades!$N$4:$T$47,4,FALSE),0)^(COUNTIFS($B$3:$B40,"Buy upgrade",$C$3:$C40,C41)+COUNTIFS($B$3:$B40,"Hire hunter",$C$3:$C40,C41)+COUNTIFS($B$3:$B40,"Forge/Scrapwork buy",$C$3:$C40,C41))),1),0)-H40,"0")&amp;" more gold",IF(AND(OR(B41="Buy upgrade",B41="Forge/Scrapwork buy"),IFERROR(VLOOKUP(C41,Upgrades!$N$4:$T$47,2,FALSE),0)="scraps",J40&lt;IFERROR(FLOOR(IFERROR(VLOOKUP(C41,Upgrades!$N$4:$T$47,3,FALSE),0)*(IFERROR(VLOOKUP(C41,Upgrades!$N$4:$T$47,4,FALSE),0)^(COUNTIFS($B$3:$B40,"Buy upgrade",$C$3:$C40,C41)+COUNTIFS($B$3:$B40,"Hire hunter",$C$3:$C40,C41)+COUNTIFS($B$3:$B40,"Forge/Scrapwork buy",$C$3:$C40,C41))),1),0)),"Can't — need "&amp;TEXT(IFERROR(FLOOR(IFERROR(VLOOKUP(C41,Upgrades!$N$4:$T$47,3,FALSE),0)*(IFERROR(VLOOKUP(C41,Upgrades!$N$4:$T$47,4,FALSE),0)^(COUNTIFS($B$3:$B40,"Buy upgrade",$C$3:$C40,C41)+COUNTIFS($B$3:$B40,"Hire hunter",$C$3:$C40,C41)+COUNTIFS($B$3:$B40,"Forge/Scrapwork buy",$C$3:$C40,C41))),1),0)-J40,"0")&amp;" more scraps",IF(AND(B41="Fight boss",E41="OK",(IF((((105/'Rules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Formulas'!B12)),"WIN — boss down, next Level unlocks",IF(AND(B41="Fight boss",E41="OK"),"LOSE — TTK "&amp;TEXT(IF((((105/'Rules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Formulas'!B20*SQRT(1+0.55*(AG40&gt;=1))),0)))),"0")&amp;"s &gt; patience "&amp;TEXT('Rules &amp; Formulas'!B12,"0")&amp;"s (leave resets HP)",IF(B41="Go AFK","AFK resolved (see AFK counted h)","Applied")))))))))</f>
        <v/>
      </c>
      <c r="G41" s="7">
        <f>IF(AND((E41="OK"),B41="Fight boss",(IF((((105/'Rules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Formulas'!B12),C41="Elder Thornpelt"),2,IF(AND((E41="OK"),B41="Fight boss",(IF((((105/'Rules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Formulas'!B12),C41="Ashfang Alpha"),3,G40))</f>
        <v/>
      </c>
      <c r="H41" s="7">
        <f>MAX(0,H40+IF(AND((E41="OK"),B41="Hunt"),(IF(B41="Hunt",(('Rules &amp; Formulas'!B4*N40*('Rules &amp; Formulas'!B5+O40)*IFERROR(VLOOKUP(C41,Monsters!$T$4:$AH$15,10,FALSE),0)*IFERROR(VLOOKUP(C41,Monsters!$T$4:$AH$15,9,FALSE),0))*'Rules &amp; Formulas'!B6)*IF(D41="",0,D41),0))*(IFERROR(VLOOKUP(C41,Monsters!$T$4:$AH$15,3,FALSE),0))*(1+0.1*AH40)+(IF(OR(B41&lt;&gt;"Hunt",IFERROR(VLOOKUP(C41,Monsters!$T$4:$AH$15,6,FALSE),0)=0),0,FLOOR((IF(B41="Hunt",(('Rules &amp; Formulas'!B4*N40*('Rules &amp; Formulas'!B5+O40)*IFERROR(VLOOKUP(C41,Monsters!$T$4:$AH$15,10,FALSE),0)*IFERROR(VLOOKUP(C41,Monsters!$T$4:$AH$15,9,FALSE),0))*'Rules &amp; Formulas'!B6)*IF(D41="",0,D41),0))/MAX(1,IFERROR(VLOOKUP(C41,Monsters!$T$4:$AH$15,6,FALSE),0)),1)))*(IFERROR(VLOOKUP(C41,Monsters!$T$4:$AH$15,7,FALSE),0))*0.5*(1+0.1*AH40),0)+IF(AND((E41="OK"),B41="Go AFK"),(IF(B41="Go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AFK",IF(D41="",0,D41),0),Z40/60)*60)),0))*(IFERROR(VLOOKUP(C41,Monsters!$T$4:$AH$15,3,FALSE),0))*(1+0.1*AH40)+(IF(OR(B41&lt;&gt;"Go AFK",IFERROR(VLOOKUP(C41,Monsters!$T$4:$AH$15,6,FALSE),0)=0),0,FLOOR((IF(B41="Go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AFK",IF(D41="",0,D41),0),Z40/60)*60)),0))/MAX(1,IFERROR(VLOOKUP(C41,Monsters!$T$4:$AH$15,6,FALSE),0)),1)))*(IFERROR(VLOOKUP(C41,Monsters!$T$4:$AH$15,7,FALSE),0))*0.5*(1+0.1*AH40),0)+IF(AND((E41="OK"),B41="Fight boss",(IF((((105/'Rules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Formulas'!B12)),IFERROR(VLOOKUP(C41,Monsters!$T$4:$AH$15,3,FALSE),0),0)-IF(AND((E41="OK"),OR(B41="Buy upgrade",B41="Forge/Scrapwork buy"),IFERROR(VLOOKUP(C41,Upgrades!$N$4:$T$47,2,FALSE),0)="gold"),IFERROR(FLOOR(IFERROR(VLOOKUP(C41,Upgrades!$N$4:$T$47,3,FALSE),0)*(IFERROR(VLOOKUP(C41,Upgrades!$N$4:$T$47,4,FALSE),0)^(COUNTIFS($B$3:$B40,"Buy upgrade",$C$3:$C40,C41)+COUNTIFS($B$3:$B40,"Hire hunter",$C$3:$C40,C41)+COUNTIFS($B$3:$B40,"Forge/Scrapwork buy",$C$3:$C40,C41))),1),0),0)-IF(AND((E41="OK"),B41="Hire hunter"),IF(C41="Briar",140,IF(C41="Quill",3650,IF(C41="Moss",4850,IF(C41="Ember",12200,0)))),0))</f>
        <v/>
      </c>
      <c r="I41" s="7">
        <f>IF(AND((E41="OK"),B41="Fight boss",(IF((((105/'Rules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Formulas'!B12)),0,MIN(IF(G40&lt;=1,120,IF(G40=2,280,600)),I40+IF(AND((E41="OK"),B41="Hunt"),((IF(B41="Hunt",(('Rules &amp; Formulas'!B4*N40*('Rules &amp; Formulas'!B5+O40)*IFERROR(VLOOKUP(C41,Monsters!$T$4:$AH$15,10,FALSE),0)*IFERROR(VLOOKUP(C41,Monsters!$T$4:$AH$15,9,FALSE),0))*'Rules &amp; Formulas'!B6)*IF(D41="",0,D41),0))*(IFERROR(VLOOKUP(C41,Monsters!$T$4:$AH$15,4,FALSE),0))+(IF(OR(B41&lt;&gt;"Hunt",IFERROR(VLOOKUP(C41,Monsters!$T$4:$AH$15,6,FALSE),0)=0),0,FLOOR((IF(B41="Hunt",(('Rules &amp; Formulas'!B4*N40*('Rules &amp; Formulas'!B5+O40)*IFERROR(VLOOKUP(C41,Monsters!$T$4:$AH$15,10,FALSE),0)*IFERROR(VLOOKUP(C41,Monsters!$T$4:$AH$15,9,FALSE),0))*'Rules &amp; Formulas'!B6)*IF(D41="",0,D41),0))/MAX(1,IFERROR(VLOOKUP(C41,Monsters!$T$4:$AH$15,6,FALSE),0)),1)))*(IFERROR(VLOOKUP(C41,Monsters!$T$4:$AH$15,7,FALSE),0))),0)+IF(AND((E41="OK"),B41="Go AFK"),((IF(B41="Go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AFK",IF(D41="",0,D41),0),Z40/60)*60)),0))*(IFERROR(VLOOKUP(C41,Monsters!$T$4:$AH$15,4,FALSE),0))+(IF(OR(B41&lt;&gt;"Go AFK",IFERROR(VLOOKUP(C41,Monsters!$T$4:$AH$15,6,FALSE),0)=0),0,FLOOR((IF(B41="Go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AFK",IF(D41="",0,D41),0),Z40/60)*60)),0))/MAX(1,IFERROR(VLOOKUP(C41,Monsters!$T$4:$AH$15,6,FALSE),0)),1)))*(IFERROR(VLOOKUP(C41,Monsters!$T$4:$AH$15,7,FALSE),0))),0)))</f>
        <v/>
      </c>
      <c r="J41" s="7">
        <f>MAX(0,J40+IF(AND((E41="OK"),B41="Hunt"),(IF(B41="Hunt",(('Rules &amp; Formulas'!B4*N40*('Rules &amp; Formulas'!B5+O40)*IFERROR(VLOOKUP(C41,Monsters!$T$4:$AH$15,10,FALSE),0)*IFERROR(VLOOKUP(C41,Monsters!$T$4:$AH$15,9,FALSE),0))*'Rules &amp; Formulas'!B6)*IF(D41="",0,D41),0))*(IFERROR(VLOOKUP(C41,Monsters!$T$4:$AH$15,5,FALSE),0)),0)+IF(AND((E41="OK"),B41="Go AFK"),(IF(B41="Go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AFK",IF(D41="",0,D41),0),Z40/60)*60)),0))*(IFERROR(VLOOKUP(C41,Monsters!$T$4:$AH$15,5,FALSE),0)),0)-IF(AND((E41="OK"),OR(B41="Buy upgrade",B41="Forge/Scrapwork buy"),IFERROR(VLOOKUP(C41,Upgrades!$N$4:$T$47,2,FALSE),0)="scraps"),IFERROR(FLOOR(IFERROR(VLOOKUP(C41,Upgrades!$N$4:$T$47,3,FALSE),0)*(IFERROR(VLOOKUP(C41,Upgrades!$N$4:$T$47,4,FALSE),0)^(COUNTIFS($B$3:$B40,"Buy upgrade",$C$3:$C40,C41)+COUNTIFS($B$3:$B40,"Hire hunter",$C$3:$C40,C41)+COUNTIFS($B$3:$B40,"Forge/Scrapwork buy",$C$3:$C40,C41))),1),0),0))</f>
        <v/>
      </c>
      <c r="K41" s="7">
        <f>MAX(0,K40+IF(AND((E41="OK"),B41="Hunt"),IF(C41="Thornpelt Bear",(IF(B41="Hunt",(('Rules &amp; Formulas'!B4*N40*('Rules &amp; Formulas'!B5+O40)*IFERROR(VLOOKUP(C41,Monsters!$T$4:$AH$15,10,FALSE),0)*IFERROR(VLOOKUP(C41,Monsters!$T$4:$AH$15,9,FALSE),0))*'Rules &amp; Formulas'!B6)*IF(D41="",0,D41),0))*0.12,0),0)+IF(AND((E41="OK"),B41="Go AFK"),IF(C41="Thornpelt Bear",(IF(B41="Go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AFK",IF(D41="",0,D41),0),Z40/60)*60)),0))*0.12,0),0))</f>
        <v/>
      </c>
      <c r="L41" s="7">
        <f>MAX(0,L40+IF(AND((E41="OK"),B41="Hunt"),IF(C41="Dire Thornpelt",(IF(B41="Hunt",(('Rules &amp; Formulas'!B4*N40*('Rules &amp; Formulas'!B5+O40)*IFERROR(VLOOKUP(C41,Monsters!$T$4:$AH$15,10,FALSE),0)*IFERROR(VLOOKUP(C41,Monsters!$T$4:$AH$15,9,FALSE),0))*'Rules &amp; Formulas'!B6)*IF(D41="",0,D41),0))*0.1,0),0)+IF(AND((E41="OK"),B41="Go AFK"),IF(C41="Dire Thornpelt",(IF(B41="Go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AFK",IF(D41="",0,D41),0),Z40/60)*60)),0))*0.1,0),0))</f>
        <v/>
      </c>
      <c r="M41" s="7">
        <f>IF(AND((E41="OK"),B41="Go AFK"),MAX(0,MIN(('Rules &amp; Formulas'!B15+25*AJ40),M40+('Rules &amp; Formulas'!B14+0.4*AJ40)*(MIN(IF(B41="Go AFK",IF(D41="",0,D41),0),Z40/60)*60))-(IF(B41="Go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AFK",IF(D41="",0,D41),0),Z40/60)*60)),0))*(IF((IFERROR(VLOOKUP(C41,Monsters!$T$4:$AH$15,8,FALSE),0))=0,0.35,IFERROR(VLOOKUP(C41,Monsters!$T$4:$AH$15,8,FALSE),0))/(1+0.08*AK40))),MIN(('Rules &amp; Formulas'!B15+25*AJ41),M40))</f>
        <v/>
      </c>
      <c r="N41" s="7">
        <f>(1+0.08+0.12*AA41+0.12*AB41+0.16*AC41)</f>
        <v/>
      </c>
      <c r="O41" s="7">
        <f>((AD41&gt;=1)*1*(1+0.3*AE41))</f>
        <v/>
      </c>
      <c r="P41" s="7">
        <f>IF(OR(B41="Hunt",B41="Go AFK"),(('Rules &amp; Formulas'!B4*N40*('Rules &amp; Formulas'!B5+O40)*IFERROR(VLOOKUP(C41,Monsters!$T$4:$AH$15,10,FALSE),0)*IFERROR(VLOOKUP(C41,Monsters!$T$4:$AH$15,9,FALSE),0))*'Rules &amp; Formulas'!B6),"")</f>
        <v/>
      </c>
      <c r="Q41" s="7">
        <f>IF(OR(B41="Hunt",B41="Go AFK"),('Rules &amp; Formulas'!B4*N40*('Rules &amp; Formulas'!B5+O40)*IFERROR(VLOOKUP(C41,Monsters!$T$4:$AH$15,10,FALSE),0)*IFERROR(VLOOKUP(C41,Monsters!$T$4:$AH$15,9,FALSE),0)),"")</f>
        <v/>
      </c>
      <c r="R41" s="7">
        <f>IF(AND((E41="OK"),B41="Hunt"),IF(B41="Hunt",(('Rules &amp; Formulas'!B4*N40*('Rules &amp; Formulas'!B5+O40)*IFERROR(VLOOKUP(C41,Monsters!$T$4:$AH$15,10,FALSE),0)*IFERROR(VLOOKUP(C41,Monsters!$T$4:$AH$15,9,FALSE),0))*'Rules &amp; Formulas'!B6)*IF(D41="",0,D41),0),IF(AND((E41="OK"),B41="Go AFK"),IF(B41="Go AFK",MIN(IF((IF((IFERROR(VLOOKUP(C41,Monsters!$T$4:$AH$15,8,FALSE),0))=0,0.35,IFERROR(VLOOKUP(C41,Monsters!$T$4:$AH$15,8,FALSE),0))/(1+0.08*AK40))&lt;=0,999999,FLOOR(MIN(('Rules &amp; Formulas'!B15+25*AJ40),M40+('Rules &amp; Formulas'!B14+0.4*AJ40)*(MIN(IF(B41="Go AFK",IF(D41="",0,D41),0),Z40/60)*60))/(IF((IFERROR(VLOOKUP(C41,Monsters!$T$4:$AH$15,8,FALSE),0))=0,0.35,IFERROR(VLOOKUP(C41,Monsters!$T$4:$AH$15,8,FALSE),0))/(1+0.08*AK40)),1)),('Rules &amp; Formulas'!B4*N40*('Rules &amp; Formulas'!B5+O40)*IFERROR(VLOOKUP(C41,Monsters!$T$4:$AH$15,10,FALSE),0)*IFERROR(VLOOKUP(C41,Monsters!$T$4:$AH$15,9,FALSE),0))*(MIN(IF(B41="Go AFK",IF(D41="",0,D41),0),Z40/60)*60)),0),0))</f>
        <v/>
      </c>
      <c r="S41" s="7">
        <f>(105/'Rules &amp; Formulas'!B10)*'Rules &amp; Formulas'!B11</f>
        <v/>
      </c>
      <c r="T41" s="7">
        <f>IF(AD40&gt;=1,(MAX(1,ROUND('Rules &amp; Formulas'!B18*(1+0.3*AE40)*(1+0.4*AF40),0)))*(1000/'Rules &amp; Formulas'!B19)*MIN(0.95,'Rules &amp; Formulas'!B20*SQRT(1+0.55*(AG40&gt;=1))),0)</f>
        <v/>
      </c>
      <c r="U41" s="7">
        <f>S41+T41</f>
        <v/>
      </c>
      <c r="V41" s="7">
        <f>IF(I40&gt;=IF((IFERROR(VLOOKUP(C41,Monsters!$T$4:$AH$15,15,FALSE),0))=0,120,IFERROR(VLOOKUP(C41,Monsters!$T$4:$AH$15,15,FALSE),0)),"YES","no")</f>
        <v/>
      </c>
      <c r="W41" s="7">
        <f>IF(AND(B41="Fight boss",E41="OK"),IF((((105/'Rules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Formulas'!B20*SQRT(1+0.55*(AG40&gt;=1))),0)))),"")</f>
        <v/>
      </c>
      <c r="X41" s="7">
        <f>IF(AND(B41="Fight boss",E41="OK"),IF((IF((((105/'Rules &amp; Formulas'!B10)*'Rules &amp; Formulas'!B11+IF(AD40&gt;=1,(MAX(1,ROUND('Rules &amp; Formulas'!B18*(1+0.3*AE40)*(1+0.4*AF40),0)))*(1000/'Rules &amp; Formulas'!B19)*MIN(0.95,'Rules &amp; Formulas'!B20*SQRT(1+0.55*(AG40&gt;=1))),0)))&lt;=0,9999,(IFERROR(VLOOKUP(C41,Monsters!$T$4:$AH$15,2,FALSE),0))/(((105/'Rules &amp; Formulas'!B10)*'Rules &amp; Formulas'!B11+IF(AD40&gt;=1,(MAX(1,ROUND('Rules &amp; Formulas'!B18*(1+0.3*AE40)*(1+0.4*AF40),0)))*(1000/'Rules &amp; Formulas'!B19)*MIN(0.95,'Rules &amp; Formulas'!B20*SQRT(1+0.55*(AG40&gt;=1))),0))))&lt;='Rules &amp; Formulas'!B12),"WIN","LOSE"),"")</f>
        <v/>
      </c>
      <c r="Y41" s="7">
        <f>IF(B41="Go AFK",MIN(IF(B41="Go AFK",IF(D41="",0,D41),0),Z40/60),"")</f>
        <v/>
      </c>
      <c r="Z41" s="7">
        <f>('Rules &amp; Formulas'!B13+30*AI41)</f>
        <v/>
      </c>
      <c r="AA41">
        <f>COUNTIFS($B$3:$B41,"Buy upgrade",$C$3:$C41,"Idle Power")</f>
        <v/>
      </c>
      <c r="AB41">
        <f>COUNTIFS($B$3:$B41,"Buy upgrade",$C$3:$C41,"Iron Blade")</f>
        <v/>
      </c>
      <c r="AC41">
        <f>COUNTIFS($B$3:$B41,"Buy upgrade",$C$3:$C41,"Steel Blade")</f>
        <v/>
      </c>
      <c r="AD41">
        <f>COUNTIFS($B$3:$B41,"Hire hunter",$C$3:$C41,"Briar")+COUNTIFS($B$3:$B41,"Buy upgrade",$C$3:$C41,"Hire Briar")</f>
        <v/>
      </c>
      <c r="AE41">
        <f>COUNTIFS($B$3:$B41,"Buy upgrade",$C$3:$C41,"Hunter Power")</f>
        <v/>
      </c>
      <c r="AF41">
        <f>COUNTIFS($B$3:$B41,"Buy upgrade",$C$3:$C41,"Bigger Hits")</f>
        <v/>
      </c>
      <c r="AG41">
        <f>COUNTIFS($B$3:$B41,"Buy upgrade",$C$3:$C41,"Swift Walk")</f>
        <v/>
      </c>
      <c r="AH41">
        <f>COUNTIFS($B$3:$B41,"Buy upgrade",$C$3:$C41,"Loot Luck")</f>
        <v/>
      </c>
      <c r="AI41">
        <f>COUNTIFS($B$3:$B41,"Buy upgrade",$C$3:$C41,"Offline Cap")</f>
        <v/>
      </c>
      <c r="AJ41">
        <f>COUNTIFS($B$3:$B41,"Buy upgrade",$C$3:$C41,"Bigger Food Stock")</f>
        <v/>
      </c>
      <c r="AK41">
        <f>COUNTIFS($B$3:$B41,"Buy upgrade",$C$3:$C41,"Food Efficiency")</f>
        <v/>
      </c>
    </row>
    <row r="42">
      <c r="A42" t="n">
        <v>40</v>
      </c>
      <c r="B42" s="6" t="n"/>
      <c r="C42" s="6" t="n"/>
      <c r="D42" s="6" t="n"/>
      <c r="E42" s="7">
        <f>IF(B42="","",IF(OR(B42="Hunt",B42="Go AFK"),IF(C42="","Can't","OK"),IF(B42="Fight boss",IF(I41&lt;IF((IFERROR(VLOOKUP(C42,Monsters!$T$4:$AH$15,15,FALSE),0))=0,120,IFERROR(VLOOKUP(C42,Monsters!$T$4:$AH$15,15,FALSE),0)),"Can't","OK"),IF(B42="Hire hunter",IF(AND(C42="Briar",AD41&gt;=1),"Can't",IF(H41&lt;IF(C42="Briar",140,IF(C42="Quill",3650,IF(C42="Moss",4850,IF(C42="Ember",12200,0)))),"Can't","OK")),IF(OR(B42="Buy upgrade",B42="Forge/Scrapwork buy"),IF(IFERROR(VLOOKUP(C42,Upgrades!$N$4:$T$47,2,FALSE),0)="points","Can't",IF(IFERROR(VLOOKUP(C42,Upgrades!$N$4:$T$47,2,FALSE),0)="gold",IF(H41&lt;IFERROR(FLOOR(IFERROR(VLOOKUP(C42,Upgrades!$N$4:$T$47,3,FALSE),0)*(IFERROR(VLOOKUP(C42,Upgrades!$N$4:$T$47,4,FALSE),0)^(COUNTIFS($B$3:$B41,"Buy upgrade",$C$3:$C41,C42)+COUNTIFS($B$3:$B41,"Hire hunter",$C$3:$C41,C42)+COUNTIFS($B$3:$B41,"Forge/Scrapwork buy",$C$3:$C41,C42))),1),0),"Can't","OK"),IF(IFERROR(VLOOKUP(C42,Upgrades!$N$4:$T$47,2,FALSE),0)="scraps",IF(J41&lt;IFERROR(FLOOR(IFERROR(VLOOKUP(C42,Upgrades!$N$4:$T$47,3,FALSE),0)*(IFERROR(VLOOKUP(C42,Upgrades!$N$4:$T$47,4,FALSE),0)^(COUNTIFS($B$3:$B41,"Buy upgrade",$C$3:$C41,C42)+COUNTIFS($B$3:$B41,"Hire hunter",$C$3:$C41,C42)+COUNTIFS($B$3:$B41,"Forge/Scrapwork buy",$C$3:$C41,C42))),1),0),"Can't","OK"),IF(IFERROR(VLOOKUP(C42,Upgrades!$N$4:$T$47,2,FALSE),0)="mats","Can't","OK")))),"Check")))))</f>
        <v/>
      </c>
      <c r="F42" s="7">
        <f>IF(B42="","",IF(AND(B42="Fight boss",I41&lt;IF((IFERROR(VLOOKUP(C42,Monsters!$T$4:$AH$15,15,FALSE),0))=0,120,IFERROR(VLOOKUP(C42,Monsters!$T$4:$AH$15,15,FALSE),0))),"Can't — need "&amp;TEXT(IF((IFERROR(VLOOKUP(C42,Monsters!$T$4:$AH$15,15,FALSE),0))=0,120,IFERROR(VLOOKUP(C42,Monsters!$T$4:$AH$15,15,FALSE),0))-I41,"0.0")&amp;" more Slayer points on the meter",IF(AND(B42="Hire hunter",C42="Briar",AD41&gt;=1),"Can't — already hired",IF(AND(B42="Hire hunter",H41&lt;IF(C42="Briar",140,IF(C42="Quill",3650,IF(C42="Moss",4850,IF(C42="Ember",12200,0))))),"Can't — need "&amp;TEXT(IF(C42="Briar",140,IF(C42="Quill",3650,IF(C42="Moss",4850,IF(C42="Ember",12200,0))))-H41,"0")&amp;" more gold",IF(AND(OR(B42="Buy upgrade",B42="Forge/Scrapwork buy"),IFERROR(VLOOKUP(C42,Upgrades!$N$4:$T$47,2,FALSE),0)="points"),"Can't — Sp-wallet spends not tracked here",IF(AND(OR(B42="Buy upgrade",B42="Forge/Scrapwork buy"),IFERROR(VLOOKUP(C42,Upgrades!$N$4:$T$47,2,FALSE),0)="gold",H41&lt;IFERROR(FLOOR(IFERROR(VLOOKUP(C42,Upgrades!$N$4:$T$47,3,FALSE),0)*(IFERROR(VLOOKUP(C42,Upgrades!$N$4:$T$47,4,FALSE),0)^(COUNTIFS($B$3:$B41,"Buy upgrade",$C$3:$C41,C42)+COUNTIFS($B$3:$B41,"Hire hunter",$C$3:$C41,C42)+COUNTIFS($B$3:$B41,"Forge/Scrapwork buy",$C$3:$C41,C42))),1),0)),"Can't — need "&amp;TEXT(IFERROR(FLOOR(IFERROR(VLOOKUP(C42,Upgrades!$N$4:$T$47,3,FALSE),0)*(IFERROR(VLOOKUP(C42,Upgrades!$N$4:$T$47,4,FALSE),0)^(COUNTIFS($B$3:$B41,"Buy upgrade",$C$3:$C41,C42)+COUNTIFS($B$3:$B41,"Hire hunter",$C$3:$C41,C42)+COUNTIFS($B$3:$B41,"Forge/Scrapwork buy",$C$3:$C41,C42))),1),0)-H41,"0")&amp;" more gold",IF(AND(OR(B42="Buy upgrade",B42="Forge/Scrapwork buy"),IFERROR(VLOOKUP(C42,Upgrades!$N$4:$T$47,2,FALSE),0)="scraps",J41&lt;IFERROR(FLOOR(IFERROR(VLOOKUP(C42,Upgrades!$N$4:$T$47,3,FALSE),0)*(IFERROR(VLOOKUP(C42,Upgrades!$N$4:$T$47,4,FALSE),0)^(COUNTIFS($B$3:$B41,"Buy upgrade",$C$3:$C41,C42)+COUNTIFS($B$3:$B41,"Hire hunter",$C$3:$C41,C42)+COUNTIFS($B$3:$B41,"Forge/Scrapwork buy",$C$3:$C41,C42))),1),0)),"Can't — need "&amp;TEXT(IFERROR(FLOOR(IFERROR(VLOOKUP(C42,Upgrades!$N$4:$T$47,3,FALSE),0)*(IFERROR(VLOOKUP(C42,Upgrades!$N$4:$T$47,4,FALSE),0)^(COUNTIFS($B$3:$B41,"Buy upgrade",$C$3:$C41,C42)+COUNTIFS($B$3:$B41,"Hire hunter",$C$3:$C41,C42)+COUNTIFS($B$3:$B41,"Forge/Scrapwork buy",$C$3:$C41,C42))),1),0)-J41,"0")&amp;" more scraps",IF(AND(B42="Fight boss",E42="OK",(IF((((105/'Rules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Formulas'!B12)),"WIN — boss down, next Level unlocks",IF(AND(B42="Fight boss",E42="OK"),"LOSE — TTK "&amp;TEXT(IF((((105/'Rules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Formulas'!B20*SQRT(1+0.55*(AG41&gt;=1))),0)))),"0")&amp;"s &gt; patience "&amp;TEXT('Rules &amp; Formulas'!B12,"0")&amp;"s (leave resets HP)",IF(B42="Go AFK","AFK resolved (see AFK counted h)","Applied")))))))))</f>
        <v/>
      </c>
      <c r="G42" s="7">
        <f>IF(AND((E42="OK"),B42="Fight boss",(IF((((105/'Rules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Formulas'!B12),C42="Elder Thornpelt"),2,IF(AND((E42="OK"),B42="Fight boss",(IF((((105/'Rules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Formulas'!B12),C42="Ashfang Alpha"),3,G41))</f>
        <v/>
      </c>
      <c r="H42" s="7">
        <f>MAX(0,H41+IF(AND((E42="OK"),B42="Hunt"),(IF(B42="Hunt",(('Rules &amp; Formulas'!B4*N41*('Rules &amp; Formulas'!B5+O41)*IFERROR(VLOOKUP(C42,Monsters!$T$4:$AH$15,10,FALSE),0)*IFERROR(VLOOKUP(C42,Monsters!$T$4:$AH$15,9,FALSE),0))*'Rules &amp; Formulas'!B6)*IF(D42="",0,D42),0))*(IFERROR(VLOOKUP(C42,Monsters!$T$4:$AH$15,3,FALSE),0))*(1+0.1*AH41)+(IF(OR(B42&lt;&gt;"Hunt",IFERROR(VLOOKUP(C42,Monsters!$T$4:$AH$15,6,FALSE),0)=0),0,FLOOR((IF(B42="Hunt",(('Rules &amp; Formulas'!B4*N41*('Rules &amp; Formulas'!B5+O41)*IFERROR(VLOOKUP(C42,Monsters!$T$4:$AH$15,10,FALSE),0)*IFERROR(VLOOKUP(C42,Monsters!$T$4:$AH$15,9,FALSE),0))*'Rules &amp; Formulas'!B6)*IF(D42="",0,D42),0))/MAX(1,IFERROR(VLOOKUP(C42,Monsters!$T$4:$AH$15,6,FALSE),0)),1)))*(IFERROR(VLOOKUP(C42,Monsters!$T$4:$AH$15,7,FALSE),0))*0.5*(1+0.1*AH41),0)+IF(AND((E42="OK"),B42="Go AFK"),(IF(B42="Go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AFK",IF(D42="",0,D42),0),Z41/60)*60)),0))*(IFERROR(VLOOKUP(C42,Monsters!$T$4:$AH$15,3,FALSE),0))*(1+0.1*AH41)+(IF(OR(B42&lt;&gt;"Go AFK",IFERROR(VLOOKUP(C42,Monsters!$T$4:$AH$15,6,FALSE),0)=0),0,FLOOR((IF(B42="Go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AFK",IF(D42="",0,D42),0),Z41/60)*60)),0))/MAX(1,IFERROR(VLOOKUP(C42,Monsters!$T$4:$AH$15,6,FALSE),0)),1)))*(IFERROR(VLOOKUP(C42,Monsters!$T$4:$AH$15,7,FALSE),0))*0.5*(1+0.1*AH41),0)+IF(AND((E42="OK"),B42="Fight boss",(IF((((105/'Rules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Formulas'!B12)),IFERROR(VLOOKUP(C42,Monsters!$T$4:$AH$15,3,FALSE),0),0)-IF(AND((E42="OK"),OR(B42="Buy upgrade",B42="Forge/Scrapwork buy"),IFERROR(VLOOKUP(C42,Upgrades!$N$4:$T$47,2,FALSE),0)="gold"),IFERROR(FLOOR(IFERROR(VLOOKUP(C42,Upgrades!$N$4:$T$47,3,FALSE),0)*(IFERROR(VLOOKUP(C42,Upgrades!$N$4:$T$47,4,FALSE),0)^(COUNTIFS($B$3:$B41,"Buy upgrade",$C$3:$C41,C42)+COUNTIFS($B$3:$B41,"Hire hunter",$C$3:$C41,C42)+COUNTIFS($B$3:$B41,"Forge/Scrapwork buy",$C$3:$C41,C42))),1),0),0)-IF(AND((E42="OK"),B42="Hire hunter"),IF(C42="Briar",140,IF(C42="Quill",3650,IF(C42="Moss",4850,IF(C42="Ember",12200,0)))),0))</f>
        <v/>
      </c>
      <c r="I42" s="7">
        <f>IF(AND((E42="OK"),B42="Fight boss",(IF((((105/'Rules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Formulas'!B12)),0,MIN(IF(G41&lt;=1,120,IF(G41=2,280,600)),I41+IF(AND((E42="OK"),B42="Hunt"),((IF(B42="Hunt",(('Rules &amp; Formulas'!B4*N41*('Rules &amp; Formulas'!B5+O41)*IFERROR(VLOOKUP(C42,Monsters!$T$4:$AH$15,10,FALSE),0)*IFERROR(VLOOKUP(C42,Monsters!$T$4:$AH$15,9,FALSE),0))*'Rules &amp; Formulas'!B6)*IF(D42="",0,D42),0))*(IFERROR(VLOOKUP(C42,Monsters!$T$4:$AH$15,4,FALSE),0))+(IF(OR(B42&lt;&gt;"Hunt",IFERROR(VLOOKUP(C42,Monsters!$T$4:$AH$15,6,FALSE),0)=0),0,FLOOR((IF(B42="Hunt",(('Rules &amp; Formulas'!B4*N41*('Rules &amp; Formulas'!B5+O41)*IFERROR(VLOOKUP(C42,Monsters!$T$4:$AH$15,10,FALSE),0)*IFERROR(VLOOKUP(C42,Monsters!$T$4:$AH$15,9,FALSE),0))*'Rules &amp; Formulas'!B6)*IF(D42="",0,D42),0))/MAX(1,IFERROR(VLOOKUP(C42,Monsters!$T$4:$AH$15,6,FALSE),0)),1)))*(IFERROR(VLOOKUP(C42,Monsters!$T$4:$AH$15,7,FALSE),0))),0)+IF(AND((E42="OK"),B42="Go AFK"),((IF(B42="Go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AFK",IF(D42="",0,D42),0),Z41/60)*60)),0))*(IFERROR(VLOOKUP(C42,Monsters!$T$4:$AH$15,4,FALSE),0))+(IF(OR(B42&lt;&gt;"Go AFK",IFERROR(VLOOKUP(C42,Monsters!$T$4:$AH$15,6,FALSE),0)=0),0,FLOOR((IF(B42="Go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AFK",IF(D42="",0,D42),0),Z41/60)*60)),0))/MAX(1,IFERROR(VLOOKUP(C42,Monsters!$T$4:$AH$15,6,FALSE),0)),1)))*(IFERROR(VLOOKUP(C42,Monsters!$T$4:$AH$15,7,FALSE),0))),0)))</f>
        <v/>
      </c>
      <c r="J42" s="7">
        <f>MAX(0,J41+IF(AND((E42="OK"),B42="Hunt"),(IF(B42="Hunt",(('Rules &amp; Formulas'!B4*N41*('Rules &amp; Formulas'!B5+O41)*IFERROR(VLOOKUP(C42,Monsters!$T$4:$AH$15,10,FALSE),0)*IFERROR(VLOOKUP(C42,Monsters!$T$4:$AH$15,9,FALSE),0))*'Rules &amp; Formulas'!B6)*IF(D42="",0,D42),0))*(IFERROR(VLOOKUP(C42,Monsters!$T$4:$AH$15,5,FALSE),0)),0)+IF(AND((E42="OK"),B42="Go AFK"),(IF(B42="Go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AFK",IF(D42="",0,D42),0),Z41/60)*60)),0))*(IFERROR(VLOOKUP(C42,Monsters!$T$4:$AH$15,5,FALSE),0)),0)-IF(AND((E42="OK"),OR(B42="Buy upgrade",B42="Forge/Scrapwork buy"),IFERROR(VLOOKUP(C42,Upgrades!$N$4:$T$47,2,FALSE),0)="scraps"),IFERROR(FLOOR(IFERROR(VLOOKUP(C42,Upgrades!$N$4:$T$47,3,FALSE),0)*(IFERROR(VLOOKUP(C42,Upgrades!$N$4:$T$47,4,FALSE),0)^(COUNTIFS($B$3:$B41,"Buy upgrade",$C$3:$C41,C42)+COUNTIFS($B$3:$B41,"Hire hunter",$C$3:$C41,C42)+COUNTIFS($B$3:$B41,"Forge/Scrapwork buy",$C$3:$C41,C42))),1),0),0))</f>
        <v/>
      </c>
      <c r="K42" s="7">
        <f>MAX(0,K41+IF(AND((E42="OK"),B42="Hunt"),IF(C42="Thornpelt Bear",(IF(B42="Hunt",(('Rules &amp; Formulas'!B4*N41*('Rules &amp; Formulas'!B5+O41)*IFERROR(VLOOKUP(C42,Monsters!$T$4:$AH$15,10,FALSE),0)*IFERROR(VLOOKUP(C42,Monsters!$T$4:$AH$15,9,FALSE),0))*'Rules &amp; Formulas'!B6)*IF(D42="",0,D42),0))*0.12,0),0)+IF(AND((E42="OK"),B42="Go AFK"),IF(C42="Thornpelt Bear",(IF(B42="Go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AFK",IF(D42="",0,D42),0),Z41/60)*60)),0))*0.12,0),0))</f>
        <v/>
      </c>
      <c r="L42" s="7">
        <f>MAX(0,L41+IF(AND((E42="OK"),B42="Hunt"),IF(C42="Dire Thornpelt",(IF(B42="Hunt",(('Rules &amp; Formulas'!B4*N41*('Rules &amp; Formulas'!B5+O41)*IFERROR(VLOOKUP(C42,Monsters!$T$4:$AH$15,10,FALSE),0)*IFERROR(VLOOKUP(C42,Monsters!$T$4:$AH$15,9,FALSE),0))*'Rules &amp; Formulas'!B6)*IF(D42="",0,D42),0))*0.1,0),0)+IF(AND((E42="OK"),B42="Go AFK"),IF(C42="Dire Thornpelt",(IF(B42="Go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AFK",IF(D42="",0,D42),0),Z41/60)*60)),0))*0.1,0),0))</f>
        <v/>
      </c>
      <c r="M42" s="7">
        <f>IF(AND((E42="OK"),B42="Go AFK"),MAX(0,MIN(('Rules &amp; Formulas'!B15+25*AJ41),M41+('Rules &amp; Formulas'!B14+0.4*AJ41)*(MIN(IF(B42="Go AFK",IF(D42="",0,D42),0),Z41/60)*60))-(IF(B42="Go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AFK",IF(D42="",0,D42),0),Z41/60)*60)),0))*(IF((IFERROR(VLOOKUP(C42,Monsters!$T$4:$AH$15,8,FALSE),0))=0,0.35,IFERROR(VLOOKUP(C42,Monsters!$T$4:$AH$15,8,FALSE),0))/(1+0.08*AK41))),MIN(('Rules &amp; Formulas'!B15+25*AJ42),M41))</f>
        <v/>
      </c>
      <c r="N42" s="7">
        <f>(1+0.08+0.12*AA42+0.12*AB42+0.16*AC42)</f>
        <v/>
      </c>
      <c r="O42" s="7">
        <f>((AD42&gt;=1)*1*(1+0.3*AE42))</f>
        <v/>
      </c>
      <c r="P42" s="7">
        <f>IF(OR(B42="Hunt",B42="Go AFK"),(('Rules &amp; Formulas'!B4*N41*('Rules &amp; Formulas'!B5+O41)*IFERROR(VLOOKUP(C42,Monsters!$T$4:$AH$15,10,FALSE),0)*IFERROR(VLOOKUP(C42,Monsters!$T$4:$AH$15,9,FALSE),0))*'Rules &amp; Formulas'!B6),"")</f>
        <v/>
      </c>
      <c r="Q42" s="7">
        <f>IF(OR(B42="Hunt",B42="Go AFK"),('Rules &amp; Formulas'!B4*N41*('Rules &amp; Formulas'!B5+O41)*IFERROR(VLOOKUP(C42,Monsters!$T$4:$AH$15,10,FALSE),0)*IFERROR(VLOOKUP(C42,Monsters!$T$4:$AH$15,9,FALSE),0)),"")</f>
        <v/>
      </c>
      <c r="R42" s="7">
        <f>IF(AND((E42="OK"),B42="Hunt"),IF(B42="Hunt",(('Rules &amp; Formulas'!B4*N41*('Rules &amp; Formulas'!B5+O41)*IFERROR(VLOOKUP(C42,Monsters!$T$4:$AH$15,10,FALSE),0)*IFERROR(VLOOKUP(C42,Monsters!$T$4:$AH$15,9,FALSE),0))*'Rules &amp; Formulas'!B6)*IF(D42="",0,D42),0),IF(AND((E42="OK"),B42="Go AFK"),IF(B42="Go AFK",MIN(IF((IF((IFERROR(VLOOKUP(C42,Monsters!$T$4:$AH$15,8,FALSE),0))=0,0.35,IFERROR(VLOOKUP(C42,Monsters!$T$4:$AH$15,8,FALSE),0))/(1+0.08*AK41))&lt;=0,999999,FLOOR(MIN(('Rules &amp; Formulas'!B15+25*AJ41),M41+('Rules &amp; Formulas'!B14+0.4*AJ41)*(MIN(IF(B42="Go AFK",IF(D42="",0,D42),0),Z41/60)*60))/(IF((IFERROR(VLOOKUP(C42,Monsters!$T$4:$AH$15,8,FALSE),0))=0,0.35,IFERROR(VLOOKUP(C42,Monsters!$T$4:$AH$15,8,FALSE),0))/(1+0.08*AK41)),1)),('Rules &amp; Formulas'!B4*N41*('Rules &amp; Formulas'!B5+O41)*IFERROR(VLOOKUP(C42,Monsters!$T$4:$AH$15,10,FALSE),0)*IFERROR(VLOOKUP(C42,Monsters!$T$4:$AH$15,9,FALSE),0))*(MIN(IF(B42="Go AFK",IF(D42="",0,D42),0),Z41/60)*60)),0),0))</f>
        <v/>
      </c>
      <c r="S42" s="7">
        <f>(105/'Rules &amp; Formulas'!B10)*'Rules &amp; Formulas'!B11</f>
        <v/>
      </c>
      <c r="T42" s="7">
        <f>IF(AD41&gt;=1,(MAX(1,ROUND('Rules &amp; Formulas'!B18*(1+0.3*AE41)*(1+0.4*AF41),0)))*(1000/'Rules &amp; Formulas'!B19)*MIN(0.95,'Rules &amp; Formulas'!B20*SQRT(1+0.55*(AG41&gt;=1))),0)</f>
        <v/>
      </c>
      <c r="U42" s="7">
        <f>S42+T42</f>
        <v/>
      </c>
      <c r="V42" s="7">
        <f>IF(I41&gt;=IF((IFERROR(VLOOKUP(C42,Monsters!$T$4:$AH$15,15,FALSE),0))=0,120,IFERROR(VLOOKUP(C42,Monsters!$T$4:$AH$15,15,FALSE),0)),"YES","no")</f>
        <v/>
      </c>
      <c r="W42" s="7">
        <f>IF(AND(B42="Fight boss",E42="OK"),IF((((105/'Rules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Formulas'!B20*SQRT(1+0.55*(AG41&gt;=1))),0)))),"")</f>
        <v/>
      </c>
      <c r="X42" s="7">
        <f>IF(AND(B42="Fight boss",E42="OK"),IF((IF((((105/'Rules &amp; Formulas'!B10)*'Rules &amp; Formulas'!B11+IF(AD41&gt;=1,(MAX(1,ROUND('Rules &amp; Formulas'!B18*(1+0.3*AE41)*(1+0.4*AF41),0)))*(1000/'Rules &amp; Formulas'!B19)*MIN(0.95,'Rules &amp; Formulas'!B20*SQRT(1+0.55*(AG41&gt;=1))),0)))&lt;=0,9999,(IFERROR(VLOOKUP(C42,Monsters!$T$4:$AH$15,2,FALSE),0))/(((105/'Rules &amp; Formulas'!B10)*'Rules &amp; Formulas'!B11+IF(AD41&gt;=1,(MAX(1,ROUND('Rules &amp; Formulas'!B18*(1+0.3*AE41)*(1+0.4*AF41),0)))*(1000/'Rules &amp; Formulas'!B19)*MIN(0.95,'Rules &amp; Formulas'!B20*SQRT(1+0.55*(AG41&gt;=1))),0))))&lt;='Rules &amp; Formulas'!B12),"WIN","LOSE"),"")</f>
        <v/>
      </c>
      <c r="Y42" s="7">
        <f>IF(B42="Go AFK",MIN(IF(B42="Go AFK",IF(D42="",0,D42),0),Z41/60),"")</f>
        <v/>
      </c>
      <c r="Z42" s="7">
        <f>('Rules &amp; Formulas'!B13+30*AI42)</f>
        <v/>
      </c>
      <c r="AA42">
        <f>COUNTIFS($B$3:$B42,"Buy upgrade",$C$3:$C42,"Idle Power")</f>
        <v/>
      </c>
      <c r="AB42">
        <f>COUNTIFS($B$3:$B42,"Buy upgrade",$C$3:$C42,"Iron Blade")</f>
        <v/>
      </c>
      <c r="AC42">
        <f>COUNTIFS($B$3:$B42,"Buy upgrade",$C$3:$C42,"Steel Blade")</f>
        <v/>
      </c>
      <c r="AD42">
        <f>COUNTIFS($B$3:$B42,"Hire hunter",$C$3:$C42,"Briar")+COUNTIFS($B$3:$B42,"Buy upgrade",$C$3:$C42,"Hire Briar")</f>
        <v/>
      </c>
      <c r="AE42">
        <f>COUNTIFS($B$3:$B42,"Buy upgrade",$C$3:$C42,"Hunter Power")</f>
        <v/>
      </c>
      <c r="AF42">
        <f>COUNTIFS($B$3:$B42,"Buy upgrade",$C$3:$C42,"Bigger Hits")</f>
        <v/>
      </c>
      <c r="AG42">
        <f>COUNTIFS($B$3:$B42,"Buy upgrade",$C$3:$C42,"Swift Walk")</f>
        <v/>
      </c>
      <c r="AH42">
        <f>COUNTIFS($B$3:$B42,"Buy upgrade",$C$3:$C42,"Loot Luck")</f>
        <v/>
      </c>
      <c r="AI42">
        <f>COUNTIFS($B$3:$B42,"Buy upgrade",$C$3:$C42,"Offline Cap")</f>
        <v/>
      </c>
      <c r="AJ42">
        <f>COUNTIFS($B$3:$B42,"Buy upgrade",$C$3:$C42,"Bigger Food Stock")</f>
        <v/>
      </c>
      <c r="AK42">
        <f>COUNTIFS($B$3:$B42,"Buy upgrade",$C$3:$C42,"Food Efficiency")</f>
        <v/>
      </c>
    </row>
    <row r="43">
      <c r="A43" t="n">
        <v>41</v>
      </c>
      <c r="B43" s="6" t="n"/>
      <c r="C43" s="6" t="n"/>
      <c r="D43" s="6" t="n"/>
      <c r="E43" s="7">
        <f>IF(B43="","",IF(OR(B43="Hunt",B43="Go AFK"),IF(C43="","Can't","OK"),IF(B43="Fight boss",IF(I42&lt;IF((IFERROR(VLOOKUP(C43,Monsters!$T$4:$AH$15,15,FALSE),0))=0,120,IFERROR(VLOOKUP(C43,Monsters!$T$4:$AH$15,15,FALSE),0)),"Can't","OK"),IF(B43="Hire hunter",IF(AND(C43="Briar",AD42&gt;=1),"Can't",IF(H42&lt;IF(C43="Briar",140,IF(C43="Quill",3650,IF(C43="Moss",4850,IF(C43="Ember",12200,0)))),"Can't","OK")),IF(OR(B43="Buy upgrade",B43="Forge/Scrapwork buy"),IF(IFERROR(VLOOKUP(C43,Upgrades!$N$4:$T$47,2,FALSE),0)="points","Can't",IF(IFERROR(VLOOKUP(C43,Upgrades!$N$4:$T$47,2,FALSE),0)="gold",IF(H42&lt;IFERROR(FLOOR(IFERROR(VLOOKUP(C43,Upgrades!$N$4:$T$47,3,FALSE),0)*(IFERROR(VLOOKUP(C43,Upgrades!$N$4:$T$47,4,FALSE),0)^(COUNTIFS($B$3:$B42,"Buy upgrade",$C$3:$C42,C43)+COUNTIFS($B$3:$B42,"Hire hunter",$C$3:$C42,C43)+COUNTIFS($B$3:$B42,"Forge/Scrapwork buy",$C$3:$C42,C43))),1),0),"Can't","OK"),IF(IFERROR(VLOOKUP(C43,Upgrades!$N$4:$T$47,2,FALSE),0)="scraps",IF(J42&lt;IFERROR(FLOOR(IFERROR(VLOOKUP(C43,Upgrades!$N$4:$T$47,3,FALSE),0)*(IFERROR(VLOOKUP(C43,Upgrades!$N$4:$T$47,4,FALSE),0)^(COUNTIFS($B$3:$B42,"Buy upgrade",$C$3:$C42,C43)+COUNTIFS($B$3:$B42,"Hire hunter",$C$3:$C42,C43)+COUNTIFS($B$3:$B42,"Forge/Scrapwork buy",$C$3:$C42,C43))),1),0),"Can't","OK"),IF(IFERROR(VLOOKUP(C43,Upgrades!$N$4:$T$47,2,FALSE),0)="mats","Can't","OK")))),"Check")))))</f>
        <v/>
      </c>
      <c r="F43" s="7">
        <f>IF(B43="","",IF(AND(B43="Fight boss",I42&lt;IF((IFERROR(VLOOKUP(C43,Monsters!$T$4:$AH$15,15,FALSE),0))=0,120,IFERROR(VLOOKUP(C43,Monsters!$T$4:$AH$15,15,FALSE),0))),"Can't — need "&amp;TEXT(IF((IFERROR(VLOOKUP(C43,Monsters!$T$4:$AH$15,15,FALSE),0))=0,120,IFERROR(VLOOKUP(C43,Monsters!$T$4:$AH$15,15,FALSE),0))-I42,"0.0")&amp;" more Slayer points on the meter",IF(AND(B43="Hire hunter",C43="Briar",AD42&gt;=1),"Can't — already hired",IF(AND(B43="Hire hunter",H42&lt;IF(C43="Briar",140,IF(C43="Quill",3650,IF(C43="Moss",4850,IF(C43="Ember",12200,0))))),"Can't — need "&amp;TEXT(IF(C43="Briar",140,IF(C43="Quill",3650,IF(C43="Moss",4850,IF(C43="Ember",12200,0))))-H42,"0")&amp;" more gold",IF(AND(OR(B43="Buy upgrade",B43="Forge/Scrapwork buy"),IFERROR(VLOOKUP(C43,Upgrades!$N$4:$T$47,2,FALSE),0)="points"),"Can't — Sp-wallet spends not tracked here",IF(AND(OR(B43="Buy upgrade",B43="Forge/Scrapwork buy"),IFERROR(VLOOKUP(C43,Upgrades!$N$4:$T$47,2,FALSE),0)="gold",H42&lt;IFERROR(FLOOR(IFERROR(VLOOKUP(C43,Upgrades!$N$4:$T$47,3,FALSE),0)*(IFERROR(VLOOKUP(C43,Upgrades!$N$4:$T$47,4,FALSE),0)^(COUNTIFS($B$3:$B42,"Buy upgrade",$C$3:$C42,C43)+COUNTIFS($B$3:$B42,"Hire hunter",$C$3:$C42,C43)+COUNTIFS($B$3:$B42,"Forge/Scrapwork buy",$C$3:$C42,C43))),1),0)),"Can't — need "&amp;TEXT(IFERROR(FLOOR(IFERROR(VLOOKUP(C43,Upgrades!$N$4:$T$47,3,FALSE),0)*(IFERROR(VLOOKUP(C43,Upgrades!$N$4:$T$47,4,FALSE),0)^(COUNTIFS($B$3:$B42,"Buy upgrade",$C$3:$C42,C43)+COUNTIFS($B$3:$B42,"Hire hunter",$C$3:$C42,C43)+COUNTIFS($B$3:$B42,"Forge/Scrapwork buy",$C$3:$C42,C43))),1),0)-H42,"0")&amp;" more gold",IF(AND(OR(B43="Buy upgrade",B43="Forge/Scrapwork buy"),IFERROR(VLOOKUP(C43,Upgrades!$N$4:$T$47,2,FALSE),0)="scraps",J42&lt;IFERROR(FLOOR(IFERROR(VLOOKUP(C43,Upgrades!$N$4:$T$47,3,FALSE),0)*(IFERROR(VLOOKUP(C43,Upgrades!$N$4:$T$47,4,FALSE),0)^(COUNTIFS($B$3:$B42,"Buy upgrade",$C$3:$C42,C43)+COUNTIFS($B$3:$B42,"Hire hunter",$C$3:$C42,C43)+COUNTIFS($B$3:$B42,"Forge/Scrapwork buy",$C$3:$C42,C43))),1),0)),"Can't — need "&amp;TEXT(IFERROR(FLOOR(IFERROR(VLOOKUP(C43,Upgrades!$N$4:$T$47,3,FALSE),0)*(IFERROR(VLOOKUP(C43,Upgrades!$N$4:$T$47,4,FALSE),0)^(COUNTIFS($B$3:$B42,"Buy upgrade",$C$3:$C42,C43)+COUNTIFS($B$3:$B42,"Hire hunter",$C$3:$C42,C43)+COUNTIFS($B$3:$B42,"Forge/Scrapwork buy",$C$3:$C42,C43))),1),0)-J42,"0")&amp;" more scraps",IF(AND(B43="Fight boss",E43="OK",(IF((((105/'Rules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Formulas'!B12)),"WIN — boss down, next Level unlocks",IF(AND(B43="Fight boss",E43="OK"),"LOSE — TTK "&amp;TEXT(IF((((105/'Rules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Formulas'!B20*SQRT(1+0.55*(AG42&gt;=1))),0)))),"0")&amp;"s &gt; patience "&amp;TEXT('Rules &amp; Formulas'!B12,"0")&amp;"s (leave resets HP)",IF(B43="Go AFK","AFK resolved (see AFK counted h)","Applied")))))))))</f>
        <v/>
      </c>
      <c r="G43" s="7">
        <f>IF(AND((E43="OK"),B43="Fight boss",(IF((((105/'Rules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Formulas'!B12),C43="Elder Thornpelt"),2,IF(AND((E43="OK"),B43="Fight boss",(IF((((105/'Rules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Formulas'!B12),C43="Ashfang Alpha"),3,G42))</f>
        <v/>
      </c>
      <c r="H43" s="7">
        <f>MAX(0,H42+IF(AND((E43="OK"),B43="Hunt"),(IF(B43="Hunt",(('Rules &amp; Formulas'!B4*N42*('Rules &amp; Formulas'!B5+O42)*IFERROR(VLOOKUP(C43,Monsters!$T$4:$AH$15,10,FALSE),0)*IFERROR(VLOOKUP(C43,Monsters!$T$4:$AH$15,9,FALSE),0))*'Rules &amp; Formulas'!B6)*IF(D43="",0,D43),0))*(IFERROR(VLOOKUP(C43,Monsters!$T$4:$AH$15,3,FALSE),0))*(1+0.1*AH42)+(IF(OR(B43&lt;&gt;"Hunt",IFERROR(VLOOKUP(C43,Monsters!$T$4:$AH$15,6,FALSE),0)=0),0,FLOOR((IF(B43="Hunt",(('Rules &amp; Formulas'!B4*N42*('Rules &amp; Formulas'!B5+O42)*IFERROR(VLOOKUP(C43,Monsters!$T$4:$AH$15,10,FALSE),0)*IFERROR(VLOOKUP(C43,Monsters!$T$4:$AH$15,9,FALSE),0))*'Rules &amp; Formulas'!B6)*IF(D43="",0,D43),0))/MAX(1,IFERROR(VLOOKUP(C43,Monsters!$T$4:$AH$15,6,FALSE),0)),1)))*(IFERROR(VLOOKUP(C43,Monsters!$T$4:$AH$15,7,FALSE),0))*0.5*(1+0.1*AH42),0)+IF(AND((E43="OK"),B43="Go AFK"),(IF(B43="Go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AFK",IF(D43="",0,D43),0),Z42/60)*60)),0))*(IFERROR(VLOOKUP(C43,Monsters!$T$4:$AH$15,3,FALSE),0))*(1+0.1*AH42)+(IF(OR(B43&lt;&gt;"Go AFK",IFERROR(VLOOKUP(C43,Monsters!$T$4:$AH$15,6,FALSE),0)=0),0,FLOOR((IF(B43="Go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AFK",IF(D43="",0,D43),0),Z42/60)*60)),0))/MAX(1,IFERROR(VLOOKUP(C43,Monsters!$T$4:$AH$15,6,FALSE),0)),1)))*(IFERROR(VLOOKUP(C43,Monsters!$T$4:$AH$15,7,FALSE),0))*0.5*(1+0.1*AH42),0)+IF(AND((E43="OK"),B43="Fight boss",(IF((((105/'Rules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Formulas'!B12)),IFERROR(VLOOKUP(C43,Monsters!$T$4:$AH$15,3,FALSE),0),0)-IF(AND((E43="OK"),OR(B43="Buy upgrade",B43="Forge/Scrapwork buy"),IFERROR(VLOOKUP(C43,Upgrades!$N$4:$T$47,2,FALSE),0)="gold"),IFERROR(FLOOR(IFERROR(VLOOKUP(C43,Upgrades!$N$4:$T$47,3,FALSE),0)*(IFERROR(VLOOKUP(C43,Upgrades!$N$4:$T$47,4,FALSE),0)^(COUNTIFS($B$3:$B42,"Buy upgrade",$C$3:$C42,C43)+COUNTIFS($B$3:$B42,"Hire hunter",$C$3:$C42,C43)+COUNTIFS($B$3:$B42,"Forge/Scrapwork buy",$C$3:$C42,C43))),1),0),0)-IF(AND((E43="OK"),B43="Hire hunter"),IF(C43="Briar",140,IF(C43="Quill",3650,IF(C43="Moss",4850,IF(C43="Ember",12200,0)))),0))</f>
        <v/>
      </c>
      <c r="I43" s="7">
        <f>IF(AND((E43="OK"),B43="Fight boss",(IF((((105/'Rules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Formulas'!B12)),0,MIN(IF(G42&lt;=1,120,IF(G42=2,280,600)),I42+IF(AND((E43="OK"),B43="Hunt"),((IF(B43="Hunt",(('Rules &amp; Formulas'!B4*N42*('Rules &amp; Formulas'!B5+O42)*IFERROR(VLOOKUP(C43,Monsters!$T$4:$AH$15,10,FALSE),0)*IFERROR(VLOOKUP(C43,Monsters!$T$4:$AH$15,9,FALSE),0))*'Rules &amp; Formulas'!B6)*IF(D43="",0,D43),0))*(IFERROR(VLOOKUP(C43,Monsters!$T$4:$AH$15,4,FALSE),0))+(IF(OR(B43&lt;&gt;"Hunt",IFERROR(VLOOKUP(C43,Monsters!$T$4:$AH$15,6,FALSE),0)=0),0,FLOOR((IF(B43="Hunt",(('Rules &amp; Formulas'!B4*N42*('Rules &amp; Formulas'!B5+O42)*IFERROR(VLOOKUP(C43,Monsters!$T$4:$AH$15,10,FALSE),0)*IFERROR(VLOOKUP(C43,Monsters!$T$4:$AH$15,9,FALSE),0))*'Rules &amp; Formulas'!B6)*IF(D43="",0,D43),0))/MAX(1,IFERROR(VLOOKUP(C43,Monsters!$T$4:$AH$15,6,FALSE),0)),1)))*(IFERROR(VLOOKUP(C43,Monsters!$T$4:$AH$15,7,FALSE),0))),0)+IF(AND((E43="OK"),B43="Go AFK"),((IF(B43="Go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AFK",IF(D43="",0,D43),0),Z42/60)*60)),0))*(IFERROR(VLOOKUP(C43,Monsters!$T$4:$AH$15,4,FALSE),0))+(IF(OR(B43&lt;&gt;"Go AFK",IFERROR(VLOOKUP(C43,Monsters!$T$4:$AH$15,6,FALSE),0)=0),0,FLOOR((IF(B43="Go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AFK",IF(D43="",0,D43),0),Z42/60)*60)),0))/MAX(1,IFERROR(VLOOKUP(C43,Monsters!$T$4:$AH$15,6,FALSE),0)),1)))*(IFERROR(VLOOKUP(C43,Monsters!$T$4:$AH$15,7,FALSE),0))),0)))</f>
        <v/>
      </c>
      <c r="J43" s="7">
        <f>MAX(0,J42+IF(AND((E43="OK"),B43="Hunt"),(IF(B43="Hunt",(('Rules &amp; Formulas'!B4*N42*('Rules &amp; Formulas'!B5+O42)*IFERROR(VLOOKUP(C43,Monsters!$T$4:$AH$15,10,FALSE),0)*IFERROR(VLOOKUP(C43,Monsters!$T$4:$AH$15,9,FALSE),0))*'Rules &amp; Formulas'!B6)*IF(D43="",0,D43),0))*(IFERROR(VLOOKUP(C43,Monsters!$T$4:$AH$15,5,FALSE),0)),0)+IF(AND((E43="OK"),B43="Go AFK"),(IF(B43="Go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AFK",IF(D43="",0,D43),0),Z42/60)*60)),0))*(IFERROR(VLOOKUP(C43,Monsters!$T$4:$AH$15,5,FALSE),0)),0)-IF(AND((E43="OK"),OR(B43="Buy upgrade",B43="Forge/Scrapwork buy"),IFERROR(VLOOKUP(C43,Upgrades!$N$4:$T$47,2,FALSE),0)="scraps"),IFERROR(FLOOR(IFERROR(VLOOKUP(C43,Upgrades!$N$4:$T$47,3,FALSE),0)*(IFERROR(VLOOKUP(C43,Upgrades!$N$4:$T$47,4,FALSE),0)^(COUNTIFS($B$3:$B42,"Buy upgrade",$C$3:$C42,C43)+COUNTIFS($B$3:$B42,"Hire hunter",$C$3:$C42,C43)+COUNTIFS($B$3:$B42,"Forge/Scrapwork buy",$C$3:$C42,C43))),1),0),0))</f>
        <v/>
      </c>
      <c r="K43" s="7">
        <f>MAX(0,K42+IF(AND((E43="OK"),B43="Hunt"),IF(C43="Thornpelt Bear",(IF(B43="Hunt",(('Rules &amp; Formulas'!B4*N42*('Rules &amp; Formulas'!B5+O42)*IFERROR(VLOOKUP(C43,Monsters!$T$4:$AH$15,10,FALSE),0)*IFERROR(VLOOKUP(C43,Monsters!$T$4:$AH$15,9,FALSE),0))*'Rules &amp; Formulas'!B6)*IF(D43="",0,D43),0))*0.12,0),0)+IF(AND((E43="OK"),B43="Go AFK"),IF(C43="Thornpelt Bear",(IF(B43="Go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AFK",IF(D43="",0,D43),0),Z42/60)*60)),0))*0.12,0),0))</f>
        <v/>
      </c>
      <c r="L43" s="7">
        <f>MAX(0,L42+IF(AND((E43="OK"),B43="Hunt"),IF(C43="Dire Thornpelt",(IF(B43="Hunt",(('Rules &amp; Formulas'!B4*N42*('Rules &amp; Formulas'!B5+O42)*IFERROR(VLOOKUP(C43,Monsters!$T$4:$AH$15,10,FALSE),0)*IFERROR(VLOOKUP(C43,Monsters!$T$4:$AH$15,9,FALSE),0))*'Rules &amp; Formulas'!B6)*IF(D43="",0,D43),0))*0.1,0),0)+IF(AND((E43="OK"),B43="Go AFK"),IF(C43="Dire Thornpelt",(IF(B43="Go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AFK",IF(D43="",0,D43),0),Z42/60)*60)),0))*0.1,0),0))</f>
        <v/>
      </c>
      <c r="M43" s="7">
        <f>IF(AND((E43="OK"),B43="Go AFK"),MAX(0,MIN(('Rules &amp; Formulas'!B15+25*AJ42),M42+('Rules &amp; Formulas'!B14+0.4*AJ42)*(MIN(IF(B43="Go AFK",IF(D43="",0,D43),0),Z42/60)*60))-(IF(B43="Go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AFK",IF(D43="",0,D43),0),Z42/60)*60)),0))*(IF((IFERROR(VLOOKUP(C43,Monsters!$T$4:$AH$15,8,FALSE),0))=0,0.35,IFERROR(VLOOKUP(C43,Monsters!$T$4:$AH$15,8,FALSE),0))/(1+0.08*AK42))),MIN(('Rules &amp; Formulas'!B15+25*AJ43),M42))</f>
        <v/>
      </c>
      <c r="N43" s="7">
        <f>(1+0.08+0.12*AA43+0.12*AB43+0.16*AC43)</f>
        <v/>
      </c>
      <c r="O43" s="7">
        <f>((AD43&gt;=1)*1*(1+0.3*AE43))</f>
        <v/>
      </c>
      <c r="P43" s="7">
        <f>IF(OR(B43="Hunt",B43="Go AFK"),(('Rules &amp; Formulas'!B4*N42*('Rules &amp; Formulas'!B5+O42)*IFERROR(VLOOKUP(C43,Monsters!$T$4:$AH$15,10,FALSE),0)*IFERROR(VLOOKUP(C43,Monsters!$T$4:$AH$15,9,FALSE),0))*'Rules &amp; Formulas'!B6),"")</f>
        <v/>
      </c>
      <c r="Q43" s="7">
        <f>IF(OR(B43="Hunt",B43="Go AFK"),('Rules &amp; Formulas'!B4*N42*('Rules &amp; Formulas'!B5+O42)*IFERROR(VLOOKUP(C43,Monsters!$T$4:$AH$15,10,FALSE),0)*IFERROR(VLOOKUP(C43,Monsters!$T$4:$AH$15,9,FALSE),0)),"")</f>
        <v/>
      </c>
      <c r="R43" s="7">
        <f>IF(AND((E43="OK"),B43="Hunt"),IF(B43="Hunt",(('Rules &amp; Formulas'!B4*N42*('Rules &amp; Formulas'!B5+O42)*IFERROR(VLOOKUP(C43,Monsters!$T$4:$AH$15,10,FALSE),0)*IFERROR(VLOOKUP(C43,Monsters!$T$4:$AH$15,9,FALSE),0))*'Rules &amp; Formulas'!B6)*IF(D43="",0,D43),0),IF(AND((E43="OK"),B43="Go AFK"),IF(B43="Go AFK",MIN(IF((IF((IFERROR(VLOOKUP(C43,Monsters!$T$4:$AH$15,8,FALSE),0))=0,0.35,IFERROR(VLOOKUP(C43,Monsters!$T$4:$AH$15,8,FALSE),0))/(1+0.08*AK42))&lt;=0,999999,FLOOR(MIN(('Rules &amp; Formulas'!B15+25*AJ42),M42+('Rules &amp; Formulas'!B14+0.4*AJ42)*(MIN(IF(B43="Go AFK",IF(D43="",0,D43),0),Z42/60)*60))/(IF((IFERROR(VLOOKUP(C43,Monsters!$T$4:$AH$15,8,FALSE),0))=0,0.35,IFERROR(VLOOKUP(C43,Monsters!$T$4:$AH$15,8,FALSE),0))/(1+0.08*AK42)),1)),('Rules &amp; Formulas'!B4*N42*('Rules &amp; Formulas'!B5+O42)*IFERROR(VLOOKUP(C43,Monsters!$T$4:$AH$15,10,FALSE),0)*IFERROR(VLOOKUP(C43,Monsters!$T$4:$AH$15,9,FALSE),0))*(MIN(IF(B43="Go AFK",IF(D43="",0,D43),0),Z42/60)*60)),0),0))</f>
        <v/>
      </c>
      <c r="S43" s="7">
        <f>(105/'Rules &amp; Formulas'!B10)*'Rules &amp; Formulas'!B11</f>
        <v/>
      </c>
      <c r="T43" s="7">
        <f>IF(AD42&gt;=1,(MAX(1,ROUND('Rules &amp; Formulas'!B18*(1+0.3*AE42)*(1+0.4*AF42),0)))*(1000/'Rules &amp; Formulas'!B19)*MIN(0.95,'Rules &amp; Formulas'!B20*SQRT(1+0.55*(AG42&gt;=1))),0)</f>
        <v/>
      </c>
      <c r="U43" s="7">
        <f>S43+T43</f>
        <v/>
      </c>
      <c r="V43" s="7">
        <f>IF(I42&gt;=IF((IFERROR(VLOOKUP(C43,Monsters!$T$4:$AH$15,15,FALSE),0))=0,120,IFERROR(VLOOKUP(C43,Monsters!$T$4:$AH$15,15,FALSE),0)),"YES","no")</f>
        <v/>
      </c>
      <c r="W43" s="7">
        <f>IF(AND(B43="Fight boss",E43="OK"),IF((((105/'Rules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Formulas'!B20*SQRT(1+0.55*(AG42&gt;=1))),0)))),"")</f>
        <v/>
      </c>
      <c r="X43" s="7">
        <f>IF(AND(B43="Fight boss",E43="OK"),IF((IF((((105/'Rules &amp; Formulas'!B10)*'Rules &amp; Formulas'!B11+IF(AD42&gt;=1,(MAX(1,ROUND('Rules &amp; Formulas'!B18*(1+0.3*AE42)*(1+0.4*AF42),0)))*(1000/'Rules &amp; Formulas'!B19)*MIN(0.95,'Rules &amp; Formulas'!B20*SQRT(1+0.55*(AG42&gt;=1))),0)))&lt;=0,9999,(IFERROR(VLOOKUP(C43,Monsters!$T$4:$AH$15,2,FALSE),0))/(((105/'Rules &amp; Formulas'!B10)*'Rules &amp; Formulas'!B11+IF(AD42&gt;=1,(MAX(1,ROUND('Rules &amp; Formulas'!B18*(1+0.3*AE42)*(1+0.4*AF42),0)))*(1000/'Rules &amp; Formulas'!B19)*MIN(0.95,'Rules &amp; Formulas'!B20*SQRT(1+0.55*(AG42&gt;=1))),0))))&lt;='Rules &amp; Formulas'!B12),"WIN","LOSE"),"")</f>
        <v/>
      </c>
      <c r="Y43" s="7">
        <f>IF(B43="Go AFK",MIN(IF(B43="Go AFK",IF(D43="",0,D43),0),Z42/60),"")</f>
        <v/>
      </c>
      <c r="Z43" s="7">
        <f>('Rules &amp; Formulas'!B13+30*AI43)</f>
        <v/>
      </c>
      <c r="AA43">
        <f>COUNTIFS($B$3:$B43,"Buy upgrade",$C$3:$C43,"Idle Power")</f>
        <v/>
      </c>
      <c r="AB43">
        <f>COUNTIFS($B$3:$B43,"Buy upgrade",$C$3:$C43,"Iron Blade")</f>
        <v/>
      </c>
      <c r="AC43">
        <f>COUNTIFS($B$3:$B43,"Buy upgrade",$C$3:$C43,"Steel Blade")</f>
        <v/>
      </c>
      <c r="AD43">
        <f>COUNTIFS($B$3:$B43,"Hire hunter",$C$3:$C43,"Briar")+COUNTIFS($B$3:$B43,"Buy upgrade",$C$3:$C43,"Hire Briar")</f>
        <v/>
      </c>
      <c r="AE43">
        <f>COUNTIFS($B$3:$B43,"Buy upgrade",$C$3:$C43,"Hunter Power")</f>
        <v/>
      </c>
      <c r="AF43">
        <f>COUNTIFS($B$3:$B43,"Buy upgrade",$C$3:$C43,"Bigger Hits")</f>
        <v/>
      </c>
      <c r="AG43">
        <f>COUNTIFS($B$3:$B43,"Buy upgrade",$C$3:$C43,"Swift Walk")</f>
        <v/>
      </c>
      <c r="AH43">
        <f>COUNTIFS($B$3:$B43,"Buy upgrade",$C$3:$C43,"Loot Luck")</f>
        <v/>
      </c>
      <c r="AI43">
        <f>COUNTIFS($B$3:$B43,"Buy upgrade",$C$3:$C43,"Offline Cap")</f>
        <v/>
      </c>
      <c r="AJ43">
        <f>COUNTIFS($B$3:$B43,"Buy upgrade",$C$3:$C43,"Bigger Food Stock")</f>
        <v/>
      </c>
      <c r="AK43">
        <f>COUNTIFS($B$3:$B43,"Buy upgrade",$C$3:$C43,"Food Efficiency")</f>
        <v/>
      </c>
    </row>
    <row r="44">
      <c r="A44" t="n">
        <v>42</v>
      </c>
      <c r="B44" s="6" t="n"/>
      <c r="C44" s="6" t="n"/>
      <c r="D44" s="6" t="n"/>
      <c r="E44" s="7">
        <f>IF(B44="","",IF(OR(B44="Hunt",B44="Go AFK"),IF(C44="","Can't","OK"),IF(B44="Fight boss",IF(I43&lt;IF((IFERROR(VLOOKUP(C44,Monsters!$T$4:$AH$15,15,FALSE),0))=0,120,IFERROR(VLOOKUP(C44,Monsters!$T$4:$AH$15,15,FALSE),0)),"Can't","OK"),IF(B44="Hire hunter",IF(AND(C44="Briar",AD43&gt;=1),"Can't",IF(H43&lt;IF(C44="Briar",140,IF(C44="Quill",3650,IF(C44="Moss",4850,IF(C44="Ember",12200,0)))),"Can't","OK")),IF(OR(B44="Buy upgrade",B44="Forge/Scrapwork buy"),IF(IFERROR(VLOOKUP(C44,Upgrades!$N$4:$T$47,2,FALSE),0)="points","Can't",IF(IFERROR(VLOOKUP(C44,Upgrades!$N$4:$T$47,2,FALSE),0)="gold",IF(H43&lt;IFERROR(FLOOR(IFERROR(VLOOKUP(C44,Upgrades!$N$4:$T$47,3,FALSE),0)*(IFERROR(VLOOKUP(C44,Upgrades!$N$4:$T$47,4,FALSE),0)^(COUNTIFS($B$3:$B43,"Buy upgrade",$C$3:$C43,C44)+COUNTIFS($B$3:$B43,"Hire hunter",$C$3:$C43,C44)+COUNTIFS($B$3:$B43,"Forge/Scrapwork buy",$C$3:$C43,C44))),1),0),"Can't","OK"),IF(IFERROR(VLOOKUP(C44,Upgrades!$N$4:$T$47,2,FALSE),0)="scraps",IF(J43&lt;IFERROR(FLOOR(IFERROR(VLOOKUP(C44,Upgrades!$N$4:$T$47,3,FALSE),0)*(IFERROR(VLOOKUP(C44,Upgrades!$N$4:$T$47,4,FALSE),0)^(COUNTIFS($B$3:$B43,"Buy upgrade",$C$3:$C43,C44)+COUNTIFS($B$3:$B43,"Hire hunter",$C$3:$C43,C44)+COUNTIFS($B$3:$B43,"Forge/Scrapwork buy",$C$3:$C43,C44))),1),0),"Can't","OK"),IF(IFERROR(VLOOKUP(C44,Upgrades!$N$4:$T$47,2,FALSE),0)="mats","Can't","OK")))),"Check")))))</f>
        <v/>
      </c>
      <c r="F44" s="7">
        <f>IF(B44="","",IF(AND(B44="Fight boss",I43&lt;IF((IFERROR(VLOOKUP(C44,Monsters!$T$4:$AH$15,15,FALSE),0))=0,120,IFERROR(VLOOKUP(C44,Monsters!$T$4:$AH$15,15,FALSE),0))),"Can't — need "&amp;TEXT(IF((IFERROR(VLOOKUP(C44,Monsters!$T$4:$AH$15,15,FALSE),0))=0,120,IFERROR(VLOOKUP(C44,Monsters!$T$4:$AH$15,15,FALSE),0))-I43,"0.0")&amp;" more Slayer points on the meter",IF(AND(B44="Hire hunter",C44="Briar",AD43&gt;=1),"Can't — already hired",IF(AND(B44="Hire hunter",H43&lt;IF(C44="Briar",140,IF(C44="Quill",3650,IF(C44="Moss",4850,IF(C44="Ember",12200,0))))),"Can't — need "&amp;TEXT(IF(C44="Briar",140,IF(C44="Quill",3650,IF(C44="Moss",4850,IF(C44="Ember",12200,0))))-H43,"0")&amp;" more gold",IF(AND(OR(B44="Buy upgrade",B44="Forge/Scrapwork buy"),IFERROR(VLOOKUP(C44,Upgrades!$N$4:$T$47,2,FALSE),0)="points"),"Can't — Sp-wallet spends not tracked here",IF(AND(OR(B44="Buy upgrade",B44="Forge/Scrapwork buy"),IFERROR(VLOOKUP(C44,Upgrades!$N$4:$T$47,2,FALSE),0)="gold",H43&lt;IFERROR(FLOOR(IFERROR(VLOOKUP(C44,Upgrades!$N$4:$T$47,3,FALSE),0)*(IFERROR(VLOOKUP(C44,Upgrades!$N$4:$T$47,4,FALSE),0)^(COUNTIFS($B$3:$B43,"Buy upgrade",$C$3:$C43,C44)+COUNTIFS($B$3:$B43,"Hire hunter",$C$3:$C43,C44)+COUNTIFS($B$3:$B43,"Forge/Scrapwork buy",$C$3:$C43,C44))),1),0)),"Can't — need "&amp;TEXT(IFERROR(FLOOR(IFERROR(VLOOKUP(C44,Upgrades!$N$4:$T$47,3,FALSE),0)*(IFERROR(VLOOKUP(C44,Upgrades!$N$4:$T$47,4,FALSE),0)^(COUNTIFS($B$3:$B43,"Buy upgrade",$C$3:$C43,C44)+COUNTIFS($B$3:$B43,"Hire hunter",$C$3:$C43,C44)+COUNTIFS($B$3:$B43,"Forge/Scrapwork buy",$C$3:$C43,C44))),1),0)-H43,"0")&amp;" more gold",IF(AND(OR(B44="Buy upgrade",B44="Forge/Scrapwork buy"),IFERROR(VLOOKUP(C44,Upgrades!$N$4:$T$47,2,FALSE),0)="scraps",J43&lt;IFERROR(FLOOR(IFERROR(VLOOKUP(C44,Upgrades!$N$4:$T$47,3,FALSE),0)*(IFERROR(VLOOKUP(C44,Upgrades!$N$4:$T$47,4,FALSE),0)^(COUNTIFS($B$3:$B43,"Buy upgrade",$C$3:$C43,C44)+COUNTIFS($B$3:$B43,"Hire hunter",$C$3:$C43,C44)+COUNTIFS($B$3:$B43,"Forge/Scrapwork buy",$C$3:$C43,C44))),1),0)),"Can't — need "&amp;TEXT(IFERROR(FLOOR(IFERROR(VLOOKUP(C44,Upgrades!$N$4:$T$47,3,FALSE),0)*(IFERROR(VLOOKUP(C44,Upgrades!$N$4:$T$47,4,FALSE),0)^(COUNTIFS($B$3:$B43,"Buy upgrade",$C$3:$C43,C44)+COUNTIFS($B$3:$B43,"Hire hunter",$C$3:$C43,C44)+COUNTIFS($B$3:$B43,"Forge/Scrapwork buy",$C$3:$C43,C44))),1),0)-J43,"0")&amp;" more scraps",IF(AND(B44="Fight boss",E44="OK",(IF((((105/'Rules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Formulas'!B12)),"WIN — boss down, next Level unlocks",IF(AND(B44="Fight boss",E44="OK"),"LOSE — TTK "&amp;TEXT(IF((((105/'Rules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Formulas'!B20*SQRT(1+0.55*(AG43&gt;=1))),0)))),"0")&amp;"s &gt; patience "&amp;TEXT('Rules &amp; Formulas'!B12,"0")&amp;"s (leave resets HP)",IF(B44="Go AFK","AFK resolved (see AFK counted h)","Applied")))))))))</f>
        <v/>
      </c>
      <c r="G44" s="7">
        <f>IF(AND((E44="OK"),B44="Fight boss",(IF((((105/'Rules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Formulas'!B12),C44="Elder Thornpelt"),2,IF(AND((E44="OK"),B44="Fight boss",(IF((((105/'Rules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Formulas'!B12),C44="Ashfang Alpha"),3,G43))</f>
        <v/>
      </c>
      <c r="H44" s="7">
        <f>MAX(0,H43+IF(AND((E44="OK"),B44="Hunt"),(IF(B44="Hunt",(('Rules &amp; Formulas'!B4*N43*('Rules &amp; Formulas'!B5+O43)*IFERROR(VLOOKUP(C44,Monsters!$T$4:$AH$15,10,FALSE),0)*IFERROR(VLOOKUP(C44,Monsters!$T$4:$AH$15,9,FALSE),0))*'Rules &amp; Formulas'!B6)*IF(D44="",0,D44),0))*(IFERROR(VLOOKUP(C44,Monsters!$T$4:$AH$15,3,FALSE),0))*(1+0.1*AH43)+(IF(OR(B44&lt;&gt;"Hunt",IFERROR(VLOOKUP(C44,Monsters!$T$4:$AH$15,6,FALSE),0)=0),0,FLOOR((IF(B44="Hunt",(('Rules &amp; Formulas'!B4*N43*('Rules &amp; Formulas'!B5+O43)*IFERROR(VLOOKUP(C44,Monsters!$T$4:$AH$15,10,FALSE),0)*IFERROR(VLOOKUP(C44,Monsters!$T$4:$AH$15,9,FALSE),0))*'Rules &amp; Formulas'!B6)*IF(D44="",0,D44),0))/MAX(1,IFERROR(VLOOKUP(C44,Monsters!$T$4:$AH$15,6,FALSE),0)),1)))*(IFERROR(VLOOKUP(C44,Monsters!$T$4:$AH$15,7,FALSE),0))*0.5*(1+0.1*AH43),0)+IF(AND((E44="OK"),B44="Go AFK"),(IF(B44="Go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AFK",IF(D44="",0,D44),0),Z43/60)*60)),0))*(IFERROR(VLOOKUP(C44,Monsters!$T$4:$AH$15,3,FALSE),0))*(1+0.1*AH43)+(IF(OR(B44&lt;&gt;"Go AFK",IFERROR(VLOOKUP(C44,Monsters!$T$4:$AH$15,6,FALSE),0)=0),0,FLOOR((IF(B44="Go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AFK",IF(D44="",0,D44),0),Z43/60)*60)),0))/MAX(1,IFERROR(VLOOKUP(C44,Monsters!$T$4:$AH$15,6,FALSE),0)),1)))*(IFERROR(VLOOKUP(C44,Monsters!$T$4:$AH$15,7,FALSE),0))*0.5*(1+0.1*AH43),0)+IF(AND((E44="OK"),B44="Fight boss",(IF((((105/'Rules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Formulas'!B12)),IFERROR(VLOOKUP(C44,Monsters!$T$4:$AH$15,3,FALSE),0),0)-IF(AND((E44="OK"),OR(B44="Buy upgrade",B44="Forge/Scrapwork buy"),IFERROR(VLOOKUP(C44,Upgrades!$N$4:$T$47,2,FALSE),0)="gold"),IFERROR(FLOOR(IFERROR(VLOOKUP(C44,Upgrades!$N$4:$T$47,3,FALSE),0)*(IFERROR(VLOOKUP(C44,Upgrades!$N$4:$T$47,4,FALSE),0)^(COUNTIFS($B$3:$B43,"Buy upgrade",$C$3:$C43,C44)+COUNTIFS($B$3:$B43,"Hire hunter",$C$3:$C43,C44)+COUNTIFS($B$3:$B43,"Forge/Scrapwork buy",$C$3:$C43,C44))),1),0),0)-IF(AND((E44="OK"),B44="Hire hunter"),IF(C44="Briar",140,IF(C44="Quill",3650,IF(C44="Moss",4850,IF(C44="Ember",12200,0)))),0))</f>
        <v/>
      </c>
      <c r="I44" s="7">
        <f>IF(AND((E44="OK"),B44="Fight boss",(IF((((105/'Rules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Formulas'!B12)),0,MIN(IF(G43&lt;=1,120,IF(G43=2,280,600)),I43+IF(AND((E44="OK"),B44="Hunt"),((IF(B44="Hunt",(('Rules &amp; Formulas'!B4*N43*('Rules &amp; Formulas'!B5+O43)*IFERROR(VLOOKUP(C44,Monsters!$T$4:$AH$15,10,FALSE),0)*IFERROR(VLOOKUP(C44,Monsters!$T$4:$AH$15,9,FALSE),0))*'Rules &amp; Formulas'!B6)*IF(D44="",0,D44),0))*(IFERROR(VLOOKUP(C44,Monsters!$T$4:$AH$15,4,FALSE),0))+(IF(OR(B44&lt;&gt;"Hunt",IFERROR(VLOOKUP(C44,Monsters!$T$4:$AH$15,6,FALSE),0)=0),0,FLOOR((IF(B44="Hunt",(('Rules &amp; Formulas'!B4*N43*('Rules &amp; Formulas'!B5+O43)*IFERROR(VLOOKUP(C44,Monsters!$T$4:$AH$15,10,FALSE),0)*IFERROR(VLOOKUP(C44,Monsters!$T$4:$AH$15,9,FALSE),0))*'Rules &amp; Formulas'!B6)*IF(D44="",0,D44),0))/MAX(1,IFERROR(VLOOKUP(C44,Monsters!$T$4:$AH$15,6,FALSE),0)),1)))*(IFERROR(VLOOKUP(C44,Monsters!$T$4:$AH$15,7,FALSE),0))),0)+IF(AND((E44="OK"),B44="Go AFK"),((IF(B44="Go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AFK",IF(D44="",0,D44),0),Z43/60)*60)),0))*(IFERROR(VLOOKUP(C44,Monsters!$T$4:$AH$15,4,FALSE),0))+(IF(OR(B44&lt;&gt;"Go AFK",IFERROR(VLOOKUP(C44,Monsters!$T$4:$AH$15,6,FALSE),0)=0),0,FLOOR((IF(B44="Go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AFK",IF(D44="",0,D44),0),Z43/60)*60)),0))/MAX(1,IFERROR(VLOOKUP(C44,Monsters!$T$4:$AH$15,6,FALSE),0)),1)))*(IFERROR(VLOOKUP(C44,Monsters!$T$4:$AH$15,7,FALSE),0))),0)))</f>
        <v/>
      </c>
      <c r="J44" s="7">
        <f>MAX(0,J43+IF(AND((E44="OK"),B44="Hunt"),(IF(B44="Hunt",(('Rules &amp; Formulas'!B4*N43*('Rules &amp; Formulas'!B5+O43)*IFERROR(VLOOKUP(C44,Monsters!$T$4:$AH$15,10,FALSE),0)*IFERROR(VLOOKUP(C44,Monsters!$T$4:$AH$15,9,FALSE),0))*'Rules &amp; Formulas'!B6)*IF(D44="",0,D44),0))*(IFERROR(VLOOKUP(C44,Monsters!$T$4:$AH$15,5,FALSE),0)),0)+IF(AND((E44="OK"),B44="Go AFK"),(IF(B44="Go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AFK",IF(D44="",0,D44),0),Z43/60)*60)),0))*(IFERROR(VLOOKUP(C44,Monsters!$T$4:$AH$15,5,FALSE),0)),0)-IF(AND((E44="OK"),OR(B44="Buy upgrade",B44="Forge/Scrapwork buy"),IFERROR(VLOOKUP(C44,Upgrades!$N$4:$T$47,2,FALSE),0)="scraps"),IFERROR(FLOOR(IFERROR(VLOOKUP(C44,Upgrades!$N$4:$T$47,3,FALSE),0)*(IFERROR(VLOOKUP(C44,Upgrades!$N$4:$T$47,4,FALSE),0)^(COUNTIFS($B$3:$B43,"Buy upgrade",$C$3:$C43,C44)+COUNTIFS($B$3:$B43,"Hire hunter",$C$3:$C43,C44)+COUNTIFS($B$3:$B43,"Forge/Scrapwork buy",$C$3:$C43,C44))),1),0),0))</f>
        <v/>
      </c>
      <c r="K44" s="7">
        <f>MAX(0,K43+IF(AND((E44="OK"),B44="Hunt"),IF(C44="Thornpelt Bear",(IF(B44="Hunt",(('Rules &amp; Formulas'!B4*N43*('Rules &amp; Formulas'!B5+O43)*IFERROR(VLOOKUP(C44,Monsters!$T$4:$AH$15,10,FALSE),0)*IFERROR(VLOOKUP(C44,Monsters!$T$4:$AH$15,9,FALSE),0))*'Rules &amp; Formulas'!B6)*IF(D44="",0,D44),0))*0.12,0),0)+IF(AND((E44="OK"),B44="Go AFK"),IF(C44="Thornpelt Bear",(IF(B44="Go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AFK",IF(D44="",0,D44),0),Z43/60)*60)),0))*0.12,0),0))</f>
        <v/>
      </c>
      <c r="L44" s="7">
        <f>MAX(0,L43+IF(AND((E44="OK"),B44="Hunt"),IF(C44="Dire Thornpelt",(IF(B44="Hunt",(('Rules &amp; Formulas'!B4*N43*('Rules &amp; Formulas'!B5+O43)*IFERROR(VLOOKUP(C44,Monsters!$T$4:$AH$15,10,FALSE),0)*IFERROR(VLOOKUP(C44,Monsters!$T$4:$AH$15,9,FALSE),0))*'Rules &amp; Formulas'!B6)*IF(D44="",0,D44),0))*0.1,0),0)+IF(AND((E44="OK"),B44="Go AFK"),IF(C44="Dire Thornpelt",(IF(B44="Go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AFK",IF(D44="",0,D44),0),Z43/60)*60)),0))*0.1,0),0))</f>
        <v/>
      </c>
      <c r="M44" s="7">
        <f>IF(AND((E44="OK"),B44="Go AFK"),MAX(0,MIN(('Rules &amp; Formulas'!B15+25*AJ43),M43+('Rules &amp; Formulas'!B14+0.4*AJ43)*(MIN(IF(B44="Go AFK",IF(D44="",0,D44),0),Z43/60)*60))-(IF(B44="Go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AFK",IF(D44="",0,D44),0),Z43/60)*60)),0))*(IF((IFERROR(VLOOKUP(C44,Monsters!$T$4:$AH$15,8,FALSE),0))=0,0.35,IFERROR(VLOOKUP(C44,Monsters!$T$4:$AH$15,8,FALSE),0))/(1+0.08*AK43))),MIN(('Rules &amp; Formulas'!B15+25*AJ44),M43))</f>
        <v/>
      </c>
      <c r="N44" s="7">
        <f>(1+0.08+0.12*AA44+0.12*AB44+0.16*AC44)</f>
        <v/>
      </c>
      <c r="O44" s="7">
        <f>((AD44&gt;=1)*1*(1+0.3*AE44))</f>
        <v/>
      </c>
      <c r="P44" s="7">
        <f>IF(OR(B44="Hunt",B44="Go AFK"),(('Rules &amp; Formulas'!B4*N43*('Rules &amp; Formulas'!B5+O43)*IFERROR(VLOOKUP(C44,Monsters!$T$4:$AH$15,10,FALSE),0)*IFERROR(VLOOKUP(C44,Monsters!$T$4:$AH$15,9,FALSE),0))*'Rules &amp; Formulas'!B6),"")</f>
        <v/>
      </c>
      <c r="Q44" s="7">
        <f>IF(OR(B44="Hunt",B44="Go AFK"),('Rules &amp; Formulas'!B4*N43*('Rules &amp; Formulas'!B5+O43)*IFERROR(VLOOKUP(C44,Monsters!$T$4:$AH$15,10,FALSE),0)*IFERROR(VLOOKUP(C44,Monsters!$T$4:$AH$15,9,FALSE),0)),"")</f>
        <v/>
      </c>
      <c r="R44" s="7">
        <f>IF(AND((E44="OK"),B44="Hunt"),IF(B44="Hunt",(('Rules &amp; Formulas'!B4*N43*('Rules &amp; Formulas'!B5+O43)*IFERROR(VLOOKUP(C44,Monsters!$T$4:$AH$15,10,FALSE),0)*IFERROR(VLOOKUP(C44,Monsters!$T$4:$AH$15,9,FALSE),0))*'Rules &amp; Formulas'!B6)*IF(D44="",0,D44),0),IF(AND((E44="OK"),B44="Go AFK"),IF(B44="Go AFK",MIN(IF((IF((IFERROR(VLOOKUP(C44,Monsters!$T$4:$AH$15,8,FALSE),0))=0,0.35,IFERROR(VLOOKUP(C44,Monsters!$T$4:$AH$15,8,FALSE),0))/(1+0.08*AK43))&lt;=0,999999,FLOOR(MIN(('Rules &amp; Formulas'!B15+25*AJ43),M43+('Rules &amp; Formulas'!B14+0.4*AJ43)*(MIN(IF(B44="Go AFK",IF(D44="",0,D44),0),Z43/60)*60))/(IF((IFERROR(VLOOKUP(C44,Monsters!$T$4:$AH$15,8,FALSE),0))=0,0.35,IFERROR(VLOOKUP(C44,Monsters!$T$4:$AH$15,8,FALSE),0))/(1+0.08*AK43)),1)),('Rules &amp; Formulas'!B4*N43*('Rules &amp; Formulas'!B5+O43)*IFERROR(VLOOKUP(C44,Monsters!$T$4:$AH$15,10,FALSE),0)*IFERROR(VLOOKUP(C44,Monsters!$T$4:$AH$15,9,FALSE),0))*(MIN(IF(B44="Go AFK",IF(D44="",0,D44),0),Z43/60)*60)),0),0))</f>
        <v/>
      </c>
      <c r="S44" s="7">
        <f>(105/'Rules &amp; Formulas'!B10)*'Rules &amp; Formulas'!B11</f>
        <v/>
      </c>
      <c r="T44" s="7">
        <f>IF(AD43&gt;=1,(MAX(1,ROUND('Rules &amp; Formulas'!B18*(1+0.3*AE43)*(1+0.4*AF43),0)))*(1000/'Rules &amp; Formulas'!B19)*MIN(0.95,'Rules &amp; Formulas'!B20*SQRT(1+0.55*(AG43&gt;=1))),0)</f>
        <v/>
      </c>
      <c r="U44" s="7">
        <f>S44+T44</f>
        <v/>
      </c>
      <c r="V44" s="7">
        <f>IF(I43&gt;=IF((IFERROR(VLOOKUP(C44,Monsters!$T$4:$AH$15,15,FALSE),0))=0,120,IFERROR(VLOOKUP(C44,Monsters!$T$4:$AH$15,15,FALSE),0)),"YES","no")</f>
        <v/>
      </c>
      <c r="W44" s="7">
        <f>IF(AND(B44="Fight boss",E44="OK"),IF((((105/'Rules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Formulas'!B20*SQRT(1+0.55*(AG43&gt;=1))),0)))),"")</f>
        <v/>
      </c>
      <c r="X44" s="7">
        <f>IF(AND(B44="Fight boss",E44="OK"),IF((IF((((105/'Rules &amp; Formulas'!B10)*'Rules &amp; Formulas'!B11+IF(AD43&gt;=1,(MAX(1,ROUND('Rules &amp; Formulas'!B18*(1+0.3*AE43)*(1+0.4*AF43),0)))*(1000/'Rules &amp; Formulas'!B19)*MIN(0.95,'Rules &amp; Formulas'!B20*SQRT(1+0.55*(AG43&gt;=1))),0)))&lt;=0,9999,(IFERROR(VLOOKUP(C44,Monsters!$T$4:$AH$15,2,FALSE),0))/(((105/'Rules &amp; Formulas'!B10)*'Rules &amp; Formulas'!B11+IF(AD43&gt;=1,(MAX(1,ROUND('Rules &amp; Formulas'!B18*(1+0.3*AE43)*(1+0.4*AF43),0)))*(1000/'Rules &amp; Formulas'!B19)*MIN(0.95,'Rules &amp; Formulas'!B20*SQRT(1+0.55*(AG43&gt;=1))),0))))&lt;='Rules &amp; Formulas'!B12),"WIN","LOSE"),"")</f>
        <v/>
      </c>
      <c r="Y44" s="7">
        <f>IF(B44="Go AFK",MIN(IF(B44="Go AFK",IF(D44="",0,D44),0),Z43/60),"")</f>
        <v/>
      </c>
      <c r="Z44" s="7">
        <f>('Rules &amp; Formulas'!B13+30*AI44)</f>
        <v/>
      </c>
      <c r="AA44">
        <f>COUNTIFS($B$3:$B44,"Buy upgrade",$C$3:$C44,"Idle Power")</f>
        <v/>
      </c>
      <c r="AB44">
        <f>COUNTIFS($B$3:$B44,"Buy upgrade",$C$3:$C44,"Iron Blade")</f>
        <v/>
      </c>
      <c r="AC44">
        <f>COUNTIFS($B$3:$B44,"Buy upgrade",$C$3:$C44,"Steel Blade")</f>
        <v/>
      </c>
      <c r="AD44">
        <f>COUNTIFS($B$3:$B44,"Hire hunter",$C$3:$C44,"Briar")+COUNTIFS($B$3:$B44,"Buy upgrade",$C$3:$C44,"Hire Briar")</f>
        <v/>
      </c>
      <c r="AE44">
        <f>COUNTIFS($B$3:$B44,"Buy upgrade",$C$3:$C44,"Hunter Power")</f>
        <v/>
      </c>
      <c r="AF44">
        <f>COUNTIFS($B$3:$B44,"Buy upgrade",$C$3:$C44,"Bigger Hits")</f>
        <v/>
      </c>
      <c r="AG44">
        <f>COUNTIFS($B$3:$B44,"Buy upgrade",$C$3:$C44,"Swift Walk")</f>
        <v/>
      </c>
      <c r="AH44">
        <f>COUNTIFS($B$3:$B44,"Buy upgrade",$C$3:$C44,"Loot Luck")</f>
        <v/>
      </c>
      <c r="AI44">
        <f>COUNTIFS($B$3:$B44,"Buy upgrade",$C$3:$C44,"Offline Cap")</f>
        <v/>
      </c>
      <c r="AJ44">
        <f>COUNTIFS($B$3:$B44,"Buy upgrade",$C$3:$C44,"Bigger Food Stock")</f>
        <v/>
      </c>
      <c r="AK44">
        <f>COUNTIFS($B$3:$B44,"Buy upgrade",$C$3:$C44,"Food Efficiency")</f>
        <v/>
      </c>
    </row>
    <row r="45">
      <c r="A45" t="n">
        <v>43</v>
      </c>
      <c r="B45" s="6" t="n"/>
      <c r="C45" s="6" t="n"/>
      <c r="D45" s="6" t="n"/>
      <c r="E45" s="7">
        <f>IF(B45="","",IF(OR(B45="Hunt",B45="Go AFK"),IF(C45="","Can't","OK"),IF(B45="Fight boss",IF(I44&lt;IF((IFERROR(VLOOKUP(C45,Monsters!$T$4:$AH$15,15,FALSE),0))=0,120,IFERROR(VLOOKUP(C45,Monsters!$T$4:$AH$15,15,FALSE),0)),"Can't","OK"),IF(B45="Hire hunter",IF(AND(C45="Briar",AD44&gt;=1),"Can't",IF(H44&lt;IF(C45="Briar",140,IF(C45="Quill",3650,IF(C45="Moss",4850,IF(C45="Ember",12200,0)))),"Can't","OK")),IF(OR(B45="Buy upgrade",B45="Forge/Scrapwork buy"),IF(IFERROR(VLOOKUP(C45,Upgrades!$N$4:$T$47,2,FALSE),0)="points","Can't",IF(IFERROR(VLOOKUP(C45,Upgrades!$N$4:$T$47,2,FALSE),0)="gold",IF(H44&lt;IFERROR(FLOOR(IFERROR(VLOOKUP(C45,Upgrades!$N$4:$T$47,3,FALSE),0)*(IFERROR(VLOOKUP(C45,Upgrades!$N$4:$T$47,4,FALSE),0)^(COUNTIFS($B$3:$B44,"Buy upgrade",$C$3:$C44,C45)+COUNTIFS($B$3:$B44,"Hire hunter",$C$3:$C44,C45)+COUNTIFS($B$3:$B44,"Forge/Scrapwork buy",$C$3:$C44,C45))),1),0),"Can't","OK"),IF(IFERROR(VLOOKUP(C45,Upgrades!$N$4:$T$47,2,FALSE),0)="scraps",IF(J44&lt;IFERROR(FLOOR(IFERROR(VLOOKUP(C45,Upgrades!$N$4:$T$47,3,FALSE),0)*(IFERROR(VLOOKUP(C45,Upgrades!$N$4:$T$47,4,FALSE),0)^(COUNTIFS($B$3:$B44,"Buy upgrade",$C$3:$C44,C45)+COUNTIFS($B$3:$B44,"Hire hunter",$C$3:$C44,C45)+COUNTIFS($B$3:$B44,"Forge/Scrapwork buy",$C$3:$C44,C45))),1),0),"Can't","OK"),IF(IFERROR(VLOOKUP(C45,Upgrades!$N$4:$T$47,2,FALSE),0)="mats","Can't","OK")))),"Check")))))</f>
        <v/>
      </c>
      <c r="F45" s="7">
        <f>IF(B45="","",IF(AND(B45="Fight boss",I44&lt;IF((IFERROR(VLOOKUP(C45,Monsters!$T$4:$AH$15,15,FALSE),0))=0,120,IFERROR(VLOOKUP(C45,Monsters!$T$4:$AH$15,15,FALSE),0))),"Can't — need "&amp;TEXT(IF((IFERROR(VLOOKUP(C45,Monsters!$T$4:$AH$15,15,FALSE),0))=0,120,IFERROR(VLOOKUP(C45,Monsters!$T$4:$AH$15,15,FALSE),0))-I44,"0.0")&amp;" more Slayer points on the meter",IF(AND(B45="Hire hunter",C45="Briar",AD44&gt;=1),"Can't — already hired",IF(AND(B45="Hire hunter",H44&lt;IF(C45="Briar",140,IF(C45="Quill",3650,IF(C45="Moss",4850,IF(C45="Ember",12200,0))))),"Can't — need "&amp;TEXT(IF(C45="Briar",140,IF(C45="Quill",3650,IF(C45="Moss",4850,IF(C45="Ember",12200,0))))-H44,"0")&amp;" more gold",IF(AND(OR(B45="Buy upgrade",B45="Forge/Scrapwork buy"),IFERROR(VLOOKUP(C45,Upgrades!$N$4:$T$47,2,FALSE),0)="points"),"Can't — Sp-wallet spends not tracked here",IF(AND(OR(B45="Buy upgrade",B45="Forge/Scrapwork buy"),IFERROR(VLOOKUP(C45,Upgrades!$N$4:$T$47,2,FALSE),0)="gold",H44&lt;IFERROR(FLOOR(IFERROR(VLOOKUP(C45,Upgrades!$N$4:$T$47,3,FALSE),0)*(IFERROR(VLOOKUP(C45,Upgrades!$N$4:$T$47,4,FALSE),0)^(COUNTIFS($B$3:$B44,"Buy upgrade",$C$3:$C44,C45)+COUNTIFS($B$3:$B44,"Hire hunter",$C$3:$C44,C45)+COUNTIFS($B$3:$B44,"Forge/Scrapwork buy",$C$3:$C44,C45))),1),0)),"Can't — need "&amp;TEXT(IFERROR(FLOOR(IFERROR(VLOOKUP(C45,Upgrades!$N$4:$T$47,3,FALSE),0)*(IFERROR(VLOOKUP(C45,Upgrades!$N$4:$T$47,4,FALSE),0)^(COUNTIFS($B$3:$B44,"Buy upgrade",$C$3:$C44,C45)+COUNTIFS($B$3:$B44,"Hire hunter",$C$3:$C44,C45)+COUNTIFS($B$3:$B44,"Forge/Scrapwork buy",$C$3:$C44,C45))),1),0)-H44,"0")&amp;" more gold",IF(AND(OR(B45="Buy upgrade",B45="Forge/Scrapwork buy"),IFERROR(VLOOKUP(C45,Upgrades!$N$4:$T$47,2,FALSE),0)="scraps",J44&lt;IFERROR(FLOOR(IFERROR(VLOOKUP(C45,Upgrades!$N$4:$T$47,3,FALSE),0)*(IFERROR(VLOOKUP(C45,Upgrades!$N$4:$T$47,4,FALSE),0)^(COUNTIFS($B$3:$B44,"Buy upgrade",$C$3:$C44,C45)+COUNTIFS($B$3:$B44,"Hire hunter",$C$3:$C44,C45)+COUNTIFS($B$3:$B44,"Forge/Scrapwork buy",$C$3:$C44,C45))),1),0)),"Can't — need "&amp;TEXT(IFERROR(FLOOR(IFERROR(VLOOKUP(C45,Upgrades!$N$4:$T$47,3,FALSE),0)*(IFERROR(VLOOKUP(C45,Upgrades!$N$4:$T$47,4,FALSE),0)^(COUNTIFS($B$3:$B44,"Buy upgrade",$C$3:$C44,C45)+COUNTIFS($B$3:$B44,"Hire hunter",$C$3:$C44,C45)+COUNTIFS($B$3:$B44,"Forge/Scrapwork buy",$C$3:$C44,C45))),1),0)-J44,"0")&amp;" more scraps",IF(AND(B45="Fight boss",E45="OK",(IF((((105/'Rules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Formulas'!B12)),"WIN — boss down, next Level unlocks",IF(AND(B45="Fight boss",E45="OK"),"LOSE — TTK "&amp;TEXT(IF((((105/'Rules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Formulas'!B20*SQRT(1+0.55*(AG44&gt;=1))),0)))),"0")&amp;"s &gt; patience "&amp;TEXT('Rules &amp; Formulas'!B12,"0")&amp;"s (leave resets HP)",IF(B45="Go AFK","AFK resolved (see AFK counted h)","Applied")))))))))</f>
        <v/>
      </c>
      <c r="G45" s="7">
        <f>IF(AND((E45="OK"),B45="Fight boss",(IF((((105/'Rules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Formulas'!B12),C45="Elder Thornpelt"),2,IF(AND((E45="OK"),B45="Fight boss",(IF((((105/'Rules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Formulas'!B12),C45="Ashfang Alpha"),3,G44))</f>
        <v/>
      </c>
      <c r="H45" s="7">
        <f>MAX(0,H44+IF(AND((E45="OK"),B45="Hunt"),(IF(B45="Hunt",(('Rules &amp; Formulas'!B4*N44*('Rules &amp; Formulas'!B5+O44)*IFERROR(VLOOKUP(C45,Monsters!$T$4:$AH$15,10,FALSE),0)*IFERROR(VLOOKUP(C45,Monsters!$T$4:$AH$15,9,FALSE),0))*'Rules &amp; Formulas'!B6)*IF(D45="",0,D45),0))*(IFERROR(VLOOKUP(C45,Monsters!$T$4:$AH$15,3,FALSE),0))*(1+0.1*AH44)+(IF(OR(B45&lt;&gt;"Hunt",IFERROR(VLOOKUP(C45,Monsters!$T$4:$AH$15,6,FALSE),0)=0),0,FLOOR((IF(B45="Hunt",(('Rules &amp; Formulas'!B4*N44*('Rules &amp; Formulas'!B5+O44)*IFERROR(VLOOKUP(C45,Monsters!$T$4:$AH$15,10,FALSE),0)*IFERROR(VLOOKUP(C45,Monsters!$T$4:$AH$15,9,FALSE),0))*'Rules &amp; Formulas'!B6)*IF(D45="",0,D45),0))/MAX(1,IFERROR(VLOOKUP(C45,Monsters!$T$4:$AH$15,6,FALSE),0)),1)))*(IFERROR(VLOOKUP(C45,Monsters!$T$4:$AH$15,7,FALSE),0))*0.5*(1+0.1*AH44),0)+IF(AND((E45="OK"),B45="Go AFK"),(IF(B45="Go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AFK",IF(D45="",0,D45),0),Z44/60)*60)),0))*(IFERROR(VLOOKUP(C45,Monsters!$T$4:$AH$15,3,FALSE),0))*(1+0.1*AH44)+(IF(OR(B45&lt;&gt;"Go AFK",IFERROR(VLOOKUP(C45,Monsters!$T$4:$AH$15,6,FALSE),0)=0),0,FLOOR((IF(B45="Go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AFK",IF(D45="",0,D45),0),Z44/60)*60)),0))/MAX(1,IFERROR(VLOOKUP(C45,Monsters!$T$4:$AH$15,6,FALSE),0)),1)))*(IFERROR(VLOOKUP(C45,Monsters!$T$4:$AH$15,7,FALSE),0))*0.5*(1+0.1*AH44),0)+IF(AND((E45="OK"),B45="Fight boss",(IF((((105/'Rules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Formulas'!B12)),IFERROR(VLOOKUP(C45,Monsters!$T$4:$AH$15,3,FALSE),0),0)-IF(AND((E45="OK"),OR(B45="Buy upgrade",B45="Forge/Scrapwork buy"),IFERROR(VLOOKUP(C45,Upgrades!$N$4:$T$47,2,FALSE),0)="gold"),IFERROR(FLOOR(IFERROR(VLOOKUP(C45,Upgrades!$N$4:$T$47,3,FALSE),0)*(IFERROR(VLOOKUP(C45,Upgrades!$N$4:$T$47,4,FALSE),0)^(COUNTIFS($B$3:$B44,"Buy upgrade",$C$3:$C44,C45)+COUNTIFS($B$3:$B44,"Hire hunter",$C$3:$C44,C45)+COUNTIFS($B$3:$B44,"Forge/Scrapwork buy",$C$3:$C44,C45))),1),0),0)-IF(AND((E45="OK"),B45="Hire hunter"),IF(C45="Briar",140,IF(C45="Quill",3650,IF(C45="Moss",4850,IF(C45="Ember",12200,0)))),0))</f>
        <v/>
      </c>
      <c r="I45" s="7">
        <f>IF(AND((E45="OK"),B45="Fight boss",(IF((((105/'Rules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Formulas'!B12)),0,MIN(IF(G44&lt;=1,120,IF(G44=2,280,600)),I44+IF(AND((E45="OK"),B45="Hunt"),((IF(B45="Hunt",(('Rules &amp; Formulas'!B4*N44*('Rules &amp; Formulas'!B5+O44)*IFERROR(VLOOKUP(C45,Monsters!$T$4:$AH$15,10,FALSE),0)*IFERROR(VLOOKUP(C45,Monsters!$T$4:$AH$15,9,FALSE),0))*'Rules &amp; Formulas'!B6)*IF(D45="",0,D45),0))*(IFERROR(VLOOKUP(C45,Monsters!$T$4:$AH$15,4,FALSE),0))+(IF(OR(B45&lt;&gt;"Hunt",IFERROR(VLOOKUP(C45,Monsters!$T$4:$AH$15,6,FALSE),0)=0),0,FLOOR((IF(B45="Hunt",(('Rules &amp; Formulas'!B4*N44*('Rules &amp; Formulas'!B5+O44)*IFERROR(VLOOKUP(C45,Monsters!$T$4:$AH$15,10,FALSE),0)*IFERROR(VLOOKUP(C45,Monsters!$T$4:$AH$15,9,FALSE),0))*'Rules &amp; Formulas'!B6)*IF(D45="",0,D45),0))/MAX(1,IFERROR(VLOOKUP(C45,Monsters!$T$4:$AH$15,6,FALSE),0)),1)))*(IFERROR(VLOOKUP(C45,Monsters!$T$4:$AH$15,7,FALSE),0))),0)+IF(AND((E45="OK"),B45="Go AFK"),((IF(B45="Go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AFK",IF(D45="",0,D45),0),Z44/60)*60)),0))*(IFERROR(VLOOKUP(C45,Monsters!$T$4:$AH$15,4,FALSE),0))+(IF(OR(B45&lt;&gt;"Go AFK",IFERROR(VLOOKUP(C45,Monsters!$T$4:$AH$15,6,FALSE),0)=0),0,FLOOR((IF(B45="Go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AFK",IF(D45="",0,D45),0),Z44/60)*60)),0))/MAX(1,IFERROR(VLOOKUP(C45,Monsters!$T$4:$AH$15,6,FALSE),0)),1)))*(IFERROR(VLOOKUP(C45,Monsters!$T$4:$AH$15,7,FALSE),0))),0)))</f>
        <v/>
      </c>
      <c r="J45" s="7">
        <f>MAX(0,J44+IF(AND((E45="OK"),B45="Hunt"),(IF(B45="Hunt",(('Rules &amp; Formulas'!B4*N44*('Rules &amp; Formulas'!B5+O44)*IFERROR(VLOOKUP(C45,Monsters!$T$4:$AH$15,10,FALSE),0)*IFERROR(VLOOKUP(C45,Monsters!$T$4:$AH$15,9,FALSE),0))*'Rules &amp; Formulas'!B6)*IF(D45="",0,D45),0))*(IFERROR(VLOOKUP(C45,Monsters!$T$4:$AH$15,5,FALSE),0)),0)+IF(AND((E45="OK"),B45="Go AFK"),(IF(B45="Go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AFK",IF(D45="",0,D45),0),Z44/60)*60)),0))*(IFERROR(VLOOKUP(C45,Monsters!$T$4:$AH$15,5,FALSE),0)),0)-IF(AND((E45="OK"),OR(B45="Buy upgrade",B45="Forge/Scrapwork buy"),IFERROR(VLOOKUP(C45,Upgrades!$N$4:$T$47,2,FALSE),0)="scraps"),IFERROR(FLOOR(IFERROR(VLOOKUP(C45,Upgrades!$N$4:$T$47,3,FALSE),0)*(IFERROR(VLOOKUP(C45,Upgrades!$N$4:$T$47,4,FALSE),0)^(COUNTIFS($B$3:$B44,"Buy upgrade",$C$3:$C44,C45)+COUNTIFS($B$3:$B44,"Hire hunter",$C$3:$C44,C45)+COUNTIFS($B$3:$B44,"Forge/Scrapwork buy",$C$3:$C44,C45))),1),0),0))</f>
        <v/>
      </c>
      <c r="K45" s="7">
        <f>MAX(0,K44+IF(AND((E45="OK"),B45="Hunt"),IF(C45="Thornpelt Bear",(IF(B45="Hunt",(('Rules &amp; Formulas'!B4*N44*('Rules &amp; Formulas'!B5+O44)*IFERROR(VLOOKUP(C45,Monsters!$T$4:$AH$15,10,FALSE),0)*IFERROR(VLOOKUP(C45,Monsters!$T$4:$AH$15,9,FALSE),0))*'Rules &amp; Formulas'!B6)*IF(D45="",0,D45),0))*0.12,0),0)+IF(AND((E45="OK"),B45="Go AFK"),IF(C45="Thornpelt Bear",(IF(B45="Go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AFK",IF(D45="",0,D45),0),Z44/60)*60)),0))*0.12,0),0))</f>
        <v/>
      </c>
      <c r="L45" s="7">
        <f>MAX(0,L44+IF(AND((E45="OK"),B45="Hunt"),IF(C45="Dire Thornpelt",(IF(B45="Hunt",(('Rules &amp; Formulas'!B4*N44*('Rules &amp; Formulas'!B5+O44)*IFERROR(VLOOKUP(C45,Monsters!$T$4:$AH$15,10,FALSE),0)*IFERROR(VLOOKUP(C45,Monsters!$T$4:$AH$15,9,FALSE),0))*'Rules &amp; Formulas'!B6)*IF(D45="",0,D45),0))*0.1,0),0)+IF(AND((E45="OK"),B45="Go AFK"),IF(C45="Dire Thornpelt",(IF(B45="Go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AFK",IF(D45="",0,D45),0),Z44/60)*60)),0))*0.1,0),0))</f>
        <v/>
      </c>
      <c r="M45" s="7">
        <f>IF(AND((E45="OK"),B45="Go AFK"),MAX(0,MIN(('Rules &amp; Formulas'!B15+25*AJ44),M44+('Rules &amp; Formulas'!B14+0.4*AJ44)*(MIN(IF(B45="Go AFK",IF(D45="",0,D45),0),Z44/60)*60))-(IF(B45="Go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AFK",IF(D45="",0,D45),0),Z44/60)*60)),0))*(IF((IFERROR(VLOOKUP(C45,Monsters!$T$4:$AH$15,8,FALSE),0))=0,0.35,IFERROR(VLOOKUP(C45,Monsters!$T$4:$AH$15,8,FALSE),0))/(1+0.08*AK44))),MIN(('Rules &amp; Formulas'!B15+25*AJ45),M44))</f>
        <v/>
      </c>
      <c r="N45" s="7">
        <f>(1+0.08+0.12*AA45+0.12*AB45+0.16*AC45)</f>
        <v/>
      </c>
      <c r="O45" s="7">
        <f>((AD45&gt;=1)*1*(1+0.3*AE45))</f>
        <v/>
      </c>
      <c r="P45" s="7">
        <f>IF(OR(B45="Hunt",B45="Go AFK"),(('Rules &amp; Formulas'!B4*N44*('Rules &amp; Formulas'!B5+O44)*IFERROR(VLOOKUP(C45,Monsters!$T$4:$AH$15,10,FALSE),0)*IFERROR(VLOOKUP(C45,Monsters!$T$4:$AH$15,9,FALSE),0))*'Rules &amp; Formulas'!B6),"")</f>
        <v/>
      </c>
      <c r="Q45" s="7">
        <f>IF(OR(B45="Hunt",B45="Go AFK"),('Rules &amp; Formulas'!B4*N44*('Rules &amp; Formulas'!B5+O44)*IFERROR(VLOOKUP(C45,Monsters!$T$4:$AH$15,10,FALSE),0)*IFERROR(VLOOKUP(C45,Monsters!$T$4:$AH$15,9,FALSE),0)),"")</f>
        <v/>
      </c>
      <c r="R45" s="7">
        <f>IF(AND((E45="OK"),B45="Hunt"),IF(B45="Hunt",(('Rules &amp; Formulas'!B4*N44*('Rules &amp; Formulas'!B5+O44)*IFERROR(VLOOKUP(C45,Monsters!$T$4:$AH$15,10,FALSE),0)*IFERROR(VLOOKUP(C45,Monsters!$T$4:$AH$15,9,FALSE),0))*'Rules &amp; Formulas'!B6)*IF(D45="",0,D45),0),IF(AND((E45="OK"),B45="Go AFK"),IF(B45="Go AFK",MIN(IF((IF((IFERROR(VLOOKUP(C45,Monsters!$T$4:$AH$15,8,FALSE),0))=0,0.35,IFERROR(VLOOKUP(C45,Monsters!$T$4:$AH$15,8,FALSE),0))/(1+0.08*AK44))&lt;=0,999999,FLOOR(MIN(('Rules &amp; Formulas'!B15+25*AJ44),M44+('Rules &amp; Formulas'!B14+0.4*AJ44)*(MIN(IF(B45="Go AFK",IF(D45="",0,D45),0),Z44/60)*60))/(IF((IFERROR(VLOOKUP(C45,Monsters!$T$4:$AH$15,8,FALSE),0))=0,0.35,IFERROR(VLOOKUP(C45,Monsters!$T$4:$AH$15,8,FALSE),0))/(1+0.08*AK44)),1)),('Rules &amp; Formulas'!B4*N44*('Rules &amp; Formulas'!B5+O44)*IFERROR(VLOOKUP(C45,Monsters!$T$4:$AH$15,10,FALSE),0)*IFERROR(VLOOKUP(C45,Monsters!$T$4:$AH$15,9,FALSE),0))*(MIN(IF(B45="Go AFK",IF(D45="",0,D45),0),Z44/60)*60)),0),0))</f>
        <v/>
      </c>
      <c r="S45" s="7">
        <f>(105/'Rules &amp; Formulas'!B10)*'Rules &amp; Formulas'!B11</f>
        <v/>
      </c>
      <c r="T45" s="7">
        <f>IF(AD44&gt;=1,(MAX(1,ROUND('Rules &amp; Formulas'!B18*(1+0.3*AE44)*(1+0.4*AF44),0)))*(1000/'Rules &amp; Formulas'!B19)*MIN(0.95,'Rules &amp; Formulas'!B20*SQRT(1+0.55*(AG44&gt;=1))),0)</f>
        <v/>
      </c>
      <c r="U45" s="7">
        <f>S45+T45</f>
        <v/>
      </c>
      <c r="V45" s="7">
        <f>IF(I44&gt;=IF((IFERROR(VLOOKUP(C45,Monsters!$T$4:$AH$15,15,FALSE),0))=0,120,IFERROR(VLOOKUP(C45,Monsters!$T$4:$AH$15,15,FALSE),0)),"YES","no")</f>
        <v/>
      </c>
      <c r="W45" s="7">
        <f>IF(AND(B45="Fight boss",E45="OK"),IF((((105/'Rules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Formulas'!B20*SQRT(1+0.55*(AG44&gt;=1))),0)))),"")</f>
        <v/>
      </c>
      <c r="X45" s="7">
        <f>IF(AND(B45="Fight boss",E45="OK"),IF((IF((((105/'Rules &amp; Formulas'!B10)*'Rules &amp; Formulas'!B11+IF(AD44&gt;=1,(MAX(1,ROUND('Rules &amp; Formulas'!B18*(1+0.3*AE44)*(1+0.4*AF44),0)))*(1000/'Rules &amp; Formulas'!B19)*MIN(0.95,'Rules &amp; Formulas'!B20*SQRT(1+0.55*(AG44&gt;=1))),0)))&lt;=0,9999,(IFERROR(VLOOKUP(C45,Monsters!$T$4:$AH$15,2,FALSE),0))/(((105/'Rules &amp; Formulas'!B10)*'Rules &amp; Formulas'!B11+IF(AD44&gt;=1,(MAX(1,ROUND('Rules &amp; Formulas'!B18*(1+0.3*AE44)*(1+0.4*AF44),0)))*(1000/'Rules &amp; Formulas'!B19)*MIN(0.95,'Rules &amp; Formulas'!B20*SQRT(1+0.55*(AG44&gt;=1))),0))))&lt;='Rules &amp; Formulas'!B12),"WIN","LOSE"),"")</f>
        <v/>
      </c>
      <c r="Y45" s="7">
        <f>IF(B45="Go AFK",MIN(IF(B45="Go AFK",IF(D45="",0,D45),0),Z44/60),"")</f>
        <v/>
      </c>
      <c r="Z45" s="7">
        <f>('Rules &amp; Formulas'!B13+30*AI45)</f>
        <v/>
      </c>
      <c r="AA45">
        <f>COUNTIFS($B$3:$B45,"Buy upgrade",$C$3:$C45,"Idle Power")</f>
        <v/>
      </c>
      <c r="AB45">
        <f>COUNTIFS($B$3:$B45,"Buy upgrade",$C$3:$C45,"Iron Blade")</f>
        <v/>
      </c>
      <c r="AC45">
        <f>COUNTIFS($B$3:$B45,"Buy upgrade",$C$3:$C45,"Steel Blade")</f>
        <v/>
      </c>
      <c r="AD45">
        <f>COUNTIFS($B$3:$B45,"Hire hunter",$C$3:$C45,"Briar")+COUNTIFS($B$3:$B45,"Buy upgrade",$C$3:$C45,"Hire Briar")</f>
        <v/>
      </c>
      <c r="AE45">
        <f>COUNTIFS($B$3:$B45,"Buy upgrade",$C$3:$C45,"Hunter Power")</f>
        <v/>
      </c>
      <c r="AF45">
        <f>COUNTIFS($B$3:$B45,"Buy upgrade",$C$3:$C45,"Bigger Hits")</f>
        <v/>
      </c>
      <c r="AG45">
        <f>COUNTIFS($B$3:$B45,"Buy upgrade",$C$3:$C45,"Swift Walk")</f>
        <v/>
      </c>
      <c r="AH45">
        <f>COUNTIFS($B$3:$B45,"Buy upgrade",$C$3:$C45,"Loot Luck")</f>
        <v/>
      </c>
      <c r="AI45">
        <f>COUNTIFS($B$3:$B45,"Buy upgrade",$C$3:$C45,"Offline Cap")</f>
        <v/>
      </c>
      <c r="AJ45">
        <f>COUNTIFS($B$3:$B45,"Buy upgrade",$C$3:$C45,"Bigger Food Stock")</f>
        <v/>
      </c>
      <c r="AK45">
        <f>COUNTIFS($B$3:$B45,"Buy upgrade",$C$3:$C45,"Food Efficiency")</f>
        <v/>
      </c>
    </row>
    <row r="46">
      <c r="A46" t="n">
        <v>44</v>
      </c>
      <c r="B46" s="6" t="n"/>
      <c r="C46" s="6" t="n"/>
      <c r="D46" s="6" t="n"/>
      <c r="E46" s="7">
        <f>IF(B46="","",IF(OR(B46="Hunt",B46="Go AFK"),IF(C46="","Can't","OK"),IF(B46="Fight boss",IF(I45&lt;IF((IFERROR(VLOOKUP(C46,Monsters!$T$4:$AH$15,15,FALSE),0))=0,120,IFERROR(VLOOKUP(C46,Monsters!$T$4:$AH$15,15,FALSE),0)),"Can't","OK"),IF(B46="Hire hunter",IF(AND(C46="Briar",AD45&gt;=1),"Can't",IF(H45&lt;IF(C46="Briar",140,IF(C46="Quill",3650,IF(C46="Moss",4850,IF(C46="Ember",12200,0)))),"Can't","OK")),IF(OR(B46="Buy upgrade",B46="Forge/Scrapwork buy"),IF(IFERROR(VLOOKUP(C46,Upgrades!$N$4:$T$47,2,FALSE),0)="points","Can't",IF(IFERROR(VLOOKUP(C46,Upgrades!$N$4:$T$47,2,FALSE),0)="gold",IF(H45&lt;IFERROR(FLOOR(IFERROR(VLOOKUP(C46,Upgrades!$N$4:$T$47,3,FALSE),0)*(IFERROR(VLOOKUP(C46,Upgrades!$N$4:$T$47,4,FALSE),0)^(COUNTIFS($B$3:$B45,"Buy upgrade",$C$3:$C45,C46)+COUNTIFS($B$3:$B45,"Hire hunter",$C$3:$C45,C46)+COUNTIFS($B$3:$B45,"Forge/Scrapwork buy",$C$3:$C45,C46))),1),0),"Can't","OK"),IF(IFERROR(VLOOKUP(C46,Upgrades!$N$4:$T$47,2,FALSE),0)="scraps",IF(J45&lt;IFERROR(FLOOR(IFERROR(VLOOKUP(C46,Upgrades!$N$4:$T$47,3,FALSE),0)*(IFERROR(VLOOKUP(C46,Upgrades!$N$4:$T$47,4,FALSE),0)^(COUNTIFS($B$3:$B45,"Buy upgrade",$C$3:$C45,C46)+COUNTIFS($B$3:$B45,"Hire hunter",$C$3:$C45,C46)+COUNTIFS($B$3:$B45,"Forge/Scrapwork buy",$C$3:$C45,C46))),1),0),"Can't","OK"),IF(IFERROR(VLOOKUP(C46,Upgrades!$N$4:$T$47,2,FALSE),0)="mats","Can't","OK")))),"Check")))))</f>
        <v/>
      </c>
      <c r="F46" s="7">
        <f>IF(B46="","",IF(AND(B46="Fight boss",I45&lt;IF((IFERROR(VLOOKUP(C46,Monsters!$T$4:$AH$15,15,FALSE),0))=0,120,IFERROR(VLOOKUP(C46,Monsters!$T$4:$AH$15,15,FALSE),0))),"Can't — need "&amp;TEXT(IF((IFERROR(VLOOKUP(C46,Monsters!$T$4:$AH$15,15,FALSE),0))=0,120,IFERROR(VLOOKUP(C46,Monsters!$T$4:$AH$15,15,FALSE),0))-I45,"0.0")&amp;" more Slayer points on the meter",IF(AND(B46="Hire hunter",C46="Briar",AD45&gt;=1),"Can't — already hired",IF(AND(B46="Hire hunter",H45&lt;IF(C46="Briar",140,IF(C46="Quill",3650,IF(C46="Moss",4850,IF(C46="Ember",12200,0))))),"Can't — need "&amp;TEXT(IF(C46="Briar",140,IF(C46="Quill",3650,IF(C46="Moss",4850,IF(C46="Ember",12200,0))))-H45,"0")&amp;" more gold",IF(AND(OR(B46="Buy upgrade",B46="Forge/Scrapwork buy"),IFERROR(VLOOKUP(C46,Upgrades!$N$4:$T$47,2,FALSE),0)="points"),"Can't — Sp-wallet spends not tracked here",IF(AND(OR(B46="Buy upgrade",B46="Forge/Scrapwork buy"),IFERROR(VLOOKUP(C46,Upgrades!$N$4:$T$47,2,FALSE),0)="gold",H45&lt;IFERROR(FLOOR(IFERROR(VLOOKUP(C46,Upgrades!$N$4:$T$47,3,FALSE),0)*(IFERROR(VLOOKUP(C46,Upgrades!$N$4:$T$47,4,FALSE),0)^(COUNTIFS($B$3:$B45,"Buy upgrade",$C$3:$C45,C46)+COUNTIFS($B$3:$B45,"Hire hunter",$C$3:$C45,C46)+COUNTIFS($B$3:$B45,"Forge/Scrapwork buy",$C$3:$C45,C46))),1),0)),"Can't — need "&amp;TEXT(IFERROR(FLOOR(IFERROR(VLOOKUP(C46,Upgrades!$N$4:$T$47,3,FALSE),0)*(IFERROR(VLOOKUP(C46,Upgrades!$N$4:$T$47,4,FALSE),0)^(COUNTIFS($B$3:$B45,"Buy upgrade",$C$3:$C45,C46)+COUNTIFS($B$3:$B45,"Hire hunter",$C$3:$C45,C46)+COUNTIFS($B$3:$B45,"Forge/Scrapwork buy",$C$3:$C45,C46))),1),0)-H45,"0")&amp;" more gold",IF(AND(OR(B46="Buy upgrade",B46="Forge/Scrapwork buy"),IFERROR(VLOOKUP(C46,Upgrades!$N$4:$T$47,2,FALSE),0)="scraps",J45&lt;IFERROR(FLOOR(IFERROR(VLOOKUP(C46,Upgrades!$N$4:$T$47,3,FALSE),0)*(IFERROR(VLOOKUP(C46,Upgrades!$N$4:$T$47,4,FALSE),0)^(COUNTIFS($B$3:$B45,"Buy upgrade",$C$3:$C45,C46)+COUNTIFS($B$3:$B45,"Hire hunter",$C$3:$C45,C46)+COUNTIFS($B$3:$B45,"Forge/Scrapwork buy",$C$3:$C45,C46))),1),0)),"Can't — need "&amp;TEXT(IFERROR(FLOOR(IFERROR(VLOOKUP(C46,Upgrades!$N$4:$T$47,3,FALSE),0)*(IFERROR(VLOOKUP(C46,Upgrades!$N$4:$T$47,4,FALSE),0)^(COUNTIFS($B$3:$B45,"Buy upgrade",$C$3:$C45,C46)+COUNTIFS($B$3:$B45,"Hire hunter",$C$3:$C45,C46)+COUNTIFS($B$3:$B45,"Forge/Scrapwork buy",$C$3:$C45,C46))),1),0)-J45,"0")&amp;" more scraps",IF(AND(B46="Fight boss",E46="OK",(IF((((105/'Rules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Formulas'!B12)),"WIN — boss down, next Level unlocks",IF(AND(B46="Fight boss",E46="OK"),"LOSE — TTK "&amp;TEXT(IF((((105/'Rules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Formulas'!B20*SQRT(1+0.55*(AG45&gt;=1))),0)))),"0")&amp;"s &gt; patience "&amp;TEXT('Rules &amp; Formulas'!B12,"0")&amp;"s (leave resets HP)",IF(B46="Go AFK","AFK resolved (see AFK counted h)","Applied")))))))))</f>
        <v/>
      </c>
      <c r="G46" s="7">
        <f>IF(AND((E46="OK"),B46="Fight boss",(IF((((105/'Rules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Formulas'!B12),C46="Elder Thornpelt"),2,IF(AND((E46="OK"),B46="Fight boss",(IF((((105/'Rules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Formulas'!B12),C46="Ashfang Alpha"),3,G45))</f>
        <v/>
      </c>
      <c r="H46" s="7">
        <f>MAX(0,H45+IF(AND((E46="OK"),B46="Hunt"),(IF(B46="Hunt",(('Rules &amp; Formulas'!B4*N45*('Rules &amp; Formulas'!B5+O45)*IFERROR(VLOOKUP(C46,Monsters!$T$4:$AH$15,10,FALSE),0)*IFERROR(VLOOKUP(C46,Monsters!$T$4:$AH$15,9,FALSE),0))*'Rules &amp; Formulas'!B6)*IF(D46="",0,D46),0))*(IFERROR(VLOOKUP(C46,Monsters!$T$4:$AH$15,3,FALSE),0))*(1+0.1*AH45)+(IF(OR(B46&lt;&gt;"Hunt",IFERROR(VLOOKUP(C46,Monsters!$T$4:$AH$15,6,FALSE),0)=0),0,FLOOR((IF(B46="Hunt",(('Rules &amp; Formulas'!B4*N45*('Rules &amp; Formulas'!B5+O45)*IFERROR(VLOOKUP(C46,Monsters!$T$4:$AH$15,10,FALSE),0)*IFERROR(VLOOKUP(C46,Monsters!$T$4:$AH$15,9,FALSE),0))*'Rules &amp; Formulas'!B6)*IF(D46="",0,D46),0))/MAX(1,IFERROR(VLOOKUP(C46,Monsters!$T$4:$AH$15,6,FALSE),0)),1)))*(IFERROR(VLOOKUP(C46,Monsters!$T$4:$AH$15,7,FALSE),0))*0.5*(1+0.1*AH45),0)+IF(AND((E46="OK"),B46="Go AFK"),(IF(B46="Go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AFK",IF(D46="",0,D46),0),Z45/60)*60)),0))*(IFERROR(VLOOKUP(C46,Monsters!$T$4:$AH$15,3,FALSE),0))*(1+0.1*AH45)+(IF(OR(B46&lt;&gt;"Go AFK",IFERROR(VLOOKUP(C46,Monsters!$T$4:$AH$15,6,FALSE),0)=0),0,FLOOR((IF(B46="Go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AFK",IF(D46="",0,D46),0),Z45/60)*60)),0))/MAX(1,IFERROR(VLOOKUP(C46,Monsters!$T$4:$AH$15,6,FALSE),0)),1)))*(IFERROR(VLOOKUP(C46,Monsters!$T$4:$AH$15,7,FALSE),0))*0.5*(1+0.1*AH45),0)+IF(AND((E46="OK"),B46="Fight boss",(IF((((105/'Rules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Formulas'!B12)),IFERROR(VLOOKUP(C46,Monsters!$T$4:$AH$15,3,FALSE),0),0)-IF(AND((E46="OK"),OR(B46="Buy upgrade",B46="Forge/Scrapwork buy"),IFERROR(VLOOKUP(C46,Upgrades!$N$4:$T$47,2,FALSE),0)="gold"),IFERROR(FLOOR(IFERROR(VLOOKUP(C46,Upgrades!$N$4:$T$47,3,FALSE),0)*(IFERROR(VLOOKUP(C46,Upgrades!$N$4:$T$47,4,FALSE),0)^(COUNTIFS($B$3:$B45,"Buy upgrade",$C$3:$C45,C46)+COUNTIFS($B$3:$B45,"Hire hunter",$C$3:$C45,C46)+COUNTIFS($B$3:$B45,"Forge/Scrapwork buy",$C$3:$C45,C46))),1),0),0)-IF(AND((E46="OK"),B46="Hire hunter"),IF(C46="Briar",140,IF(C46="Quill",3650,IF(C46="Moss",4850,IF(C46="Ember",12200,0)))),0))</f>
        <v/>
      </c>
      <c r="I46" s="7">
        <f>IF(AND((E46="OK"),B46="Fight boss",(IF((((105/'Rules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Formulas'!B12)),0,MIN(IF(G45&lt;=1,120,IF(G45=2,280,600)),I45+IF(AND((E46="OK"),B46="Hunt"),((IF(B46="Hunt",(('Rules &amp; Formulas'!B4*N45*('Rules &amp; Formulas'!B5+O45)*IFERROR(VLOOKUP(C46,Monsters!$T$4:$AH$15,10,FALSE),0)*IFERROR(VLOOKUP(C46,Monsters!$T$4:$AH$15,9,FALSE),0))*'Rules &amp; Formulas'!B6)*IF(D46="",0,D46),0))*(IFERROR(VLOOKUP(C46,Monsters!$T$4:$AH$15,4,FALSE),0))+(IF(OR(B46&lt;&gt;"Hunt",IFERROR(VLOOKUP(C46,Monsters!$T$4:$AH$15,6,FALSE),0)=0),0,FLOOR((IF(B46="Hunt",(('Rules &amp; Formulas'!B4*N45*('Rules &amp; Formulas'!B5+O45)*IFERROR(VLOOKUP(C46,Monsters!$T$4:$AH$15,10,FALSE),0)*IFERROR(VLOOKUP(C46,Monsters!$T$4:$AH$15,9,FALSE),0))*'Rules &amp; Formulas'!B6)*IF(D46="",0,D46),0))/MAX(1,IFERROR(VLOOKUP(C46,Monsters!$T$4:$AH$15,6,FALSE),0)),1)))*(IFERROR(VLOOKUP(C46,Monsters!$T$4:$AH$15,7,FALSE),0))),0)+IF(AND((E46="OK"),B46="Go AFK"),((IF(B46="Go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AFK",IF(D46="",0,D46),0),Z45/60)*60)),0))*(IFERROR(VLOOKUP(C46,Monsters!$T$4:$AH$15,4,FALSE),0))+(IF(OR(B46&lt;&gt;"Go AFK",IFERROR(VLOOKUP(C46,Monsters!$T$4:$AH$15,6,FALSE),0)=0),0,FLOOR((IF(B46="Go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AFK",IF(D46="",0,D46),0),Z45/60)*60)),0))/MAX(1,IFERROR(VLOOKUP(C46,Monsters!$T$4:$AH$15,6,FALSE),0)),1)))*(IFERROR(VLOOKUP(C46,Monsters!$T$4:$AH$15,7,FALSE),0))),0)))</f>
        <v/>
      </c>
      <c r="J46" s="7">
        <f>MAX(0,J45+IF(AND((E46="OK"),B46="Hunt"),(IF(B46="Hunt",(('Rules &amp; Formulas'!B4*N45*('Rules &amp; Formulas'!B5+O45)*IFERROR(VLOOKUP(C46,Monsters!$T$4:$AH$15,10,FALSE),0)*IFERROR(VLOOKUP(C46,Monsters!$T$4:$AH$15,9,FALSE),0))*'Rules &amp; Formulas'!B6)*IF(D46="",0,D46),0))*(IFERROR(VLOOKUP(C46,Monsters!$T$4:$AH$15,5,FALSE),0)),0)+IF(AND((E46="OK"),B46="Go AFK"),(IF(B46="Go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AFK",IF(D46="",0,D46),0),Z45/60)*60)),0))*(IFERROR(VLOOKUP(C46,Monsters!$T$4:$AH$15,5,FALSE),0)),0)-IF(AND((E46="OK"),OR(B46="Buy upgrade",B46="Forge/Scrapwork buy"),IFERROR(VLOOKUP(C46,Upgrades!$N$4:$T$47,2,FALSE),0)="scraps"),IFERROR(FLOOR(IFERROR(VLOOKUP(C46,Upgrades!$N$4:$T$47,3,FALSE),0)*(IFERROR(VLOOKUP(C46,Upgrades!$N$4:$T$47,4,FALSE),0)^(COUNTIFS($B$3:$B45,"Buy upgrade",$C$3:$C45,C46)+COUNTIFS($B$3:$B45,"Hire hunter",$C$3:$C45,C46)+COUNTIFS($B$3:$B45,"Forge/Scrapwork buy",$C$3:$C45,C46))),1),0),0))</f>
        <v/>
      </c>
      <c r="K46" s="7">
        <f>MAX(0,K45+IF(AND((E46="OK"),B46="Hunt"),IF(C46="Thornpelt Bear",(IF(B46="Hunt",(('Rules &amp; Formulas'!B4*N45*('Rules &amp; Formulas'!B5+O45)*IFERROR(VLOOKUP(C46,Monsters!$T$4:$AH$15,10,FALSE),0)*IFERROR(VLOOKUP(C46,Monsters!$T$4:$AH$15,9,FALSE),0))*'Rules &amp; Formulas'!B6)*IF(D46="",0,D46),0))*0.12,0),0)+IF(AND((E46="OK"),B46="Go AFK"),IF(C46="Thornpelt Bear",(IF(B46="Go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AFK",IF(D46="",0,D46),0),Z45/60)*60)),0))*0.12,0),0))</f>
        <v/>
      </c>
      <c r="L46" s="7">
        <f>MAX(0,L45+IF(AND((E46="OK"),B46="Hunt"),IF(C46="Dire Thornpelt",(IF(B46="Hunt",(('Rules &amp; Formulas'!B4*N45*('Rules &amp; Formulas'!B5+O45)*IFERROR(VLOOKUP(C46,Monsters!$T$4:$AH$15,10,FALSE),0)*IFERROR(VLOOKUP(C46,Monsters!$T$4:$AH$15,9,FALSE),0))*'Rules &amp; Formulas'!B6)*IF(D46="",0,D46),0))*0.1,0),0)+IF(AND((E46="OK"),B46="Go AFK"),IF(C46="Dire Thornpelt",(IF(B46="Go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AFK",IF(D46="",0,D46),0),Z45/60)*60)),0))*0.1,0),0))</f>
        <v/>
      </c>
      <c r="M46" s="7">
        <f>IF(AND((E46="OK"),B46="Go AFK"),MAX(0,MIN(('Rules &amp; Formulas'!B15+25*AJ45),M45+('Rules &amp; Formulas'!B14+0.4*AJ45)*(MIN(IF(B46="Go AFK",IF(D46="",0,D46),0),Z45/60)*60))-(IF(B46="Go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AFK",IF(D46="",0,D46),0),Z45/60)*60)),0))*(IF((IFERROR(VLOOKUP(C46,Monsters!$T$4:$AH$15,8,FALSE),0))=0,0.35,IFERROR(VLOOKUP(C46,Monsters!$T$4:$AH$15,8,FALSE),0))/(1+0.08*AK45))),MIN(('Rules &amp; Formulas'!B15+25*AJ46),M45))</f>
        <v/>
      </c>
      <c r="N46" s="7">
        <f>(1+0.08+0.12*AA46+0.12*AB46+0.16*AC46)</f>
        <v/>
      </c>
      <c r="O46" s="7">
        <f>((AD46&gt;=1)*1*(1+0.3*AE46))</f>
        <v/>
      </c>
      <c r="P46" s="7">
        <f>IF(OR(B46="Hunt",B46="Go AFK"),(('Rules &amp; Formulas'!B4*N45*('Rules &amp; Formulas'!B5+O45)*IFERROR(VLOOKUP(C46,Monsters!$T$4:$AH$15,10,FALSE),0)*IFERROR(VLOOKUP(C46,Monsters!$T$4:$AH$15,9,FALSE),0))*'Rules &amp; Formulas'!B6),"")</f>
        <v/>
      </c>
      <c r="Q46" s="7">
        <f>IF(OR(B46="Hunt",B46="Go AFK"),('Rules &amp; Formulas'!B4*N45*('Rules &amp; Formulas'!B5+O45)*IFERROR(VLOOKUP(C46,Monsters!$T$4:$AH$15,10,FALSE),0)*IFERROR(VLOOKUP(C46,Monsters!$T$4:$AH$15,9,FALSE),0)),"")</f>
        <v/>
      </c>
      <c r="R46" s="7">
        <f>IF(AND((E46="OK"),B46="Hunt"),IF(B46="Hunt",(('Rules &amp; Formulas'!B4*N45*('Rules &amp; Formulas'!B5+O45)*IFERROR(VLOOKUP(C46,Monsters!$T$4:$AH$15,10,FALSE),0)*IFERROR(VLOOKUP(C46,Monsters!$T$4:$AH$15,9,FALSE),0))*'Rules &amp; Formulas'!B6)*IF(D46="",0,D46),0),IF(AND((E46="OK"),B46="Go AFK"),IF(B46="Go AFK",MIN(IF((IF((IFERROR(VLOOKUP(C46,Monsters!$T$4:$AH$15,8,FALSE),0))=0,0.35,IFERROR(VLOOKUP(C46,Monsters!$T$4:$AH$15,8,FALSE),0))/(1+0.08*AK45))&lt;=0,999999,FLOOR(MIN(('Rules &amp; Formulas'!B15+25*AJ45),M45+('Rules &amp; Formulas'!B14+0.4*AJ45)*(MIN(IF(B46="Go AFK",IF(D46="",0,D46),0),Z45/60)*60))/(IF((IFERROR(VLOOKUP(C46,Monsters!$T$4:$AH$15,8,FALSE),0))=0,0.35,IFERROR(VLOOKUP(C46,Monsters!$T$4:$AH$15,8,FALSE),0))/(1+0.08*AK45)),1)),('Rules &amp; Formulas'!B4*N45*('Rules &amp; Formulas'!B5+O45)*IFERROR(VLOOKUP(C46,Monsters!$T$4:$AH$15,10,FALSE),0)*IFERROR(VLOOKUP(C46,Monsters!$T$4:$AH$15,9,FALSE),0))*(MIN(IF(B46="Go AFK",IF(D46="",0,D46),0),Z45/60)*60)),0),0))</f>
        <v/>
      </c>
      <c r="S46" s="7">
        <f>(105/'Rules &amp; Formulas'!B10)*'Rules &amp; Formulas'!B11</f>
        <v/>
      </c>
      <c r="T46" s="7">
        <f>IF(AD45&gt;=1,(MAX(1,ROUND('Rules &amp; Formulas'!B18*(1+0.3*AE45)*(1+0.4*AF45),0)))*(1000/'Rules &amp; Formulas'!B19)*MIN(0.95,'Rules &amp; Formulas'!B20*SQRT(1+0.55*(AG45&gt;=1))),0)</f>
        <v/>
      </c>
      <c r="U46" s="7">
        <f>S46+T46</f>
        <v/>
      </c>
      <c r="V46" s="7">
        <f>IF(I45&gt;=IF((IFERROR(VLOOKUP(C46,Monsters!$T$4:$AH$15,15,FALSE),0))=0,120,IFERROR(VLOOKUP(C46,Monsters!$T$4:$AH$15,15,FALSE),0)),"YES","no")</f>
        <v/>
      </c>
      <c r="W46" s="7">
        <f>IF(AND(B46="Fight boss",E46="OK"),IF((((105/'Rules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Formulas'!B20*SQRT(1+0.55*(AG45&gt;=1))),0)))),"")</f>
        <v/>
      </c>
      <c r="X46" s="7">
        <f>IF(AND(B46="Fight boss",E46="OK"),IF((IF((((105/'Rules &amp; Formulas'!B10)*'Rules &amp; Formulas'!B11+IF(AD45&gt;=1,(MAX(1,ROUND('Rules &amp; Formulas'!B18*(1+0.3*AE45)*(1+0.4*AF45),0)))*(1000/'Rules &amp; Formulas'!B19)*MIN(0.95,'Rules &amp; Formulas'!B20*SQRT(1+0.55*(AG45&gt;=1))),0)))&lt;=0,9999,(IFERROR(VLOOKUP(C46,Monsters!$T$4:$AH$15,2,FALSE),0))/(((105/'Rules &amp; Formulas'!B10)*'Rules &amp; Formulas'!B11+IF(AD45&gt;=1,(MAX(1,ROUND('Rules &amp; Formulas'!B18*(1+0.3*AE45)*(1+0.4*AF45),0)))*(1000/'Rules &amp; Formulas'!B19)*MIN(0.95,'Rules &amp; Formulas'!B20*SQRT(1+0.55*(AG45&gt;=1))),0))))&lt;='Rules &amp; Formulas'!B12),"WIN","LOSE"),"")</f>
        <v/>
      </c>
      <c r="Y46" s="7">
        <f>IF(B46="Go AFK",MIN(IF(B46="Go AFK",IF(D46="",0,D46),0),Z45/60),"")</f>
        <v/>
      </c>
      <c r="Z46" s="7">
        <f>('Rules &amp; Formulas'!B13+30*AI46)</f>
        <v/>
      </c>
      <c r="AA46">
        <f>COUNTIFS($B$3:$B46,"Buy upgrade",$C$3:$C46,"Idle Power")</f>
        <v/>
      </c>
      <c r="AB46">
        <f>COUNTIFS($B$3:$B46,"Buy upgrade",$C$3:$C46,"Iron Blade")</f>
        <v/>
      </c>
      <c r="AC46">
        <f>COUNTIFS($B$3:$B46,"Buy upgrade",$C$3:$C46,"Steel Blade")</f>
        <v/>
      </c>
      <c r="AD46">
        <f>COUNTIFS($B$3:$B46,"Hire hunter",$C$3:$C46,"Briar")+COUNTIFS($B$3:$B46,"Buy upgrade",$C$3:$C46,"Hire Briar")</f>
        <v/>
      </c>
      <c r="AE46">
        <f>COUNTIFS($B$3:$B46,"Buy upgrade",$C$3:$C46,"Hunter Power")</f>
        <v/>
      </c>
      <c r="AF46">
        <f>COUNTIFS($B$3:$B46,"Buy upgrade",$C$3:$C46,"Bigger Hits")</f>
        <v/>
      </c>
      <c r="AG46">
        <f>COUNTIFS($B$3:$B46,"Buy upgrade",$C$3:$C46,"Swift Walk")</f>
        <v/>
      </c>
      <c r="AH46">
        <f>COUNTIFS($B$3:$B46,"Buy upgrade",$C$3:$C46,"Loot Luck")</f>
        <v/>
      </c>
      <c r="AI46">
        <f>COUNTIFS($B$3:$B46,"Buy upgrade",$C$3:$C46,"Offline Cap")</f>
        <v/>
      </c>
      <c r="AJ46">
        <f>COUNTIFS($B$3:$B46,"Buy upgrade",$C$3:$C46,"Bigger Food Stock")</f>
        <v/>
      </c>
      <c r="AK46">
        <f>COUNTIFS($B$3:$B46,"Buy upgrade",$C$3:$C46,"Food Efficiency")</f>
        <v/>
      </c>
    </row>
    <row r="47">
      <c r="A47" t="n">
        <v>45</v>
      </c>
      <c r="B47" s="6" t="n"/>
      <c r="C47" s="6" t="n"/>
      <c r="D47" s="6" t="n"/>
      <c r="E47" s="7">
        <f>IF(B47="","",IF(OR(B47="Hunt",B47="Go AFK"),IF(C47="","Can't","OK"),IF(B47="Fight boss",IF(I46&lt;IF((IFERROR(VLOOKUP(C47,Monsters!$T$4:$AH$15,15,FALSE),0))=0,120,IFERROR(VLOOKUP(C47,Monsters!$T$4:$AH$15,15,FALSE),0)),"Can't","OK"),IF(B47="Hire hunter",IF(AND(C47="Briar",AD46&gt;=1),"Can't",IF(H46&lt;IF(C47="Briar",140,IF(C47="Quill",3650,IF(C47="Moss",4850,IF(C47="Ember",12200,0)))),"Can't","OK")),IF(OR(B47="Buy upgrade",B47="Forge/Scrapwork buy"),IF(IFERROR(VLOOKUP(C47,Upgrades!$N$4:$T$47,2,FALSE),0)="points","Can't",IF(IFERROR(VLOOKUP(C47,Upgrades!$N$4:$T$47,2,FALSE),0)="gold",IF(H46&lt;IFERROR(FLOOR(IFERROR(VLOOKUP(C47,Upgrades!$N$4:$T$47,3,FALSE),0)*(IFERROR(VLOOKUP(C47,Upgrades!$N$4:$T$47,4,FALSE),0)^(COUNTIFS($B$3:$B46,"Buy upgrade",$C$3:$C46,C47)+COUNTIFS($B$3:$B46,"Hire hunter",$C$3:$C46,C47)+COUNTIFS($B$3:$B46,"Forge/Scrapwork buy",$C$3:$C46,C47))),1),0),"Can't","OK"),IF(IFERROR(VLOOKUP(C47,Upgrades!$N$4:$T$47,2,FALSE),0)="scraps",IF(J46&lt;IFERROR(FLOOR(IFERROR(VLOOKUP(C47,Upgrades!$N$4:$T$47,3,FALSE),0)*(IFERROR(VLOOKUP(C47,Upgrades!$N$4:$T$47,4,FALSE),0)^(COUNTIFS($B$3:$B46,"Buy upgrade",$C$3:$C46,C47)+COUNTIFS($B$3:$B46,"Hire hunter",$C$3:$C46,C47)+COUNTIFS($B$3:$B46,"Forge/Scrapwork buy",$C$3:$C46,C47))),1),0),"Can't","OK"),IF(IFERROR(VLOOKUP(C47,Upgrades!$N$4:$T$47,2,FALSE),0)="mats","Can't","OK")))),"Check")))))</f>
        <v/>
      </c>
      <c r="F47" s="7">
        <f>IF(B47="","",IF(AND(B47="Fight boss",I46&lt;IF((IFERROR(VLOOKUP(C47,Monsters!$T$4:$AH$15,15,FALSE),0))=0,120,IFERROR(VLOOKUP(C47,Monsters!$T$4:$AH$15,15,FALSE),0))),"Can't — need "&amp;TEXT(IF((IFERROR(VLOOKUP(C47,Monsters!$T$4:$AH$15,15,FALSE),0))=0,120,IFERROR(VLOOKUP(C47,Monsters!$T$4:$AH$15,15,FALSE),0))-I46,"0.0")&amp;" more Slayer points on the meter",IF(AND(B47="Hire hunter",C47="Briar",AD46&gt;=1),"Can't — already hired",IF(AND(B47="Hire hunter",H46&lt;IF(C47="Briar",140,IF(C47="Quill",3650,IF(C47="Moss",4850,IF(C47="Ember",12200,0))))),"Can't — need "&amp;TEXT(IF(C47="Briar",140,IF(C47="Quill",3650,IF(C47="Moss",4850,IF(C47="Ember",12200,0))))-H46,"0")&amp;" more gold",IF(AND(OR(B47="Buy upgrade",B47="Forge/Scrapwork buy"),IFERROR(VLOOKUP(C47,Upgrades!$N$4:$T$47,2,FALSE),0)="points"),"Can't — Sp-wallet spends not tracked here",IF(AND(OR(B47="Buy upgrade",B47="Forge/Scrapwork buy"),IFERROR(VLOOKUP(C47,Upgrades!$N$4:$T$47,2,FALSE),0)="gold",H46&lt;IFERROR(FLOOR(IFERROR(VLOOKUP(C47,Upgrades!$N$4:$T$47,3,FALSE),0)*(IFERROR(VLOOKUP(C47,Upgrades!$N$4:$T$47,4,FALSE),0)^(COUNTIFS($B$3:$B46,"Buy upgrade",$C$3:$C46,C47)+COUNTIFS($B$3:$B46,"Hire hunter",$C$3:$C46,C47)+COUNTIFS($B$3:$B46,"Forge/Scrapwork buy",$C$3:$C46,C47))),1),0)),"Can't — need "&amp;TEXT(IFERROR(FLOOR(IFERROR(VLOOKUP(C47,Upgrades!$N$4:$T$47,3,FALSE),0)*(IFERROR(VLOOKUP(C47,Upgrades!$N$4:$T$47,4,FALSE),0)^(COUNTIFS($B$3:$B46,"Buy upgrade",$C$3:$C46,C47)+COUNTIFS($B$3:$B46,"Hire hunter",$C$3:$C46,C47)+COUNTIFS($B$3:$B46,"Forge/Scrapwork buy",$C$3:$C46,C47))),1),0)-H46,"0")&amp;" more gold",IF(AND(OR(B47="Buy upgrade",B47="Forge/Scrapwork buy"),IFERROR(VLOOKUP(C47,Upgrades!$N$4:$T$47,2,FALSE),0)="scraps",J46&lt;IFERROR(FLOOR(IFERROR(VLOOKUP(C47,Upgrades!$N$4:$T$47,3,FALSE),0)*(IFERROR(VLOOKUP(C47,Upgrades!$N$4:$T$47,4,FALSE),0)^(COUNTIFS($B$3:$B46,"Buy upgrade",$C$3:$C46,C47)+COUNTIFS($B$3:$B46,"Hire hunter",$C$3:$C46,C47)+COUNTIFS($B$3:$B46,"Forge/Scrapwork buy",$C$3:$C46,C47))),1),0)),"Can't — need "&amp;TEXT(IFERROR(FLOOR(IFERROR(VLOOKUP(C47,Upgrades!$N$4:$T$47,3,FALSE),0)*(IFERROR(VLOOKUP(C47,Upgrades!$N$4:$T$47,4,FALSE),0)^(COUNTIFS($B$3:$B46,"Buy upgrade",$C$3:$C46,C47)+COUNTIFS($B$3:$B46,"Hire hunter",$C$3:$C46,C47)+COUNTIFS($B$3:$B46,"Forge/Scrapwork buy",$C$3:$C46,C47))),1),0)-J46,"0")&amp;" more scraps",IF(AND(B47="Fight boss",E47="OK",(IF((((105/'Rules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Formulas'!B12)),"WIN — boss down, next Level unlocks",IF(AND(B47="Fight boss",E47="OK"),"LOSE — TTK "&amp;TEXT(IF((((105/'Rules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Formulas'!B20*SQRT(1+0.55*(AG46&gt;=1))),0)))),"0")&amp;"s &gt; patience "&amp;TEXT('Rules &amp; Formulas'!B12,"0")&amp;"s (leave resets HP)",IF(B47="Go AFK","AFK resolved (see AFK counted h)","Applied")))))))))</f>
        <v/>
      </c>
      <c r="G47" s="7">
        <f>IF(AND((E47="OK"),B47="Fight boss",(IF((((105/'Rules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Formulas'!B12),C47="Elder Thornpelt"),2,IF(AND((E47="OK"),B47="Fight boss",(IF((((105/'Rules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Formulas'!B12),C47="Ashfang Alpha"),3,G46))</f>
        <v/>
      </c>
      <c r="H47" s="7">
        <f>MAX(0,H46+IF(AND((E47="OK"),B47="Hunt"),(IF(B47="Hunt",(('Rules &amp; Formulas'!B4*N46*('Rules &amp; Formulas'!B5+O46)*IFERROR(VLOOKUP(C47,Monsters!$T$4:$AH$15,10,FALSE),0)*IFERROR(VLOOKUP(C47,Monsters!$T$4:$AH$15,9,FALSE),0))*'Rules &amp; Formulas'!B6)*IF(D47="",0,D47),0))*(IFERROR(VLOOKUP(C47,Monsters!$T$4:$AH$15,3,FALSE),0))*(1+0.1*AH46)+(IF(OR(B47&lt;&gt;"Hunt",IFERROR(VLOOKUP(C47,Monsters!$T$4:$AH$15,6,FALSE),0)=0),0,FLOOR((IF(B47="Hunt",(('Rules &amp; Formulas'!B4*N46*('Rules &amp; Formulas'!B5+O46)*IFERROR(VLOOKUP(C47,Monsters!$T$4:$AH$15,10,FALSE),0)*IFERROR(VLOOKUP(C47,Monsters!$T$4:$AH$15,9,FALSE),0))*'Rules &amp; Formulas'!B6)*IF(D47="",0,D47),0))/MAX(1,IFERROR(VLOOKUP(C47,Monsters!$T$4:$AH$15,6,FALSE),0)),1)))*(IFERROR(VLOOKUP(C47,Monsters!$T$4:$AH$15,7,FALSE),0))*0.5*(1+0.1*AH46),0)+IF(AND((E47="OK"),B47="Go AFK"),(IF(B47="Go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AFK",IF(D47="",0,D47),0),Z46/60)*60)),0))*(IFERROR(VLOOKUP(C47,Monsters!$T$4:$AH$15,3,FALSE),0))*(1+0.1*AH46)+(IF(OR(B47&lt;&gt;"Go AFK",IFERROR(VLOOKUP(C47,Monsters!$T$4:$AH$15,6,FALSE),0)=0),0,FLOOR((IF(B47="Go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AFK",IF(D47="",0,D47),0),Z46/60)*60)),0))/MAX(1,IFERROR(VLOOKUP(C47,Monsters!$T$4:$AH$15,6,FALSE),0)),1)))*(IFERROR(VLOOKUP(C47,Monsters!$T$4:$AH$15,7,FALSE),0))*0.5*(1+0.1*AH46),0)+IF(AND((E47="OK"),B47="Fight boss",(IF((((105/'Rules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Formulas'!B12)),IFERROR(VLOOKUP(C47,Monsters!$T$4:$AH$15,3,FALSE),0),0)-IF(AND((E47="OK"),OR(B47="Buy upgrade",B47="Forge/Scrapwork buy"),IFERROR(VLOOKUP(C47,Upgrades!$N$4:$T$47,2,FALSE),0)="gold"),IFERROR(FLOOR(IFERROR(VLOOKUP(C47,Upgrades!$N$4:$T$47,3,FALSE),0)*(IFERROR(VLOOKUP(C47,Upgrades!$N$4:$T$47,4,FALSE),0)^(COUNTIFS($B$3:$B46,"Buy upgrade",$C$3:$C46,C47)+COUNTIFS($B$3:$B46,"Hire hunter",$C$3:$C46,C47)+COUNTIFS($B$3:$B46,"Forge/Scrapwork buy",$C$3:$C46,C47))),1),0),0)-IF(AND((E47="OK"),B47="Hire hunter"),IF(C47="Briar",140,IF(C47="Quill",3650,IF(C47="Moss",4850,IF(C47="Ember",12200,0)))),0))</f>
        <v/>
      </c>
      <c r="I47" s="7">
        <f>IF(AND((E47="OK"),B47="Fight boss",(IF((((105/'Rules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Formulas'!B12)),0,MIN(IF(G46&lt;=1,120,IF(G46=2,280,600)),I46+IF(AND((E47="OK"),B47="Hunt"),((IF(B47="Hunt",(('Rules &amp; Formulas'!B4*N46*('Rules &amp; Formulas'!B5+O46)*IFERROR(VLOOKUP(C47,Monsters!$T$4:$AH$15,10,FALSE),0)*IFERROR(VLOOKUP(C47,Monsters!$T$4:$AH$15,9,FALSE),0))*'Rules &amp; Formulas'!B6)*IF(D47="",0,D47),0))*(IFERROR(VLOOKUP(C47,Monsters!$T$4:$AH$15,4,FALSE),0))+(IF(OR(B47&lt;&gt;"Hunt",IFERROR(VLOOKUP(C47,Monsters!$T$4:$AH$15,6,FALSE),0)=0),0,FLOOR((IF(B47="Hunt",(('Rules &amp; Formulas'!B4*N46*('Rules &amp; Formulas'!B5+O46)*IFERROR(VLOOKUP(C47,Monsters!$T$4:$AH$15,10,FALSE),0)*IFERROR(VLOOKUP(C47,Monsters!$T$4:$AH$15,9,FALSE),0))*'Rules &amp; Formulas'!B6)*IF(D47="",0,D47),0))/MAX(1,IFERROR(VLOOKUP(C47,Monsters!$T$4:$AH$15,6,FALSE),0)),1)))*(IFERROR(VLOOKUP(C47,Monsters!$T$4:$AH$15,7,FALSE),0))),0)+IF(AND((E47="OK"),B47="Go AFK"),((IF(B47="Go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AFK",IF(D47="",0,D47),0),Z46/60)*60)),0))*(IFERROR(VLOOKUP(C47,Monsters!$T$4:$AH$15,4,FALSE),0))+(IF(OR(B47&lt;&gt;"Go AFK",IFERROR(VLOOKUP(C47,Monsters!$T$4:$AH$15,6,FALSE),0)=0),0,FLOOR((IF(B47="Go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AFK",IF(D47="",0,D47),0),Z46/60)*60)),0))/MAX(1,IFERROR(VLOOKUP(C47,Monsters!$T$4:$AH$15,6,FALSE),0)),1)))*(IFERROR(VLOOKUP(C47,Monsters!$T$4:$AH$15,7,FALSE),0))),0)))</f>
        <v/>
      </c>
      <c r="J47" s="7">
        <f>MAX(0,J46+IF(AND((E47="OK"),B47="Hunt"),(IF(B47="Hunt",(('Rules &amp; Formulas'!B4*N46*('Rules &amp; Formulas'!B5+O46)*IFERROR(VLOOKUP(C47,Monsters!$T$4:$AH$15,10,FALSE),0)*IFERROR(VLOOKUP(C47,Monsters!$T$4:$AH$15,9,FALSE),0))*'Rules &amp; Formulas'!B6)*IF(D47="",0,D47),0))*(IFERROR(VLOOKUP(C47,Monsters!$T$4:$AH$15,5,FALSE),0)),0)+IF(AND((E47="OK"),B47="Go AFK"),(IF(B47="Go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AFK",IF(D47="",0,D47),0),Z46/60)*60)),0))*(IFERROR(VLOOKUP(C47,Monsters!$T$4:$AH$15,5,FALSE),0)),0)-IF(AND((E47="OK"),OR(B47="Buy upgrade",B47="Forge/Scrapwork buy"),IFERROR(VLOOKUP(C47,Upgrades!$N$4:$T$47,2,FALSE),0)="scraps"),IFERROR(FLOOR(IFERROR(VLOOKUP(C47,Upgrades!$N$4:$T$47,3,FALSE),0)*(IFERROR(VLOOKUP(C47,Upgrades!$N$4:$T$47,4,FALSE),0)^(COUNTIFS($B$3:$B46,"Buy upgrade",$C$3:$C46,C47)+COUNTIFS($B$3:$B46,"Hire hunter",$C$3:$C46,C47)+COUNTIFS($B$3:$B46,"Forge/Scrapwork buy",$C$3:$C46,C47))),1),0),0))</f>
        <v/>
      </c>
      <c r="K47" s="7">
        <f>MAX(0,K46+IF(AND((E47="OK"),B47="Hunt"),IF(C47="Thornpelt Bear",(IF(B47="Hunt",(('Rules &amp; Formulas'!B4*N46*('Rules &amp; Formulas'!B5+O46)*IFERROR(VLOOKUP(C47,Monsters!$T$4:$AH$15,10,FALSE),0)*IFERROR(VLOOKUP(C47,Monsters!$T$4:$AH$15,9,FALSE),0))*'Rules &amp; Formulas'!B6)*IF(D47="",0,D47),0))*0.12,0),0)+IF(AND((E47="OK"),B47="Go AFK"),IF(C47="Thornpelt Bear",(IF(B47="Go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AFK",IF(D47="",0,D47),0),Z46/60)*60)),0))*0.12,0),0))</f>
        <v/>
      </c>
      <c r="L47" s="7">
        <f>MAX(0,L46+IF(AND((E47="OK"),B47="Hunt"),IF(C47="Dire Thornpelt",(IF(B47="Hunt",(('Rules &amp; Formulas'!B4*N46*('Rules &amp; Formulas'!B5+O46)*IFERROR(VLOOKUP(C47,Monsters!$T$4:$AH$15,10,FALSE),0)*IFERROR(VLOOKUP(C47,Monsters!$T$4:$AH$15,9,FALSE),0))*'Rules &amp; Formulas'!B6)*IF(D47="",0,D47),0))*0.1,0),0)+IF(AND((E47="OK"),B47="Go AFK"),IF(C47="Dire Thornpelt",(IF(B47="Go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AFK",IF(D47="",0,D47),0),Z46/60)*60)),0))*0.1,0),0))</f>
        <v/>
      </c>
      <c r="M47" s="7">
        <f>IF(AND((E47="OK"),B47="Go AFK"),MAX(0,MIN(('Rules &amp; Formulas'!B15+25*AJ46),M46+('Rules &amp; Formulas'!B14+0.4*AJ46)*(MIN(IF(B47="Go AFK",IF(D47="",0,D47),0),Z46/60)*60))-(IF(B47="Go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AFK",IF(D47="",0,D47),0),Z46/60)*60)),0))*(IF((IFERROR(VLOOKUP(C47,Monsters!$T$4:$AH$15,8,FALSE),0))=0,0.35,IFERROR(VLOOKUP(C47,Monsters!$T$4:$AH$15,8,FALSE),0))/(1+0.08*AK46))),MIN(('Rules &amp; Formulas'!B15+25*AJ47),M46))</f>
        <v/>
      </c>
      <c r="N47" s="7">
        <f>(1+0.08+0.12*AA47+0.12*AB47+0.16*AC47)</f>
        <v/>
      </c>
      <c r="O47" s="7">
        <f>((AD47&gt;=1)*1*(1+0.3*AE47))</f>
        <v/>
      </c>
      <c r="P47" s="7">
        <f>IF(OR(B47="Hunt",B47="Go AFK"),(('Rules &amp; Formulas'!B4*N46*('Rules &amp; Formulas'!B5+O46)*IFERROR(VLOOKUP(C47,Monsters!$T$4:$AH$15,10,FALSE),0)*IFERROR(VLOOKUP(C47,Monsters!$T$4:$AH$15,9,FALSE),0))*'Rules &amp; Formulas'!B6),"")</f>
        <v/>
      </c>
      <c r="Q47" s="7">
        <f>IF(OR(B47="Hunt",B47="Go AFK"),('Rules &amp; Formulas'!B4*N46*('Rules &amp; Formulas'!B5+O46)*IFERROR(VLOOKUP(C47,Monsters!$T$4:$AH$15,10,FALSE),0)*IFERROR(VLOOKUP(C47,Monsters!$T$4:$AH$15,9,FALSE),0)),"")</f>
        <v/>
      </c>
      <c r="R47" s="7">
        <f>IF(AND((E47="OK"),B47="Hunt"),IF(B47="Hunt",(('Rules &amp; Formulas'!B4*N46*('Rules &amp; Formulas'!B5+O46)*IFERROR(VLOOKUP(C47,Monsters!$T$4:$AH$15,10,FALSE),0)*IFERROR(VLOOKUP(C47,Monsters!$T$4:$AH$15,9,FALSE),0))*'Rules &amp; Formulas'!B6)*IF(D47="",0,D47),0),IF(AND((E47="OK"),B47="Go AFK"),IF(B47="Go AFK",MIN(IF((IF((IFERROR(VLOOKUP(C47,Monsters!$T$4:$AH$15,8,FALSE),0))=0,0.35,IFERROR(VLOOKUP(C47,Monsters!$T$4:$AH$15,8,FALSE),0))/(1+0.08*AK46))&lt;=0,999999,FLOOR(MIN(('Rules &amp; Formulas'!B15+25*AJ46),M46+('Rules &amp; Formulas'!B14+0.4*AJ46)*(MIN(IF(B47="Go AFK",IF(D47="",0,D47),0),Z46/60)*60))/(IF((IFERROR(VLOOKUP(C47,Monsters!$T$4:$AH$15,8,FALSE),0))=0,0.35,IFERROR(VLOOKUP(C47,Monsters!$T$4:$AH$15,8,FALSE),0))/(1+0.08*AK46)),1)),('Rules &amp; Formulas'!B4*N46*('Rules &amp; Formulas'!B5+O46)*IFERROR(VLOOKUP(C47,Monsters!$T$4:$AH$15,10,FALSE),0)*IFERROR(VLOOKUP(C47,Monsters!$T$4:$AH$15,9,FALSE),0))*(MIN(IF(B47="Go AFK",IF(D47="",0,D47),0),Z46/60)*60)),0),0))</f>
        <v/>
      </c>
      <c r="S47" s="7">
        <f>(105/'Rules &amp; Formulas'!B10)*'Rules &amp; Formulas'!B11</f>
        <v/>
      </c>
      <c r="T47" s="7">
        <f>IF(AD46&gt;=1,(MAX(1,ROUND('Rules &amp; Formulas'!B18*(1+0.3*AE46)*(1+0.4*AF46),0)))*(1000/'Rules &amp; Formulas'!B19)*MIN(0.95,'Rules &amp; Formulas'!B20*SQRT(1+0.55*(AG46&gt;=1))),0)</f>
        <v/>
      </c>
      <c r="U47" s="7">
        <f>S47+T47</f>
        <v/>
      </c>
      <c r="V47" s="7">
        <f>IF(I46&gt;=IF((IFERROR(VLOOKUP(C47,Monsters!$T$4:$AH$15,15,FALSE),0))=0,120,IFERROR(VLOOKUP(C47,Monsters!$T$4:$AH$15,15,FALSE),0)),"YES","no")</f>
        <v/>
      </c>
      <c r="W47" s="7">
        <f>IF(AND(B47="Fight boss",E47="OK"),IF((((105/'Rules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Formulas'!B20*SQRT(1+0.55*(AG46&gt;=1))),0)))),"")</f>
        <v/>
      </c>
      <c r="X47" s="7">
        <f>IF(AND(B47="Fight boss",E47="OK"),IF((IF((((105/'Rules &amp; Formulas'!B10)*'Rules &amp; Formulas'!B11+IF(AD46&gt;=1,(MAX(1,ROUND('Rules &amp; Formulas'!B18*(1+0.3*AE46)*(1+0.4*AF46),0)))*(1000/'Rules &amp; Formulas'!B19)*MIN(0.95,'Rules &amp; Formulas'!B20*SQRT(1+0.55*(AG46&gt;=1))),0)))&lt;=0,9999,(IFERROR(VLOOKUP(C47,Monsters!$T$4:$AH$15,2,FALSE),0))/(((105/'Rules &amp; Formulas'!B10)*'Rules &amp; Formulas'!B11+IF(AD46&gt;=1,(MAX(1,ROUND('Rules &amp; Formulas'!B18*(1+0.3*AE46)*(1+0.4*AF46),0)))*(1000/'Rules &amp; Formulas'!B19)*MIN(0.95,'Rules &amp; Formulas'!B20*SQRT(1+0.55*(AG46&gt;=1))),0))))&lt;='Rules &amp; Formulas'!B12),"WIN","LOSE"),"")</f>
        <v/>
      </c>
      <c r="Y47" s="7">
        <f>IF(B47="Go AFK",MIN(IF(B47="Go AFK",IF(D47="",0,D47),0),Z46/60),"")</f>
        <v/>
      </c>
      <c r="Z47" s="7">
        <f>('Rules &amp; Formulas'!B13+30*AI47)</f>
        <v/>
      </c>
      <c r="AA47">
        <f>COUNTIFS($B$3:$B47,"Buy upgrade",$C$3:$C47,"Idle Power")</f>
        <v/>
      </c>
      <c r="AB47">
        <f>COUNTIFS($B$3:$B47,"Buy upgrade",$C$3:$C47,"Iron Blade")</f>
        <v/>
      </c>
      <c r="AC47">
        <f>COUNTIFS($B$3:$B47,"Buy upgrade",$C$3:$C47,"Steel Blade")</f>
        <v/>
      </c>
      <c r="AD47">
        <f>COUNTIFS($B$3:$B47,"Hire hunter",$C$3:$C47,"Briar")+COUNTIFS($B$3:$B47,"Buy upgrade",$C$3:$C47,"Hire Briar")</f>
        <v/>
      </c>
      <c r="AE47">
        <f>COUNTIFS($B$3:$B47,"Buy upgrade",$C$3:$C47,"Hunter Power")</f>
        <v/>
      </c>
      <c r="AF47">
        <f>COUNTIFS($B$3:$B47,"Buy upgrade",$C$3:$C47,"Bigger Hits")</f>
        <v/>
      </c>
      <c r="AG47">
        <f>COUNTIFS($B$3:$B47,"Buy upgrade",$C$3:$C47,"Swift Walk")</f>
        <v/>
      </c>
      <c r="AH47">
        <f>COUNTIFS($B$3:$B47,"Buy upgrade",$C$3:$C47,"Loot Luck")</f>
        <v/>
      </c>
      <c r="AI47">
        <f>COUNTIFS($B$3:$B47,"Buy upgrade",$C$3:$C47,"Offline Cap")</f>
        <v/>
      </c>
      <c r="AJ47">
        <f>COUNTIFS($B$3:$B47,"Buy upgrade",$C$3:$C47,"Bigger Food Stock")</f>
        <v/>
      </c>
      <c r="AK47">
        <f>COUNTIFS($B$3:$B47,"Buy upgrade",$C$3:$C47,"Food Efficiency")</f>
        <v/>
      </c>
    </row>
    <row r="48">
      <c r="A48" t="n">
        <v>46</v>
      </c>
      <c r="B48" s="6" t="n"/>
      <c r="C48" s="6" t="n"/>
      <c r="D48" s="6" t="n"/>
      <c r="E48" s="7">
        <f>IF(B48="","",IF(OR(B48="Hunt",B48="Go AFK"),IF(C48="","Can't","OK"),IF(B48="Fight boss",IF(I47&lt;IF((IFERROR(VLOOKUP(C48,Monsters!$T$4:$AH$15,15,FALSE),0))=0,120,IFERROR(VLOOKUP(C48,Monsters!$T$4:$AH$15,15,FALSE),0)),"Can't","OK"),IF(B48="Hire hunter",IF(AND(C48="Briar",AD47&gt;=1),"Can't",IF(H47&lt;IF(C48="Briar",140,IF(C48="Quill",3650,IF(C48="Moss",4850,IF(C48="Ember",12200,0)))),"Can't","OK")),IF(OR(B48="Buy upgrade",B48="Forge/Scrapwork buy"),IF(IFERROR(VLOOKUP(C48,Upgrades!$N$4:$T$47,2,FALSE),0)="points","Can't",IF(IFERROR(VLOOKUP(C48,Upgrades!$N$4:$T$47,2,FALSE),0)="gold",IF(H47&lt;IFERROR(FLOOR(IFERROR(VLOOKUP(C48,Upgrades!$N$4:$T$47,3,FALSE),0)*(IFERROR(VLOOKUP(C48,Upgrades!$N$4:$T$47,4,FALSE),0)^(COUNTIFS($B$3:$B47,"Buy upgrade",$C$3:$C47,C48)+COUNTIFS($B$3:$B47,"Hire hunter",$C$3:$C47,C48)+COUNTIFS($B$3:$B47,"Forge/Scrapwork buy",$C$3:$C47,C48))),1),0),"Can't","OK"),IF(IFERROR(VLOOKUP(C48,Upgrades!$N$4:$T$47,2,FALSE),0)="scraps",IF(J47&lt;IFERROR(FLOOR(IFERROR(VLOOKUP(C48,Upgrades!$N$4:$T$47,3,FALSE),0)*(IFERROR(VLOOKUP(C48,Upgrades!$N$4:$T$47,4,FALSE),0)^(COUNTIFS($B$3:$B47,"Buy upgrade",$C$3:$C47,C48)+COUNTIFS($B$3:$B47,"Hire hunter",$C$3:$C47,C48)+COUNTIFS($B$3:$B47,"Forge/Scrapwork buy",$C$3:$C47,C48))),1),0),"Can't","OK"),IF(IFERROR(VLOOKUP(C48,Upgrades!$N$4:$T$47,2,FALSE),0)="mats","Can't","OK")))),"Check")))))</f>
        <v/>
      </c>
      <c r="F48" s="7">
        <f>IF(B48="","",IF(AND(B48="Fight boss",I47&lt;IF((IFERROR(VLOOKUP(C48,Monsters!$T$4:$AH$15,15,FALSE),0))=0,120,IFERROR(VLOOKUP(C48,Monsters!$T$4:$AH$15,15,FALSE),0))),"Can't — need "&amp;TEXT(IF((IFERROR(VLOOKUP(C48,Monsters!$T$4:$AH$15,15,FALSE),0))=0,120,IFERROR(VLOOKUP(C48,Monsters!$T$4:$AH$15,15,FALSE),0))-I47,"0.0")&amp;" more Slayer points on the meter",IF(AND(B48="Hire hunter",C48="Briar",AD47&gt;=1),"Can't — already hired",IF(AND(B48="Hire hunter",H47&lt;IF(C48="Briar",140,IF(C48="Quill",3650,IF(C48="Moss",4850,IF(C48="Ember",12200,0))))),"Can't — need "&amp;TEXT(IF(C48="Briar",140,IF(C48="Quill",3650,IF(C48="Moss",4850,IF(C48="Ember",12200,0))))-H47,"0")&amp;" more gold",IF(AND(OR(B48="Buy upgrade",B48="Forge/Scrapwork buy"),IFERROR(VLOOKUP(C48,Upgrades!$N$4:$T$47,2,FALSE),0)="points"),"Can't — Sp-wallet spends not tracked here",IF(AND(OR(B48="Buy upgrade",B48="Forge/Scrapwork buy"),IFERROR(VLOOKUP(C48,Upgrades!$N$4:$T$47,2,FALSE),0)="gold",H47&lt;IFERROR(FLOOR(IFERROR(VLOOKUP(C48,Upgrades!$N$4:$T$47,3,FALSE),0)*(IFERROR(VLOOKUP(C48,Upgrades!$N$4:$T$47,4,FALSE),0)^(COUNTIFS($B$3:$B47,"Buy upgrade",$C$3:$C47,C48)+COUNTIFS($B$3:$B47,"Hire hunter",$C$3:$C47,C48)+COUNTIFS($B$3:$B47,"Forge/Scrapwork buy",$C$3:$C47,C48))),1),0)),"Can't — need "&amp;TEXT(IFERROR(FLOOR(IFERROR(VLOOKUP(C48,Upgrades!$N$4:$T$47,3,FALSE),0)*(IFERROR(VLOOKUP(C48,Upgrades!$N$4:$T$47,4,FALSE),0)^(COUNTIFS($B$3:$B47,"Buy upgrade",$C$3:$C47,C48)+COUNTIFS($B$3:$B47,"Hire hunter",$C$3:$C47,C48)+COUNTIFS($B$3:$B47,"Forge/Scrapwork buy",$C$3:$C47,C48))),1),0)-H47,"0")&amp;" more gold",IF(AND(OR(B48="Buy upgrade",B48="Forge/Scrapwork buy"),IFERROR(VLOOKUP(C48,Upgrades!$N$4:$T$47,2,FALSE),0)="scraps",J47&lt;IFERROR(FLOOR(IFERROR(VLOOKUP(C48,Upgrades!$N$4:$T$47,3,FALSE),0)*(IFERROR(VLOOKUP(C48,Upgrades!$N$4:$T$47,4,FALSE),0)^(COUNTIFS($B$3:$B47,"Buy upgrade",$C$3:$C47,C48)+COUNTIFS($B$3:$B47,"Hire hunter",$C$3:$C47,C48)+COUNTIFS($B$3:$B47,"Forge/Scrapwork buy",$C$3:$C47,C48))),1),0)),"Can't — need "&amp;TEXT(IFERROR(FLOOR(IFERROR(VLOOKUP(C48,Upgrades!$N$4:$T$47,3,FALSE),0)*(IFERROR(VLOOKUP(C48,Upgrades!$N$4:$T$47,4,FALSE),0)^(COUNTIFS($B$3:$B47,"Buy upgrade",$C$3:$C47,C48)+COUNTIFS($B$3:$B47,"Hire hunter",$C$3:$C47,C48)+COUNTIFS($B$3:$B47,"Forge/Scrapwork buy",$C$3:$C47,C48))),1),0)-J47,"0")&amp;" more scraps",IF(AND(B48="Fight boss",E48="OK",(IF((((105/'Rules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Formulas'!B12)),"WIN — boss down, next Level unlocks",IF(AND(B48="Fight boss",E48="OK"),"LOSE — TTK "&amp;TEXT(IF((((105/'Rules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Formulas'!B20*SQRT(1+0.55*(AG47&gt;=1))),0)))),"0")&amp;"s &gt; patience "&amp;TEXT('Rules &amp; Formulas'!B12,"0")&amp;"s (leave resets HP)",IF(B48="Go AFK","AFK resolved (see AFK counted h)","Applied")))))))))</f>
        <v/>
      </c>
      <c r="G48" s="7">
        <f>IF(AND((E48="OK"),B48="Fight boss",(IF((((105/'Rules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Formulas'!B12),C48="Elder Thornpelt"),2,IF(AND((E48="OK"),B48="Fight boss",(IF((((105/'Rules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Formulas'!B12),C48="Ashfang Alpha"),3,G47))</f>
        <v/>
      </c>
      <c r="H48" s="7">
        <f>MAX(0,H47+IF(AND((E48="OK"),B48="Hunt"),(IF(B48="Hunt",(('Rules &amp; Formulas'!B4*N47*('Rules &amp; Formulas'!B5+O47)*IFERROR(VLOOKUP(C48,Monsters!$T$4:$AH$15,10,FALSE),0)*IFERROR(VLOOKUP(C48,Monsters!$T$4:$AH$15,9,FALSE),0))*'Rules &amp; Formulas'!B6)*IF(D48="",0,D48),0))*(IFERROR(VLOOKUP(C48,Monsters!$T$4:$AH$15,3,FALSE),0))*(1+0.1*AH47)+(IF(OR(B48&lt;&gt;"Hunt",IFERROR(VLOOKUP(C48,Monsters!$T$4:$AH$15,6,FALSE),0)=0),0,FLOOR((IF(B48="Hunt",(('Rules &amp; Formulas'!B4*N47*('Rules &amp; Formulas'!B5+O47)*IFERROR(VLOOKUP(C48,Monsters!$T$4:$AH$15,10,FALSE),0)*IFERROR(VLOOKUP(C48,Monsters!$T$4:$AH$15,9,FALSE),0))*'Rules &amp; Formulas'!B6)*IF(D48="",0,D48),0))/MAX(1,IFERROR(VLOOKUP(C48,Monsters!$T$4:$AH$15,6,FALSE),0)),1)))*(IFERROR(VLOOKUP(C48,Monsters!$T$4:$AH$15,7,FALSE),0))*0.5*(1+0.1*AH47),0)+IF(AND((E48="OK"),B48="Go AFK"),(IF(B48="Go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AFK",IF(D48="",0,D48),0),Z47/60)*60)),0))*(IFERROR(VLOOKUP(C48,Monsters!$T$4:$AH$15,3,FALSE),0))*(1+0.1*AH47)+(IF(OR(B48&lt;&gt;"Go AFK",IFERROR(VLOOKUP(C48,Monsters!$T$4:$AH$15,6,FALSE),0)=0),0,FLOOR((IF(B48="Go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AFK",IF(D48="",0,D48),0),Z47/60)*60)),0))/MAX(1,IFERROR(VLOOKUP(C48,Monsters!$T$4:$AH$15,6,FALSE),0)),1)))*(IFERROR(VLOOKUP(C48,Monsters!$T$4:$AH$15,7,FALSE),0))*0.5*(1+0.1*AH47),0)+IF(AND((E48="OK"),B48="Fight boss",(IF((((105/'Rules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Formulas'!B12)),IFERROR(VLOOKUP(C48,Monsters!$T$4:$AH$15,3,FALSE),0),0)-IF(AND((E48="OK"),OR(B48="Buy upgrade",B48="Forge/Scrapwork buy"),IFERROR(VLOOKUP(C48,Upgrades!$N$4:$T$47,2,FALSE),0)="gold"),IFERROR(FLOOR(IFERROR(VLOOKUP(C48,Upgrades!$N$4:$T$47,3,FALSE),0)*(IFERROR(VLOOKUP(C48,Upgrades!$N$4:$T$47,4,FALSE),0)^(COUNTIFS($B$3:$B47,"Buy upgrade",$C$3:$C47,C48)+COUNTIFS($B$3:$B47,"Hire hunter",$C$3:$C47,C48)+COUNTIFS($B$3:$B47,"Forge/Scrapwork buy",$C$3:$C47,C48))),1),0),0)-IF(AND((E48="OK"),B48="Hire hunter"),IF(C48="Briar",140,IF(C48="Quill",3650,IF(C48="Moss",4850,IF(C48="Ember",12200,0)))),0))</f>
        <v/>
      </c>
      <c r="I48" s="7">
        <f>IF(AND((E48="OK"),B48="Fight boss",(IF((((105/'Rules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Formulas'!B12)),0,MIN(IF(G47&lt;=1,120,IF(G47=2,280,600)),I47+IF(AND((E48="OK"),B48="Hunt"),((IF(B48="Hunt",(('Rules &amp; Formulas'!B4*N47*('Rules &amp; Formulas'!B5+O47)*IFERROR(VLOOKUP(C48,Monsters!$T$4:$AH$15,10,FALSE),0)*IFERROR(VLOOKUP(C48,Monsters!$T$4:$AH$15,9,FALSE),0))*'Rules &amp; Formulas'!B6)*IF(D48="",0,D48),0))*(IFERROR(VLOOKUP(C48,Monsters!$T$4:$AH$15,4,FALSE),0))+(IF(OR(B48&lt;&gt;"Hunt",IFERROR(VLOOKUP(C48,Monsters!$T$4:$AH$15,6,FALSE),0)=0),0,FLOOR((IF(B48="Hunt",(('Rules &amp; Formulas'!B4*N47*('Rules &amp; Formulas'!B5+O47)*IFERROR(VLOOKUP(C48,Monsters!$T$4:$AH$15,10,FALSE),0)*IFERROR(VLOOKUP(C48,Monsters!$T$4:$AH$15,9,FALSE),0))*'Rules &amp; Formulas'!B6)*IF(D48="",0,D48),0))/MAX(1,IFERROR(VLOOKUP(C48,Monsters!$T$4:$AH$15,6,FALSE),0)),1)))*(IFERROR(VLOOKUP(C48,Monsters!$T$4:$AH$15,7,FALSE),0))),0)+IF(AND((E48="OK"),B48="Go AFK"),((IF(B48="Go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AFK",IF(D48="",0,D48),0),Z47/60)*60)),0))*(IFERROR(VLOOKUP(C48,Monsters!$T$4:$AH$15,4,FALSE),0))+(IF(OR(B48&lt;&gt;"Go AFK",IFERROR(VLOOKUP(C48,Monsters!$T$4:$AH$15,6,FALSE),0)=0),0,FLOOR((IF(B48="Go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AFK",IF(D48="",0,D48),0),Z47/60)*60)),0))/MAX(1,IFERROR(VLOOKUP(C48,Monsters!$T$4:$AH$15,6,FALSE),0)),1)))*(IFERROR(VLOOKUP(C48,Monsters!$T$4:$AH$15,7,FALSE),0))),0)))</f>
        <v/>
      </c>
      <c r="J48" s="7">
        <f>MAX(0,J47+IF(AND((E48="OK"),B48="Hunt"),(IF(B48="Hunt",(('Rules &amp; Formulas'!B4*N47*('Rules &amp; Formulas'!B5+O47)*IFERROR(VLOOKUP(C48,Monsters!$T$4:$AH$15,10,FALSE),0)*IFERROR(VLOOKUP(C48,Monsters!$T$4:$AH$15,9,FALSE),0))*'Rules &amp; Formulas'!B6)*IF(D48="",0,D48),0))*(IFERROR(VLOOKUP(C48,Monsters!$T$4:$AH$15,5,FALSE),0)),0)+IF(AND((E48="OK"),B48="Go AFK"),(IF(B48="Go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AFK",IF(D48="",0,D48),0),Z47/60)*60)),0))*(IFERROR(VLOOKUP(C48,Monsters!$T$4:$AH$15,5,FALSE),0)),0)-IF(AND((E48="OK"),OR(B48="Buy upgrade",B48="Forge/Scrapwork buy"),IFERROR(VLOOKUP(C48,Upgrades!$N$4:$T$47,2,FALSE),0)="scraps"),IFERROR(FLOOR(IFERROR(VLOOKUP(C48,Upgrades!$N$4:$T$47,3,FALSE),0)*(IFERROR(VLOOKUP(C48,Upgrades!$N$4:$T$47,4,FALSE),0)^(COUNTIFS($B$3:$B47,"Buy upgrade",$C$3:$C47,C48)+COUNTIFS($B$3:$B47,"Hire hunter",$C$3:$C47,C48)+COUNTIFS($B$3:$B47,"Forge/Scrapwork buy",$C$3:$C47,C48))),1),0),0))</f>
        <v/>
      </c>
      <c r="K48" s="7">
        <f>MAX(0,K47+IF(AND((E48="OK"),B48="Hunt"),IF(C48="Thornpelt Bear",(IF(B48="Hunt",(('Rules &amp; Formulas'!B4*N47*('Rules &amp; Formulas'!B5+O47)*IFERROR(VLOOKUP(C48,Monsters!$T$4:$AH$15,10,FALSE),0)*IFERROR(VLOOKUP(C48,Monsters!$T$4:$AH$15,9,FALSE),0))*'Rules &amp; Formulas'!B6)*IF(D48="",0,D48),0))*0.12,0),0)+IF(AND((E48="OK"),B48="Go AFK"),IF(C48="Thornpelt Bear",(IF(B48="Go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AFK",IF(D48="",0,D48),0),Z47/60)*60)),0))*0.12,0),0))</f>
        <v/>
      </c>
      <c r="L48" s="7">
        <f>MAX(0,L47+IF(AND((E48="OK"),B48="Hunt"),IF(C48="Dire Thornpelt",(IF(B48="Hunt",(('Rules &amp; Formulas'!B4*N47*('Rules &amp; Formulas'!B5+O47)*IFERROR(VLOOKUP(C48,Monsters!$T$4:$AH$15,10,FALSE),0)*IFERROR(VLOOKUP(C48,Monsters!$T$4:$AH$15,9,FALSE),0))*'Rules &amp; Formulas'!B6)*IF(D48="",0,D48),0))*0.1,0),0)+IF(AND((E48="OK"),B48="Go AFK"),IF(C48="Dire Thornpelt",(IF(B48="Go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AFK",IF(D48="",0,D48),0),Z47/60)*60)),0))*0.1,0),0))</f>
        <v/>
      </c>
      <c r="M48" s="7">
        <f>IF(AND((E48="OK"),B48="Go AFK"),MAX(0,MIN(('Rules &amp; Formulas'!B15+25*AJ47),M47+('Rules &amp; Formulas'!B14+0.4*AJ47)*(MIN(IF(B48="Go AFK",IF(D48="",0,D48),0),Z47/60)*60))-(IF(B48="Go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AFK",IF(D48="",0,D48),0),Z47/60)*60)),0))*(IF((IFERROR(VLOOKUP(C48,Monsters!$T$4:$AH$15,8,FALSE),0))=0,0.35,IFERROR(VLOOKUP(C48,Monsters!$T$4:$AH$15,8,FALSE),0))/(1+0.08*AK47))),MIN(('Rules &amp; Formulas'!B15+25*AJ48),M47))</f>
        <v/>
      </c>
      <c r="N48" s="7">
        <f>(1+0.08+0.12*AA48+0.12*AB48+0.16*AC48)</f>
        <v/>
      </c>
      <c r="O48" s="7">
        <f>((AD48&gt;=1)*1*(1+0.3*AE48))</f>
        <v/>
      </c>
      <c r="P48" s="7">
        <f>IF(OR(B48="Hunt",B48="Go AFK"),(('Rules &amp; Formulas'!B4*N47*('Rules &amp; Formulas'!B5+O47)*IFERROR(VLOOKUP(C48,Monsters!$T$4:$AH$15,10,FALSE),0)*IFERROR(VLOOKUP(C48,Monsters!$T$4:$AH$15,9,FALSE),0))*'Rules &amp; Formulas'!B6),"")</f>
        <v/>
      </c>
      <c r="Q48" s="7">
        <f>IF(OR(B48="Hunt",B48="Go AFK"),('Rules &amp; Formulas'!B4*N47*('Rules &amp; Formulas'!B5+O47)*IFERROR(VLOOKUP(C48,Monsters!$T$4:$AH$15,10,FALSE),0)*IFERROR(VLOOKUP(C48,Monsters!$T$4:$AH$15,9,FALSE),0)),"")</f>
        <v/>
      </c>
      <c r="R48" s="7">
        <f>IF(AND((E48="OK"),B48="Hunt"),IF(B48="Hunt",(('Rules &amp; Formulas'!B4*N47*('Rules &amp; Formulas'!B5+O47)*IFERROR(VLOOKUP(C48,Monsters!$T$4:$AH$15,10,FALSE),0)*IFERROR(VLOOKUP(C48,Monsters!$T$4:$AH$15,9,FALSE),0))*'Rules &amp; Formulas'!B6)*IF(D48="",0,D48),0),IF(AND((E48="OK"),B48="Go AFK"),IF(B48="Go AFK",MIN(IF((IF((IFERROR(VLOOKUP(C48,Monsters!$T$4:$AH$15,8,FALSE),0))=0,0.35,IFERROR(VLOOKUP(C48,Monsters!$T$4:$AH$15,8,FALSE),0))/(1+0.08*AK47))&lt;=0,999999,FLOOR(MIN(('Rules &amp; Formulas'!B15+25*AJ47),M47+('Rules &amp; Formulas'!B14+0.4*AJ47)*(MIN(IF(B48="Go AFK",IF(D48="",0,D48),0),Z47/60)*60))/(IF((IFERROR(VLOOKUP(C48,Monsters!$T$4:$AH$15,8,FALSE),0))=0,0.35,IFERROR(VLOOKUP(C48,Monsters!$T$4:$AH$15,8,FALSE),0))/(1+0.08*AK47)),1)),('Rules &amp; Formulas'!B4*N47*('Rules &amp; Formulas'!B5+O47)*IFERROR(VLOOKUP(C48,Monsters!$T$4:$AH$15,10,FALSE),0)*IFERROR(VLOOKUP(C48,Monsters!$T$4:$AH$15,9,FALSE),0))*(MIN(IF(B48="Go AFK",IF(D48="",0,D48),0),Z47/60)*60)),0),0))</f>
        <v/>
      </c>
      <c r="S48" s="7">
        <f>(105/'Rules &amp; Formulas'!B10)*'Rules &amp; Formulas'!B11</f>
        <v/>
      </c>
      <c r="T48" s="7">
        <f>IF(AD47&gt;=1,(MAX(1,ROUND('Rules &amp; Formulas'!B18*(1+0.3*AE47)*(1+0.4*AF47),0)))*(1000/'Rules &amp; Formulas'!B19)*MIN(0.95,'Rules &amp; Formulas'!B20*SQRT(1+0.55*(AG47&gt;=1))),0)</f>
        <v/>
      </c>
      <c r="U48" s="7">
        <f>S48+T48</f>
        <v/>
      </c>
      <c r="V48" s="7">
        <f>IF(I47&gt;=IF((IFERROR(VLOOKUP(C48,Monsters!$T$4:$AH$15,15,FALSE),0))=0,120,IFERROR(VLOOKUP(C48,Monsters!$T$4:$AH$15,15,FALSE),0)),"YES","no")</f>
        <v/>
      </c>
      <c r="W48" s="7">
        <f>IF(AND(B48="Fight boss",E48="OK"),IF((((105/'Rules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Formulas'!B20*SQRT(1+0.55*(AG47&gt;=1))),0)))),"")</f>
        <v/>
      </c>
      <c r="X48" s="7">
        <f>IF(AND(B48="Fight boss",E48="OK"),IF((IF((((105/'Rules &amp; Formulas'!B10)*'Rules &amp; Formulas'!B11+IF(AD47&gt;=1,(MAX(1,ROUND('Rules &amp; Formulas'!B18*(1+0.3*AE47)*(1+0.4*AF47),0)))*(1000/'Rules &amp; Formulas'!B19)*MIN(0.95,'Rules &amp; Formulas'!B20*SQRT(1+0.55*(AG47&gt;=1))),0)))&lt;=0,9999,(IFERROR(VLOOKUP(C48,Monsters!$T$4:$AH$15,2,FALSE),0))/(((105/'Rules &amp; Formulas'!B10)*'Rules &amp; Formulas'!B11+IF(AD47&gt;=1,(MAX(1,ROUND('Rules &amp; Formulas'!B18*(1+0.3*AE47)*(1+0.4*AF47),0)))*(1000/'Rules &amp; Formulas'!B19)*MIN(0.95,'Rules &amp; Formulas'!B20*SQRT(1+0.55*(AG47&gt;=1))),0))))&lt;='Rules &amp; Formulas'!B12),"WIN","LOSE"),"")</f>
        <v/>
      </c>
      <c r="Y48" s="7">
        <f>IF(B48="Go AFK",MIN(IF(B48="Go AFK",IF(D48="",0,D48),0),Z47/60),"")</f>
        <v/>
      </c>
      <c r="Z48" s="7">
        <f>('Rules &amp; Formulas'!B13+30*AI48)</f>
        <v/>
      </c>
      <c r="AA48">
        <f>COUNTIFS($B$3:$B48,"Buy upgrade",$C$3:$C48,"Idle Power")</f>
        <v/>
      </c>
      <c r="AB48">
        <f>COUNTIFS($B$3:$B48,"Buy upgrade",$C$3:$C48,"Iron Blade")</f>
        <v/>
      </c>
      <c r="AC48">
        <f>COUNTIFS($B$3:$B48,"Buy upgrade",$C$3:$C48,"Steel Blade")</f>
        <v/>
      </c>
      <c r="AD48">
        <f>COUNTIFS($B$3:$B48,"Hire hunter",$C$3:$C48,"Briar")+COUNTIFS($B$3:$B48,"Buy upgrade",$C$3:$C48,"Hire Briar")</f>
        <v/>
      </c>
      <c r="AE48">
        <f>COUNTIFS($B$3:$B48,"Buy upgrade",$C$3:$C48,"Hunter Power")</f>
        <v/>
      </c>
      <c r="AF48">
        <f>COUNTIFS($B$3:$B48,"Buy upgrade",$C$3:$C48,"Bigger Hits")</f>
        <v/>
      </c>
      <c r="AG48">
        <f>COUNTIFS($B$3:$B48,"Buy upgrade",$C$3:$C48,"Swift Walk")</f>
        <v/>
      </c>
      <c r="AH48">
        <f>COUNTIFS($B$3:$B48,"Buy upgrade",$C$3:$C48,"Loot Luck")</f>
        <v/>
      </c>
      <c r="AI48">
        <f>COUNTIFS($B$3:$B48,"Buy upgrade",$C$3:$C48,"Offline Cap")</f>
        <v/>
      </c>
      <c r="AJ48">
        <f>COUNTIFS($B$3:$B48,"Buy upgrade",$C$3:$C48,"Bigger Food Stock")</f>
        <v/>
      </c>
      <c r="AK48">
        <f>COUNTIFS($B$3:$B48,"Buy upgrade",$C$3:$C48,"Food Efficiency")</f>
        <v/>
      </c>
    </row>
    <row r="49">
      <c r="A49" t="n">
        <v>47</v>
      </c>
      <c r="B49" s="6" t="n"/>
      <c r="C49" s="6" t="n"/>
      <c r="D49" s="6" t="n"/>
      <c r="E49" s="7">
        <f>IF(B49="","",IF(OR(B49="Hunt",B49="Go AFK"),IF(C49="","Can't","OK"),IF(B49="Fight boss",IF(I48&lt;IF((IFERROR(VLOOKUP(C49,Monsters!$T$4:$AH$15,15,FALSE),0))=0,120,IFERROR(VLOOKUP(C49,Monsters!$T$4:$AH$15,15,FALSE),0)),"Can't","OK"),IF(B49="Hire hunter",IF(AND(C49="Briar",AD48&gt;=1),"Can't",IF(H48&lt;IF(C49="Briar",140,IF(C49="Quill",3650,IF(C49="Moss",4850,IF(C49="Ember",12200,0)))),"Can't","OK")),IF(OR(B49="Buy upgrade",B49="Forge/Scrapwork buy"),IF(IFERROR(VLOOKUP(C49,Upgrades!$N$4:$T$47,2,FALSE),0)="points","Can't",IF(IFERROR(VLOOKUP(C49,Upgrades!$N$4:$T$47,2,FALSE),0)="gold",IF(H48&lt;IFERROR(FLOOR(IFERROR(VLOOKUP(C49,Upgrades!$N$4:$T$47,3,FALSE),0)*(IFERROR(VLOOKUP(C49,Upgrades!$N$4:$T$47,4,FALSE),0)^(COUNTIFS($B$3:$B48,"Buy upgrade",$C$3:$C48,C49)+COUNTIFS($B$3:$B48,"Hire hunter",$C$3:$C48,C49)+COUNTIFS($B$3:$B48,"Forge/Scrapwork buy",$C$3:$C48,C49))),1),0),"Can't","OK"),IF(IFERROR(VLOOKUP(C49,Upgrades!$N$4:$T$47,2,FALSE),0)="scraps",IF(J48&lt;IFERROR(FLOOR(IFERROR(VLOOKUP(C49,Upgrades!$N$4:$T$47,3,FALSE),0)*(IFERROR(VLOOKUP(C49,Upgrades!$N$4:$T$47,4,FALSE),0)^(COUNTIFS($B$3:$B48,"Buy upgrade",$C$3:$C48,C49)+COUNTIFS($B$3:$B48,"Hire hunter",$C$3:$C48,C49)+COUNTIFS($B$3:$B48,"Forge/Scrapwork buy",$C$3:$C48,C49))),1),0),"Can't","OK"),IF(IFERROR(VLOOKUP(C49,Upgrades!$N$4:$T$47,2,FALSE),0)="mats","Can't","OK")))),"Check")))))</f>
        <v/>
      </c>
      <c r="F49" s="7">
        <f>IF(B49="","",IF(AND(B49="Fight boss",I48&lt;IF((IFERROR(VLOOKUP(C49,Monsters!$T$4:$AH$15,15,FALSE),0))=0,120,IFERROR(VLOOKUP(C49,Monsters!$T$4:$AH$15,15,FALSE),0))),"Can't — need "&amp;TEXT(IF((IFERROR(VLOOKUP(C49,Monsters!$T$4:$AH$15,15,FALSE),0))=0,120,IFERROR(VLOOKUP(C49,Monsters!$T$4:$AH$15,15,FALSE),0))-I48,"0.0")&amp;" more Slayer points on the meter",IF(AND(B49="Hire hunter",C49="Briar",AD48&gt;=1),"Can't — already hired",IF(AND(B49="Hire hunter",H48&lt;IF(C49="Briar",140,IF(C49="Quill",3650,IF(C49="Moss",4850,IF(C49="Ember",12200,0))))),"Can't — need "&amp;TEXT(IF(C49="Briar",140,IF(C49="Quill",3650,IF(C49="Moss",4850,IF(C49="Ember",12200,0))))-H48,"0")&amp;" more gold",IF(AND(OR(B49="Buy upgrade",B49="Forge/Scrapwork buy"),IFERROR(VLOOKUP(C49,Upgrades!$N$4:$T$47,2,FALSE),0)="points"),"Can't — Sp-wallet spends not tracked here",IF(AND(OR(B49="Buy upgrade",B49="Forge/Scrapwork buy"),IFERROR(VLOOKUP(C49,Upgrades!$N$4:$T$47,2,FALSE),0)="gold",H48&lt;IFERROR(FLOOR(IFERROR(VLOOKUP(C49,Upgrades!$N$4:$T$47,3,FALSE),0)*(IFERROR(VLOOKUP(C49,Upgrades!$N$4:$T$47,4,FALSE),0)^(COUNTIFS($B$3:$B48,"Buy upgrade",$C$3:$C48,C49)+COUNTIFS($B$3:$B48,"Hire hunter",$C$3:$C48,C49)+COUNTIFS($B$3:$B48,"Forge/Scrapwork buy",$C$3:$C48,C49))),1),0)),"Can't — need "&amp;TEXT(IFERROR(FLOOR(IFERROR(VLOOKUP(C49,Upgrades!$N$4:$T$47,3,FALSE),0)*(IFERROR(VLOOKUP(C49,Upgrades!$N$4:$T$47,4,FALSE),0)^(COUNTIFS($B$3:$B48,"Buy upgrade",$C$3:$C48,C49)+COUNTIFS($B$3:$B48,"Hire hunter",$C$3:$C48,C49)+COUNTIFS($B$3:$B48,"Forge/Scrapwork buy",$C$3:$C48,C49))),1),0)-H48,"0")&amp;" more gold",IF(AND(OR(B49="Buy upgrade",B49="Forge/Scrapwork buy"),IFERROR(VLOOKUP(C49,Upgrades!$N$4:$T$47,2,FALSE),0)="scraps",J48&lt;IFERROR(FLOOR(IFERROR(VLOOKUP(C49,Upgrades!$N$4:$T$47,3,FALSE),0)*(IFERROR(VLOOKUP(C49,Upgrades!$N$4:$T$47,4,FALSE),0)^(COUNTIFS($B$3:$B48,"Buy upgrade",$C$3:$C48,C49)+COUNTIFS($B$3:$B48,"Hire hunter",$C$3:$C48,C49)+COUNTIFS($B$3:$B48,"Forge/Scrapwork buy",$C$3:$C48,C49))),1),0)),"Can't — need "&amp;TEXT(IFERROR(FLOOR(IFERROR(VLOOKUP(C49,Upgrades!$N$4:$T$47,3,FALSE),0)*(IFERROR(VLOOKUP(C49,Upgrades!$N$4:$T$47,4,FALSE),0)^(COUNTIFS($B$3:$B48,"Buy upgrade",$C$3:$C48,C49)+COUNTIFS($B$3:$B48,"Hire hunter",$C$3:$C48,C49)+COUNTIFS($B$3:$B48,"Forge/Scrapwork buy",$C$3:$C48,C49))),1),0)-J48,"0")&amp;" more scraps",IF(AND(B49="Fight boss",E49="OK",(IF((((105/'Rules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Formulas'!B12)),"WIN — boss down, next Level unlocks",IF(AND(B49="Fight boss",E49="OK"),"LOSE — TTK "&amp;TEXT(IF((((105/'Rules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Formulas'!B20*SQRT(1+0.55*(AG48&gt;=1))),0)))),"0")&amp;"s &gt; patience "&amp;TEXT('Rules &amp; Formulas'!B12,"0")&amp;"s (leave resets HP)",IF(B49="Go AFK","AFK resolved (see AFK counted h)","Applied")))))))))</f>
        <v/>
      </c>
      <c r="G49" s="7">
        <f>IF(AND((E49="OK"),B49="Fight boss",(IF((((105/'Rules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Formulas'!B12),C49="Elder Thornpelt"),2,IF(AND((E49="OK"),B49="Fight boss",(IF((((105/'Rules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Formulas'!B12),C49="Ashfang Alpha"),3,G48))</f>
        <v/>
      </c>
      <c r="H49" s="7">
        <f>MAX(0,H48+IF(AND((E49="OK"),B49="Hunt"),(IF(B49="Hunt",(('Rules &amp; Formulas'!B4*N48*('Rules &amp; Formulas'!B5+O48)*IFERROR(VLOOKUP(C49,Monsters!$T$4:$AH$15,10,FALSE),0)*IFERROR(VLOOKUP(C49,Monsters!$T$4:$AH$15,9,FALSE),0))*'Rules &amp; Formulas'!B6)*IF(D49="",0,D49),0))*(IFERROR(VLOOKUP(C49,Monsters!$T$4:$AH$15,3,FALSE),0))*(1+0.1*AH48)+(IF(OR(B49&lt;&gt;"Hunt",IFERROR(VLOOKUP(C49,Monsters!$T$4:$AH$15,6,FALSE),0)=0),0,FLOOR((IF(B49="Hunt",(('Rules &amp; Formulas'!B4*N48*('Rules &amp; Formulas'!B5+O48)*IFERROR(VLOOKUP(C49,Monsters!$T$4:$AH$15,10,FALSE),0)*IFERROR(VLOOKUP(C49,Monsters!$T$4:$AH$15,9,FALSE),0))*'Rules &amp; Formulas'!B6)*IF(D49="",0,D49),0))/MAX(1,IFERROR(VLOOKUP(C49,Monsters!$T$4:$AH$15,6,FALSE),0)),1)))*(IFERROR(VLOOKUP(C49,Monsters!$T$4:$AH$15,7,FALSE),0))*0.5*(1+0.1*AH48),0)+IF(AND((E49="OK"),B49="Go AFK"),(IF(B49="Go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AFK",IF(D49="",0,D49),0),Z48/60)*60)),0))*(IFERROR(VLOOKUP(C49,Monsters!$T$4:$AH$15,3,FALSE),0))*(1+0.1*AH48)+(IF(OR(B49&lt;&gt;"Go AFK",IFERROR(VLOOKUP(C49,Monsters!$T$4:$AH$15,6,FALSE),0)=0),0,FLOOR((IF(B49="Go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AFK",IF(D49="",0,D49),0),Z48/60)*60)),0))/MAX(1,IFERROR(VLOOKUP(C49,Monsters!$T$4:$AH$15,6,FALSE),0)),1)))*(IFERROR(VLOOKUP(C49,Monsters!$T$4:$AH$15,7,FALSE),0))*0.5*(1+0.1*AH48),0)+IF(AND((E49="OK"),B49="Fight boss",(IF((((105/'Rules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Formulas'!B12)),IFERROR(VLOOKUP(C49,Monsters!$T$4:$AH$15,3,FALSE),0),0)-IF(AND((E49="OK"),OR(B49="Buy upgrade",B49="Forge/Scrapwork buy"),IFERROR(VLOOKUP(C49,Upgrades!$N$4:$T$47,2,FALSE),0)="gold"),IFERROR(FLOOR(IFERROR(VLOOKUP(C49,Upgrades!$N$4:$T$47,3,FALSE),0)*(IFERROR(VLOOKUP(C49,Upgrades!$N$4:$T$47,4,FALSE),0)^(COUNTIFS($B$3:$B48,"Buy upgrade",$C$3:$C48,C49)+COUNTIFS($B$3:$B48,"Hire hunter",$C$3:$C48,C49)+COUNTIFS($B$3:$B48,"Forge/Scrapwork buy",$C$3:$C48,C49))),1),0),0)-IF(AND((E49="OK"),B49="Hire hunter"),IF(C49="Briar",140,IF(C49="Quill",3650,IF(C49="Moss",4850,IF(C49="Ember",12200,0)))),0))</f>
        <v/>
      </c>
      <c r="I49" s="7">
        <f>IF(AND((E49="OK"),B49="Fight boss",(IF((((105/'Rules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Formulas'!B12)),0,MIN(IF(G48&lt;=1,120,IF(G48=2,280,600)),I48+IF(AND((E49="OK"),B49="Hunt"),((IF(B49="Hunt",(('Rules &amp; Formulas'!B4*N48*('Rules &amp; Formulas'!B5+O48)*IFERROR(VLOOKUP(C49,Monsters!$T$4:$AH$15,10,FALSE),0)*IFERROR(VLOOKUP(C49,Monsters!$T$4:$AH$15,9,FALSE),0))*'Rules &amp; Formulas'!B6)*IF(D49="",0,D49),0))*(IFERROR(VLOOKUP(C49,Monsters!$T$4:$AH$15,4,FALSE),0))+(IF(OR(B49&lt;&gt;"Hunt",IFERROR(VLOOKUP(C49,Monsters!$T$4:$AH$15,6,FALSE),0)=0),0,FLOOR((IF(B49="Hunt",(('Rules &amp; Formulas'!B4*N48*('Rules &amp; Formulas'!B5+O48)*IFERROR(VLOOKUP(C49,Monsters!$T$4:$AH$15,10,FALSE),0)*IFERROR(VLOOKUP(C49,Monsters!$T$4:$AH$15,9,FALSE),0))*'Rules &amp; Formulas'!B6)*IF(D49="",0,D49),0))/MAX(1,IFERROR(VLOOKUP(C49,Monsters!$T$4:$AH$15,6,FALSE),0)),1)))*(IFERROR(VLOOKUP(C49,Monsters!$T$4:$AH$15,7,FALSE),0))),0)+IF(AND((E49="OK"),B49="Go AFK"),((IF(B49="Go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AFK",IF(D49="",0,D49),0),Z48/60)*60)),0))*(IFERROR(VLOOKUP(C49,Monsters!$T$4:$AH$15,4,FALSE),0))+(IF(OR(B49&lt;&gt;"Go AFK",IFERROR(VLOOKUP(C49,Monsters!$T$4:$AH$15,6,FALSE),0)=0),0,FLOOR((IF(B49="Go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AFK",IF(D49="",0,D49),0),Z48/60)*60)),0))/MAX(1,IFERROR(VLOOKUP(C49,Monsters!$T$4:$AH$15,6,FALSE),0)),1)))*(IFERROR(VLOOKUP(C49,Monsters!$T$4:$AH$15,7,FALSE),0))),0)))</f>
        <v/>
      </c>
      <c r="J49" s="7">
        <f>MAX(0,J48+IF(AND((E49="OK"),B49="Hunt"),(IF(B49="Hunt",(('Rules &amp; Formulas'!B4*N48*('Rules &amp; Formulas'!B5+O48)*IFERROR(VLOOKUP(C49,Monsters!$T$4:$AH$15,10,FALSE),0)*IFERROR(VLOOKUP(C49,Monsters!$T$4:$AH$15,9,FALSE),0))*'Rules &amp; Formulas'!B6)*IF(D49="",0,D49),0))*(IFERROR(VLOOKUP(C49,Monsters!$T$4:$AH$15,5,FALSE),0)),0)+IF(AND((E49="OK"),B49="Go AFK"),(IF(B49="Go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AFK",IF(D49="",0,D49),0),Z48/60)*60)),0))*(IFERROR(VLOOKUP(C49,Monsters!$T$4:$AH$15,5,FALSE),0)),0)-IF(AND((E49="OK"),OR(B49="Buy upgrade",B49="Forge/Scrapwork buy"),IFERROR(VLOOKUP(C49,Upgrades!$N$4:$T$47,2,FALSE),0)="scraps"),IFERROR(FLOOR(IFERROR(VLOOKUP(C49,Upgrades!$N$4:$T$47,3,FALSE),0)*(IFERROR(VLOOKUP(C49,Upgrades!$N$4:$T$47,4,FALSE),0)^(COUNTIFS($B$3:$B48,"Buy upgrade",$C$3:$C48,C49)+COUNTIFS($B$3:$B48,"Hire hunter",$C$3:$C48,C49)+COUNTIFS($B$3:$B48,"Forge/Scrapwork buy",$C$3:$C48,C49))),1),0),0))</f>
        <v/>
      </c>
      <c r="K49" s="7">
        <f>MAX(0,K48+IF(AND((E49="OK"),B49="Hunt"),IF(C49="Thornpelt Bear",(IF(B49="Hunt",(('Rules &amp; Formulas'!B4*N48*('Rules &amp; Formulas'!B5+O48)*IFERROR(VLOOKUP(C49,Monsters!$T$4:$AH$15,10,FALSE),0)*IFERROR(VLOOKUP(C49,Monsters!$T$4:$AH$15,9,FALSE),0))*'Rules &amp; Formulas'!B6)*IF(D49="",0,D49),0))*0.12,0),0)+IF(AND((E49="OK"),B49="Go AFK"),IF(C49="Thornpelt Bear",(IF(B49="Go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AFK",IF(D49="",0,D49),0),Z48/60)*60)),0))*0.12,0),0))</f>
        <v/>
      </c>
      <c r="L49" s="7">
        <f>MAX(0,L48+IF(AND((E49="OK"),B49="Hunt"),IF(C49="Dire Thornpelt",(IF(B49="Hunt",(('Rules &amp; Formulas'!B4*N48*('Rules &amp; Formulas'!B5+O48)*IFERROR(VLOOKUP(C49,Monsters!$T$4:$AH$15,10,FALSE),0)*IFERROR(VLOOKUP(C49,Monsters!$T$4:$AH$15,9,FALSE),0))*'Rules &amp; Formulas'!B6)*IF(D49="",0,D49),0))*0.1,0),0)+IF(AND((E49="OK"),B49="Go AFK"),IF(C49="Dire Thornpelt",(IF(B49="Go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AFK",IF(D49="",0,D49),0),Z48/60)*60)),0))*0.1,0),0))</f>
        <v/>
      </c>
      <c r="M49" s="7">
        <f>IF(AND((E49="OK"),B49="Go AFK"),MAX(0,MIN(('Rules &amp; Formulas'!B15+25*AJ48),M48+('Rules &amp; Formulas'!B14+0.4*AJ48)*(MIN(IF(B49="Go AFK",IF(D49="",0,D49),0),Z48/60)*60))-(IF(B49="Go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AFK",IF(D49="",0,D49),0),Z48/60)*60)),0))*(IF((IFERROR(VLOOKUP(C49,Monsters!$T$4:$AH$15,8,FALSE),0))=0,0.35,IFERROR(VLOOKUP(C49,Monsters!$T$4:$AH$15,8,FALSE),0))/(1+0.08*AK48))),MIN(('Rules &amp; Formulas'!B15+25*AJ49),M48))</f>
        <v/>
      </c>
      <c r="N49" s="7">
        <f>(1+0.08+0.12*AA49+0.12*AB49+0.16*AC49)</f>
        <v/>
      </c>
      <c r="O49" s="7">
        <f>((AD49&gt;=1)*1*(1+0.3*AE49))</f>
        <v/>
      </c>
      <c r="P49" s="7">
        <f>IF(OR(B49="Hunt",B49="Go AFK"),(('Rules &amp; Formulas'!B4*N48*('Rules &amp; Formulas'!B5+O48)*IFERROR(VLOOKUP(C49,Monsters!$T$4:$AH$15,10,FALSE),0)*IFERROR(VLOOKUP(C49,Monsters!$T$4:$AH$15,9,FALSE),0))*'Rules &amp; Formulas'!B6),"")</f>
        <v/>
      </c>
      <c r="Q49" s="7">
        <f>IF(OR(B49="Hunt",B49="Go AFK"),('Rules &amp; Formulas'!B4*N48*('Rules &amp; Formulas'!B5+O48)*IFERROR(VLOOKUP(C49,Monsters!$T$4:$AH$15,10,FALSE),0)*IFERROR(VLOOKUP(C49,Monsters!$T$4:$AH$15,9,FALSE),0)),"")</f>
        <v/>
      </c>
      <c r="R49" s="7">
        <f>IF(AND((E49="OK"),B49="Hunt"),IF(B49="Hunt",(('Rules &amp; Formulas'!B4*N48*('Rules &amp; Formulas'!B5+O48)*IFERROR(VLOOKUP(C49,Monsters!$T$4:$AH$15,10,FALSE),0)*IFERROR(VLOOKUP(C49,Monsters!$T$4:$AH$15,9,FALSE),0))*'Rules &amp; Formulas'!B6)*IF(D49="",0,D49),0),IF(AND((E49="OK"),B49="Go AFK"),IF(B49="Go AFK",MIN(IF((IF((IFERROR(VLOOKUP(C49,Monsters!$T$4:$AH$15,8,FALSE),0))=0,0.35,IFERROR(VLOOKUP(C49,Monsters!$T$4:$AH$15,8,FALSE),0))/(1+0.08*AK48))&lt;=0,999999,FLOOR(MIN(('Rules &amp; Formulas'!B15+25*AJ48),M48+('Rules &amp; Formulas'!B14+0.4*AJ48)*(MIN(IF(B49="Go AFK",IF(D49="",0,D49),0),Z48/60)*60))/(IF((IFERROR(VLOOKUP(C49,Monsters!$T$4:$AH$15,8,FALSE),0))=0,0.35,IFERROR(VLOOKUP(C49,Monsters!$T$4:$AH$15,8,FALSE),0))/(1+0.08*AK48)),1)),('Rules &amp; Formulas'!B4*N48*('Rules &amp; Formulas'!B5+O48)*IFERROR(VLOOKUP(C49,Monsters!$T$4:$AH$15,10,FALSE),0)*IFERROR(VLOOKUP(C49,Monsters!$T$4:$AH$15,9,FALSE),0))*(MIN(IF(B49="Go AFK",IF(D49="",0,D49),0),Z48/60)*60)),0),0))</f>
        <v/>
      </c>
      <c r="S49" s="7">
        <f>(105/'Rules &amp; Formulas'!B10)*'Rules &amp; Formulas'!B11</f>
        <v/>
      </c>
      <c r="T49" s="7">
        <f>IF(AD48&gt;=1,(MAX(1,ROUND('Rules &amp; Formulas'!B18*(1+0.3*AE48)*(1+0.4*AF48),0)))*(1000/'Rules &amp; Formulas'!B19)*MIN(0.95,'Rules &amp; Formulas'!B20*SQRT(1+0.55*(AG48&gt;=1))),0)</f>
        <v/>
      </c>
      <c r="U49" s="7">
        <f>S49+T49</f>
        <v/>
      </c>
      <c r="V49" s="7">
        <f>IF(I48&gt;=IF((IFERROR(VLOOKUP(C49,Monsters!$T$4:$AH$15,15,FALSE),0))=0,120,IFERROR(VLOOKUP(C49,Monsters!$T$4:$AH$15,15,FALSE),0)),"YES","no")</f>
        <v/>
      </c>
      <c r="W49" s="7">
        <f>IF(AND(B49="Fight boss",E49="OK"),IF((((105/'Rules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Formulas'!B20*SQRT(1+0.55*(AG48&gt;=1))),0)))),"")</f>
        <v/>
      </c>
      <c r="X49" s="7">
        <f>IF(AND(B49="Fight boss",E49="OK"),IF((IF((((105/'Rules &amp; Formulas'!B10)*'Rules &amp; Formulas'!B11+IF(AD48&gt;=1,(MAX(1,ROUND('Rules &amp; Formulas'!B18*(1+0.3*AE48)*(1+0.4*AF48),0)))*(1000/'Rules &amp; Formulas'!B19)*MIN(0.95,'Rules &amp; Formulas'!B20*SQRT(1+0.55*(AG48&gt;=1))),0)))&lt;=0,9999,(IFERROR(VLOOKUP(C49,Monsters!$T$4:$AH$15,2,FALSE),0))/(((105/'Rules &amp; Formulas'!B10)*'Rules &amp; Formulas'!B11+IF(AD48&gt;=1,(MAX(1,ROUND('Rules &amp; Formulas'!B18*(1+0.3*AE48)*(1+0.4*AF48),0)))*(1000/'Rules &amp; Formulas'!B19)*MIN(0.95,'Rules &amp; Formulas'!B20*SQRT(1+0.55*(AG48&gt;=1))),0))))&lt;='Rules &amp; Formulas'!B12),"WIN","LOSE"),"")</f>
        <v/>
      </c>
      <c r="Y49" s="7">
        <f>IF(B49="Go AFK",MIN(IF(B49="Go AFK",IF(D49="",0,D49),0),Z48/60),"")</f>
        <v/>
      </c>
      <c r="Z49" s="7">
        <f>('Rules &amp; Formulas'!B13+30*AI49)</f>
        <v/>
      </c>
      <c r="AA49">
        <f>COUNTIFS($B$3:$B49,"Buy upgrade",$C$3:$C49,"Idle Power")</f>
        <v/>
      </c>
      <c r="AB49">
        <f>COUNTIFS($B$3:$B49,"Buy upgrade",$C$3:$C49,"Iron Blade")</f>
        <v/>
      </c>
      <c r="AC49">
        <f>COUNTIFS($B$3:$B49,"Buy upgrade",$C$3:$C49,"Steel Blade")</f>
        <v/>
      </c>
      <c r="AD49">
        <f>COUNTIFS($B$3:$B49,"Hire hunter",$C$3:$C49,"Briar")+COUNTIFS($B$3:$B49,"Buy upgrade",$C$3:$C49,"Hire Briar")</f>
        <v/>
      </c>
      <c r="AE49">
        <f>COUNTIFS($B$3:$B49,"Buy upgrade",$C$3:$C49,"Hunter Power")</f>
        <v/>
      </c>
      <c r="AF49">
        <f>COUNTIFS($B$3:$B49,"Buy upgrade",$C$3:$C49,"Bigger Hits")</f>
        <v/>
      </c>
      <c r="AG49">
        <f>COUNTIFS($B$3:$B49,"Buy upgrade",$C$3:$C49,"Swift Walk")</f>
        <v/>
      </c>
      <c r="AH49">
        <f>COUNTIFS($B$3:$B49,"Buy upgrade",$C$3:$C49,"Loot Luck")</f>
        <v/>
      </c>
      <c r="AI49">
        <f>COUNTIFS($B$3:$B49,"Buy upgrade",$C$3:$C49,"Offline Cap")</f>
        <v/>
      </c>
      <c r="AJ49">
        <f>COUNTIFS($B$3:$B49,"Buy upgrade",$C$3:$C49,"Bigger Food Stock")</f>
        <v/>
      </c>
      <c r="AK49">
        <f>COUNTIFS($B$3:$B49,"Buy upgrade",$C$3:$C49,"Food Efficiency")</f>
        <v/>
      </c>
    </row>
    <row r="50">
      <c r="A50" t="n">
        <v>48</v>
      </c>
      <c r="B50" s="6" t="n"/>
      <c r="C50" s="6" t="n"/>
      <c r="D50" s="6" t="n"/>
      <c r="E50" s="7">
        <f>IF(B50="","",IF(OR(B50="Hunt",B50="Go AFK"),IF(C50="","Can't","OK"),IF(B50="Fight boss",IF(I49&lt;IF((IFERROR(VLOOKUP(C50,Monsters!$T$4:$AH$15,15,FALSE),0))=0,120,IFERROR(VLOOKUP(C50,Monsters!$T$4:$AH$15,15,FALSE),0)),"Can't","OK"),IF(B50="Hire hunter",IF(AND(C50="Briar",AD49&gt;=1),"Can't",IF(H49&lt;IF(C50="Briar",140,IF(C50="Quill",3650,IF(C50="Moss",4850,IF(C50="Ember",12200,0)))),"Can't","OK")),IF(OR(B50="Buy upgrade",B50="Forge/Scrapwork buy"),IF(IFERROR(VLOOKUP(C50,Upgrades!$N$4:$T$47,2,FALSE),0)="points","Can't",IF(IFERROR(VLOOKUP(C50,Upgrades!$N$4:$T$47,2,FALSE),0)="gold",IF(H49&lt;IFERROR(FLOOR(IFERROR(VLOOKUP(C50,Upgrades!$N$4:$T$47,3,FALSE),0)*(IFERROR(VLOOKUP(C50,Upgrades!$N$4:$T$47,4,FALSE),0)^(COUNTIFS($B$3:$B49,"Buy upgrade",$C$3:$C49,C50)+COUNTIFS($B$3:$B49,"Hire hunter",$C$3:$C49,C50)+COUNTIFS($B$3:$B49,"Forge/Scrapwork buy",$C$3:$C49,C50))),1),0),"Can't","OK"),IF(IFERROR(VLOOKUP(C50,Upgrades!$N$4:$T$47,2,FALSE),0)="scraps",IF(J49&lt;IFERROR(FLOOR(IFERROR(VLOOKUP(C50,Upgrades!$N$4:$T$47,3,FALSE),0)*(IFERROR(VLOOKUP(C50,Upgrades!$N$4:$T$47,4,FALSE),0)^(COUNTIFS($B$3:$B49,"Buy upgrade",$C$3:$C49,C50)+COUNTIFS($B$3:$B49,"Hire hunter",$C$3:$C49,C50)+COUNTIFS($B$3:$B49,"Forge/Scrapwork buy",$C$3:$C49,C50))),1),0),"Can't","OK"),IF(IFERROR(VLOOKUP(C50,Upgrades!$N$4:$T$47,2,FALSE),0)="mats","Can't","OK")))),"Check")))))</f>
        <v/>
      </c>
      <c r="F50" s="7">
        <f>IF(B50="","",IF(AND(B50="Fight boss",I49&lt;IF((IFERROR(VLOOKUP(C50,Monsters!$T$4:$AH$15,15,FALSE),0))=0,120,IFERROR(VLOOKUP(C50,Monsters!$T$4:$AH$15,15,FALSE),0))),"Can't — need "&amp;TEXT(IF((IFERROR(VLOOKUP(C50,Monsters!$T$4:$AH$15,15,FALSE),0))=0,120,IFERROR(VLOOKUP(C50,Monsters!$T$4:$AH$15,15,FALSE),0))-I49,"0.0")&amp;" more Slayer points on the meter",IF(AND(B50="Hire hunter",C50="Briar",AD49&gt;=1),"Can't — already hired",IF(AND(B50="Hire hunter",H49&lt;IF(C50="Briar",140,IF(C50="Quill",3650,IF(C50="Moss",4850,IF(C50="Ember",12200,0))))),"Can't — need "&amp;TEXT(IF(C50="Briar",140,IF(C50="Quill",3650,IF(C50="Moss",4850,IF(C50="Ember",12200,0))))-H49,"0")&amp;" more gold",IF(AND(OR(B50="Buy upgrade",B50="Forge/Scrapwork buy"),IFERROR(VLOOKUP(C50,Upgrades!$N$4:$T$47,2,FALSE),0)="points"),"Can't — Sp-wallet spends not tracked here",IF(AND(OR(B50="Buy upgrade",B50="Forge/Scrapwork buy"),IFERROR(VLOOKUP(C50,Upgrades!$N$4:$T$47,2,FALSE),0)="gold",H49&lt;IFERROR(FLOOR(IFERROR(VLOOKUP(C50,Upgrades!$N$4:$T$47,3,FALSE),0)*(IFERROR(VLOOKUP(C50,Upgrades!$N$4:$T$47,4,FALSE),0)^(COUNTIFS($B$3:$B49,"Buy upgrade",$C$3:$C49,C50)+COUNTIFS($B$3:$B49,"Hire hunter",$C$3:$C49,C50)+COUNTIFS($B$3:$B49,"Forge/Scrapwork buy",$C$3:$C49,C50))),1),0)),"Can't — need "&amp;TEXT(IFERROR(FLOOR(IFERROR(VLOOKUP(C50,Upgrades!$N$4:$T$47,3,FALSE),0)*(IFERROR(VLOOKUP(C50,Upgrades!$N$4:$T$47,4,FALSE),0)^(COUNTIFS($B$3:$B49,"Buy upgrade",$C$3:$C49,C50)+COUNTIFS($B$3:$B49,"Hire hunter",$C$3:$C49,C50)+COUNTIFS($B$3:$B49,"Forge/Scrapwork buy",$C$3:$C49,C50))),1),0)-H49,"0")&amp;" more gold",IF(AND(OR(B50="Buy upgrade",B50="Forge/Scrapwork buy"),IFERROR(VLOOKUP(C50,Upgrades!$N$4:$T$47,2,FALSE),0)="scraps",J49&lt;IFERROR(FLOOR(IFERROR(VLOOKUP(C50,Upgrades!$N$4:$T$47,3,FALSE),0)*(IFERROR(VLOOKUP(C50,Upgrades!$N$4:$T$47,4,FALSE),0)^(COUNTIFS($B$3:$B49,"Buy upgrade",$C$3:$C49,C50)+COUNTIFS($B$3:$B49,"Hire hunter",$C$3:$C49,C50)+COUNTIFS($B$3:$B49,"Forge/Scrapwork buy",$C$3:$C49,C50))),1),0)),"Can't — need "&amp;TEXT(IFERROR(FLOOR(IFERROR(VLOOKUP(C50,Upgrades!$N$4:$T$47,3,FALSE),0)*(IFERROR(VLOOKUP(C50,Upgrades!$N$4:$T$47,4,FALSE),0)^(COUNTIFS($B$3:$B49,"Buy upgrade",$C$3:$C49,C50)+COUNTIFS($B$3:$B49,"Hire hunter",$C$3:$C49,C50)+COUNTIFS($B$3:$B49,"Forge/Scrapwork buy",$C$3:$C49,C50))),1),0)-J49,"0")&amp;" more scraps",IF(AND(B50="Fight boss",E50="OK",(IF((((105/'Rules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Formulas'!B12)),"WIN — boss down, next Level unlocks",IF(AND(B50="Fight boss",E50="OK"),"LOSE — TTK "&amp;TEXT(IF((((105/'Rules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Formulas'!B20*SQRT(1+0.55*(AG49&gt;=1))),0)))),"0")&amp;"s &gt; patience "&amp;TEXT('Rules &amp; Formulas'!B12,"0")&amp;"s (leave resets HP)",IF(B50="Go AFK","AFK resolved (see AFK counted h)","Applied")))))))))</f>
        <v/>
      </c>
      <c r="G50" s="7">
        <f>IF(AND((E50="OK"),B50="Fight boss",(IF((((105/'Rules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Formulas'!B12),C50="Elder Thornpelt"),2,IF(AND((E50="OK"),B50="Fight boss",(IF((((105/'Rules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Formulas'!B12),C50="Ashfang Alpha"),3,G49))</f>
        <v/>
      </c>
      <c r="H50" s="7">
        <f>MAX(0,H49+IF(AND((E50="OK"),B50="Hunt"),(IF(B50="Hunt",(('Rules &amp; Formulas'!B4*N49*('Rules &amp; Formulas'!B5+O49)*IFERROR(VLOOKUP(C50,Monsters!$T$4:$AH$15,10,FALSE),0)*IFERROR(VLOOKUP(C50,Monsters!$T$4:$AH$15,9,FALSE),0))*'Rules &amp; Formulas'!B6)*IF(D50="",0,D50),0))*(IFERROR(VLOOKUP(C50,Monsters!$T$4:$AH$15,3,FALSE),0))*(1+0.1*AH49)+(IF(OR(B50&lt;&gt;"Hunt",IFERROR(VLOOKUP(C50,Monsters!$T$4:$AH$15,6,FALSE),0)=0),0,FLOOR((IF(B50="Hunt",(('Rules &amp; Formulas'!B4*N49*('Rules &amp; Formulas'!B5+O49)*IFERROR(VLOOKUP(C50,Monsters!$T$4:$AH$15,10,FALSE),0)*IFERROR(VLOOKUP(C50,Monsters!$T$4:$AH$15,9,FALSE),0))*'Rules &amp; Formulas'!B6)*IF(D50="",0,D50),0))/MAX(1,IFERROR(VLOOKUP(C50,Monsters!$T$4:$AH$15,6,FALSE),0)),1)))*(IFERROR(VLOOKUP(C50,Monsters!$T$4:$AH$15,7,FALSE),0))*0.5*(1+0.1*AH49),0)+IF(AND((E50="OK"),B50="Go AFK"),(IF(B50="Go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AFK",IF(D50="",0,D50),0),Z49/60)*60)),0))*(IFERROR(VLOOKUP(C50,Monsters!$T$4:$AH$15,3,FALSE),0))*(1+0.1*AH49)+(IF(OR(B50&lt;&gt;"Go AFK",IFERROR(VLOOKUP(C50,Monsters!$T$4:$AH$15,6,FALSE),0)=0),0,FLOOR((IF(B50="Go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AFK",IF(D50="",0,D50),0),Z49/60)*60)),0))/MAX(1,IFERROR(VLOOKUP(C50,Monsters!$T$4:$AH$15,6,FALSE),0)),1)))*(IFERROR(VLOOKUP(C50,Monsters!$T$4:$AH$15,7,FALSE),0))*0.5*(1+0.1*AH49),0)+IF(AND((E50="OK"),B50="Fight boss",(IF((((105/'Rules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Formulas'!B12)),IFERROR(VLOOKUP(C50,Monsters!$T$4:$AH$15,3,FALSE),0),0)-IF(AND((E50="OK"),OR(B50="Buy upgrade",B50="Forge/Scrapwork buy"),IFERROR(VLOOKUP(C50,Upgrades!$N$4:$T$47,2,FALSE),0)="gold"),IFERROR(FLOOR(IFERROR(VLOOKUP(C50,Upgrades!$N$4:$T$47,3,FALSE),0)*(IFERROR(VLOOKUP(C50,Upgrades!$N$4:$T$47,4,FALSE),0)^(COUNTIFS($B$3:$B49,"Buy upgrade",$C$3:$C49,C50)+COUNTIFS($B$3:$B49,"Hire hunter",$C$3:$C49,C50)+COUNTIFS($B$3:$B49,"Forge/Scrapwork buy",$C$3:$C49,C50))),1),0),0)-IF(AND((E50="OK"),B50="Hire hunter"),IF(C50="Briar",140,IF(C50="Quill",3650,IF(C50="Moss",4850,IF(C50="Ember",12200,0)))),0))</f>
        <v/>
      </c>
      <c r="I50" s="7">
        <f>IF(AND((E50="OK"),B50="Fight boss",(IF((((105/'Rules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Formulas'!B12)),0,MIN(IF(G49&lt;=1,120,IF(G49=2,280,600)),I49+IF(AND((E50="OK"),B50="Hunt"),((IF(B50="Hunt",(('Rules &amp; Formulas'!B4*N49*('Rules &amp; Formulas'!B5+O49)*IFERROR(VLOOKUP(C50,Monsters!$T$4:$AH$15,10,FALSE),0)*IFERROR(VLOOKUP(C50,Monsters!$T$4:$AH$15,9,FALSE),0))*'Rules &amp; Formulas'!B6)*IF(D50="",0,D50),0))*(IFERROR(VLOOKUP(C50,Monsters!$T$4:$AH$15,4,FALSE),0))+(IF(OR(B50&lt;&gt;"Hunt",IFERROR(VLOOKUP(C50,Monsters!$T$4:$AH$15,6,FALSE),0)=0),0,FLOOR((IF(B50="Hunt",(('Rules &amp; Formulas'!B4*N49*('Rules &amp; Formulas'!B5+O49)*IFERROR(VLOOKUP(C50,Monsters!$T$4:$AH$15,10,FALSE),0)*IFERROR(VLOOKUP(C50,Monsters!$T$4:$AH$15,9,FALSE),0))*'Rules &amp; Formulas'!B6)*IF(D50="",0,D50),0))/MAX(1,IFERROR(VLOOKUP(C50,Monsters!$T$4:$AH$15,6,FALSE),0)),1)))*(IFERROR(VLOOKUP(C50,Monsters!$T$4:$AH$15,7,FALSE),0))),0)+IF(AND((E50="OK"),B50="Go AFK"),((IF(B50="Go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AFK",IF(D50="",0,D50),0),Z49/60)*60)),0))*(IFERROR(VLOOKUP(C50,Monsters!$T$4:$AH$15,4,FALSE),0))+(IF(OR(B50&lt;&gt;"Go AFK",IFERROR(VLOOKUP(C50,Monsters!$T$4:$AH$15,6,FALSE),0)=0),0,FLOOR((IF(B50="Go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AFK",IF(D50="",0,D50),0),Z49/60)*60)),0))/MAX(1,IFERROR(VLOOKUP(C50,Monsters!$T$4:$AH$15,6,FALSE),0)),1)))*(IFERROR(VLOOKUP(C50,Monsters!$T$4:$AH$15,7,FALSE),0))),0)))</f>
        <v/>
      </c>
      <c r="J50" s="7">
        <f>MAX(0,J49+IF(AND((E50="OK"),B50="Hunt"),(IF(B50="Hunt",(('Rules &amp; Formulas'!B4*N49*('Rules &amp; Formulas'!B5+O49)*IFERROR(VLOOKUP(C50,Monsters!$T$4:$AH$15,10,FALSE),0)*IFERROR(VLOOKUP(C50,Monsters!$T$4:$AH$15,9,FALSE),0))*'Rules &amp; Formulas'!B6)*IF(D50="",0,D50),0))*(IFERROR(VLOOKUP(C50,Monsters!$T$4:$AH$15,5,FALSE),0)),0)+IF(AND((E50="OK"),B50="Go AFK"),(IF(B50="Go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AFK",IF(D50="",0,D50),0),Z49/60)*60)),0))*(IFERROR(VLOOKUP(C50,Monsters!$T$4:$AH$15,5,FALSE),0)),0)-IF(AND((E50="OK"),OR(B50="Buy upgrade",B50="Forge/Scrapwork buy"),IFERROR(VLOOKUP(C50,Upgrades!$N$4:$T$47,2,FALSE),0)="scraps"),IFERROR(FLOOR(IFERROR(VLOOKUP(C50,Upgrades!$N$4:$T$47,3,FALSE),0)*(IFERROR(VLOOKUP(C50,Upgrades!$N$4:$T$47,4,FALSE),0)^(COUNTIFS($B$3:$B49,"Buy upgrade",$C$3:$C49,C50)+COUNTIFS($B$3:$B49,"Hire hunter",$C$3:$C49,C50)+COUNTIFS($B$3:$B49,"Forge/Scrapwork buy",$C$3:$C49,C50))),1),0),0))</f>
        <v/>
      </c>
      <c r="K50" s="7">
        <f>MAX(0,K49+IF(AND((E50="OK"),B50="Hunt"),IF(C50="Thornpelt Bear",(IF(B50="Hunt",(('Rules &amp; Formulas'!B4*N49*('Rules &amp; Formulas'!B5+O49)*IFERROR(VLOOKUP(C50,Monsters!$T$4:$AH$15,10,FALSE),0)*IFERROR(VLOOKUP(C50,Monsters!$T$4:$AH$15,9,FALSE),0))*'Rules &amp; Formulas'!B6)*IF(D50="",0,D50),0))*0.12,0),0)+IF(AND((E50="OK"),B50="Go AFK"),IF(C50="Thornpelt Bear",(IF(B50="Go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AFK",IF(D50="",0,D50),0),Z49/60)*60)),0))*0.12,0),0))</f>
        <v/>
      </c>
      <c r="L50" s="7">
        <f>MAX(0,L49+IF(AND((E50="OK"),B50="Hunt"),IF(C50="Dire Thornpelt",(IF(B50="Hunt",(('Rules &amp; Formulas'!B4*N49*('Rules &amp; Formulas'!B5+O49)*IFERROR(VLOOKUP(C50,Monsters!$T$4:$AH$15,10,FALSE),0)*IFERROR(VLOOKUP(C50,Monsters!$T$4:$AH$15,9,FALSE),0))*'Rules &amp; Formulas'!B6)*IF(D50="",0,D50),0))*0.1,0),0)+IF(AND((E50="OK"),B50="Go AFK"),IF(C50="Dire Thornpelt",(IF(B50="Go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AFK",IF(D50="",0,D50),0),Z49/60)*60)),0))*0.1,0),0))</f>
        <v/>
      </c>
      <c r="M50" s="7">
        <f>IF(AND((E50="OK"),B50="Go AFK"),MAX(0,MIN(('Rules &amp; Formulas'!B15+25*AJ49),M49+('Rules &amp; Formulas'!B14+0.4*AJ49)*(MIN(IF(B50="Go AFK",IF(D50="",0,D50),0),Z49/60)*60))-(IF(B50="Go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AFK",IF(D50="",0,D50),0),Z49/60)*60)),0))*(IF((IFERROR(VLOOKUP(C50,Monsters!$T$4:$AH$15,8,FALSE),0))=0,0.35,IFERROR(VLOOKUP(C50,Monsters!$T$4:$AH$15,8,FALSE),0))/(1+0.08*AK49))),MIN(('Rules &amp; Formulas'!B15+25*AJ50),M49))</f>
        <v/>
      </c>
      <c r="N50" s="7">
        <f>(1+0.08+0.12*AA50+0.12*AB50+0.16*AC50)</f>
        <v/>
      </c>
      <c r="O50" s="7">
        <f>((AD50&gt;=1)*1*(1+0.3*AE50))</f>
        <v/>
      </c>
      <c r="P50" s="7">
        <f>IF(OR(B50="Hunt",B50="Go AFK"),(('Rules &amp; Formulas'!B4*N49*('Rules &amp; Formulas'!B5+O49)*IFERROR(VLOOKUP(C50,Monsters!$T$4:$AH$15,10,FALSE),0)*IFERROR(VLOOKUP(C50,Monsters!$T$4:$AH$15,9,FALSE),0))*'Rules &amp; Formulas'!B6),"")</f>
        <v/>
      </c>
      <c r="Q50" s="7">
        <f>IF(OR(B50="Hunt",B50="Go AFK"),('Rules &amp; Formulas'!B4*N49*('Rules &amp; Formulas'!B5+O49)*IFERROR(VLOOKUP(C50,Monsters!$T$4:$AH$15,10,FALSE),0)*IFERROR(VLOOKUP(C50,Monsters!$T$4:$AH$15,9,FALSE),0)),"")</f>
        <v/>
      </c>
      <c r="R50" s="7">
        <f>IF(AND((E50="OK"),B50="Hunt"),IF(B50="Hunt",(('Rules &amp; Formulas'!B4*N49*('Rules &amp; Formulas'!B5+O49)*IFERROR(VLOOKUP(C50,Monsters!$T$4:$AH$15,10,FALSE),0)*IFERROR(VLOOKUP(C50,Monsters!$T$4:$AH$15,9,FALSE),0))*'Rules &amp; Formulas'!B6)*IF(D50="",0,D50),0),IF(AND((E50="OK"),B50="Go AFK"),IF(B50="Go AFK",MIN(IF((IF((IFERROR(VLOOKUP(C50,Monsters!$T$4:$AH$15,8,FALSE),0))=0,0.35,IFERROR(VLOOKUP(C50,Monsters!$T$4:$AH$15,8,FALSE),0))/(1+0.08*AK49))&lt;=0,999999,FLOOR(MIN(('Rules &amp; Formulas'!B15+25*AJ49),M49+('Rules &amp; Formulas'!B14+0.4*AJ49)*(MIN(IF(B50="Go AFK",IF(D50="",0,D50),0),Z49/60)*60))/(IF((IFERROR(VLOOKUP(C50,Monsters!$T$4:$AH$15,8,FALSE),0))=0,0.35,IFERROR(VLOOKUP(C50,Monsters!$T$4:$AH$15,8,FALSE),0))/(1+0.08*AK49)),1)),('Rules &amp; Formulas'!B4*N49*('Rules &amp; Formulas'!B5+O49)*IFERROR(VLOOKUP(C50,Monsters!$T$4:$AH$15,10,FALSE),0)*IFERROR(VLOOKUP(C50,Monsters!$T$4:$AH$15,9,FALSE),0))*(MIN(IF(B50="Go AFK",IF(D50="",0,D50),0),Z49/60)*60)),0),0))</f>
        <v/>
      </c>
      <c r="S50" s="7">
        <f>(105/'Rules &amp; Formulas'!B10)*'Rules &amp; Formulas'!B11</f>
        <v/>
      </c>
      <c r="T50" s="7">
        <f>IF(AD49&gt;=1,(MAX(1,ROUND('Rules &amp; Formulas'!B18*(1+0.3*AE49)*(1+0.4*AF49),0)))*(1000/'Rules &amp; Formulas'!B19)*MIN(0.95,'Rules &amp; Formulas'!B20*SQRT(1+0.55*(AG49&gt;=1))),0)</f>
        <v/>
      </c>
      <c r="U50" s="7">
        <f>S50+T50</f>
        <v/>
      </c>
      <c r="V50" s="7">
        <f>IF(I49&gt;=IF((IFERROR(VLOOKUP(C50,Monsters!$T$4:$AH$15,15,FALSE),0))=0,120,IFERROR(VLOOKUP(C50,Monsters!$T$4:$AH$15,15,FALSE),0)),"YES","no")</f>
        <v/>
      </c>
      <c r="W50" s="7">
        <f>IF(AND(B50="Fight boss",E50="OK"),IF((((105/'Rules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Formulas'!B20*SQRT(1+0.55*(AG49&gt;=1))),0)))),"")</f>
        <v/>
      </c>
      <c r="X50" s="7">
        <f>IF(AND(B50="Fight boss",E50="OK"),IF((IF((((105/'Rules &amp; Formulas'!B10)*'Rules &amp; Formulas'!B11+IF(AD49&gt;=1,(MAX(1,ROUND('Rules &amp; Formulas'!B18*(1+0.3*AE49)*(1+0.4*AF49),0)))*(1000/'Rules &amp; Formulas'!B19)*MIN(0.95,'Rules &amp; Formulas'!B20*SQRT(1+0.55*(AG49&gt;=1))),0)))&lt;=0,9999,(IFERROR(VLOOKUP(C50,Monsters!$T$4:$AH$15,2,FALSE),0))/(((105/'Rules &amp; Formulas'!B10)*'Rules &amp; Formulas'!B11+IF(AD49&gt;=1,(MAX(1,ROUND('Rules &amp; Formulas'!B18*(1+0.3*AE49)*(1+0.4*AF49),0)))*(1000/'Rules &amp; Formulas'!B19)*MIN(0.95,'Rules &amp; Formulas'!B20*SQRT(1+0.55*(AG49&gt;=1))),0))))&lt;='Rules &amp; Formulas'!B12),"WIN","LOSE"),"")</f>
        <v/>
      </c>
      <c r="Y50" s="7">
        <f>IF(B50="Go AFK",MIN(IF(B50="Go AFK",IF(D50="",0,D50),0),Z49/60),"")</f>
        <v/>
      </c>
      <c r="Z50" s="7">
        <f>('Rules &amp; Formulas'!B13+30*AI50)</f>
        <v/>
      </c>
      <c r="AA50">
        <f>COUNTIFS($B$3:$B50,"Buy upgrade",$C$3:$C50,"Idle Power")</f>
        <v/>
      </c>
      <c r="AB50">
        <f>COUNTIFS($B$3:$B50,"Buy upgrade",$C$3:$C50,"Iron Blade")</f>
        <v/>
      </c>
      <c r="AC50">
        <f>COUNTIFS($B$3:$B50,"Buy upgrade",$C$3:$C50,"Steel Blade")</f>
        <v/>
      </c>
      <c r="AD50">
        <f>COUNTIFS($B$3:$B50,"Hire hunter",$C$3:$C50,"Briar")+COUNTIFS($B$3:$B50,"Buy upgrade",$C$3:$C50,"Hire Briar")</f>
        <v/>
      </c>
      <c r="AE50">
        <f>COUNTIFS($B$3:$B50,"Buy upgrade",$C$3:$C50,"Hunter Power")</f>
        <v/>
      </c>
      <c r="AF50">
        <f>COUNTIFS($B$3:$B50,"Buy upgrade",$C$3:$C50,"Bigger Hits")</f>
        <v/>
      </c>
      <c r="AG50">
        <f>COUNTIFS($B$3:$B50,"Buy upgrade",$C$3:$C50,"Swift Walk")</f>
        <v/>
      </c>
      <c r="AH50">
        <f>COUNTIFS($B$3:$B50,"Buy upgrade",$C$3:$C50,"Loot Luck")</f>
        <v/>
      </c>
      <c r="AI50">
        <f>COUNTIFS($B$3:$B50,"Buy upgrade",$C$3:$C50,"Offline Cap")</f>
        <v/>
      </c>
      <c r="AJ50">
        <f>COUNTIFS($B$3:$B50,"Buy upgrade",$C$3:$C50,"Bigger Food Stock")</f>
        <v/>
      </c>
      <c r="AK50">
        <f>COUNTIFS($B$3:$B50,"Buy upgrade",$C$3:$C50,"Food Efficiency")</f>
        <v/>
      </c>
    </row>
    <row r="51">
      <c r="A51" t="n">
        <v>49</v>
      </c>
      <c r="B51" s="6" t="n"/>
      <c r="C51" s="6" t="n"/>
      <c r="D51" s="6" t="n"/>
      <c r="E51" s="7">
        <f>IF(B51="","",IF(OR(B51="Hunt",B51="Go AFK"),IF(C51="","Can't","OK"),IF(B51="Fight boss",IF(I50&lt;IF((IFERROR(VLOOKUP(C51,Monsters!$T$4:$AH$15,15,FALSE),0))=0,120,IFERROR(VLOOKUP(C51,Monsters!$T$4:$AH$15,15,FALSE),0)),"Can't","OK"),IF(B51="Hire hunter",IF(AND(C51="Briar",AD50&gt;=1),"Can't",IF(H50&lt;IF(C51="Briar",140,IF(C51="Quill",3650,IF(C51="Moss",4850,IF(C51="Ember",12200,0)))),"Can't","OK")),IF(OR(B51="Buy upgrade",B51="Forge/Scrapwork buy"),IF(IFERROR(VLOOKUP(C51,Upgrades!$N$4:$T$47,2,FALSE),0)="points","Can't",IF(IFERROR(VLOOKUP(C51,Upgrades!$N$4:$T$47,2,FALSE),0)="gold",IF(H50&lt;IFERROR(FLOOR(IFERROR(VLOOKUP(C51,Upgrades!$N$4:$T$47,3,FALSE),0)*(IFERROR(VLOOKUP(C51,Upgrades!$N$4:$T$47,4,FALSE),0)^(COUNTIFS($B$3:$B50,"Buy upgrade",$C$3:$C50,C51)+COUNTIFS($B$3:$B50,"Hire hunter",$C$3:$C50,C51)+COUNTIFS($B$3:$B50,"Forge/Scrapwork buy",$C$3:$C50,C51))),1),0),"Can't","OK"),IF(IFERROR(VLOOKUP(C51,Upgrades!$N$4:$T$47,2,FALSE),0)="scraps",IF(J50&lt;IFERROR(FLOOR(IFERROR(VLOOKUP(C51,Upgrades!$N$4:$T$47,3,FALSE),0)*(IFERROR(VLOOKUP(C51,Upgrades!$N$4:$T$47,4,FALSE),0)^(COUNTIFS($B$3:$B50,"Buy upgrade",$C$3:$C50,C51)+COUNTIFS($B$3:$B50,"Hire hunter",$C$3:$C50,C51)+COUNTIFS($B$3:$B50,"Forge/Scrapwork buy",$C$3:$C50,C51))),1),0),"Can't","OK"),IF(IFERROR(VLOOKUP(C51,Upgrades!$N$4:$T$47,2,FALSE),0)="mats","Can't","OK")))),"Check")))))</f>
        <v/>
      </c>
      <c r="F51" s="7">
        <f>IF(B51="","",IF(AND(B51="Fight boss",I50&lt;IF((IFERROR(VLOOKUP(C51,Monsters!$T$4:$AH$15,15,FALSE),0))=0,120,IFERROR(VLOOKUP(C51,Monsters!$T$4:$AH$15,15,FALSE),0))),"Can't — need "&amp;TEXT(IF((IFERROR(VLOOKUP(C51,Monsters!$T$4:$AH$15,15,FALSE),0))=0,120,IFERROR(VLOOKUP(C51,Monsters!$T$4:$AH$15,15,FALSE),0))-I50,"0.0")&amp;" more Slayer points on the meter",IF(AND(B51="Hire hunter",C51="Briar",AD50&gt;=1),"Can't — already hired",IF(AND(B51="Hire hunter",H50&lt;IF(C51="Briar",140,IF(C51="Quill",3650,IF(C51="Moss",4850,IF(C51="Ember",12200,0))))),"Can't — need "&amp;TEXT(IF(C51="Briar",140,IF(C51="Quill",3650,IF(C51="Moss",4850,IF(C51="Ember",12200,0))))-H50,"0")&amp;" more gold",IF(AND(OR(B51="Buy upgrade",B51="Forge/Scrapwork buy"),IFERROR(VLOOKUP(C51,Upgrades!$N$4:$T$47,2,FALSE),0)="points"),"Can't — Sp-wallet spends not tracked here",IF(AND(OR(B51="Buy upgrade",B51="Forge/Scrapwork buy"),IFERROR(VLOOKUP(C51,Upgrades!$N$4:$T$47,2,FALSE),0)="gold",H50&lt;IFERROR(FLOOR(IFERROR(VLOOKUP(C51,Upgrades!$N$4:$T$47,3,FALSE),0)*(IFERROR(VLOOKUP(C51,Upgrades!$N$4:$T$47,4,FALSE),0)^(COUNTIFS($B$3:$B50,"Buy upgrade",$C$3:$C50,C51)+COUNTIFS($B$3:$B50,"Hire hunter",$C$3:$C50,C51)+COUNTIFS($B$3:$B50,"Forge/Scrapwork buy",$C$3:$C50,C51))),1),0)),"Can't — need "&amp;TEXT(IFERROR(FLOOR(IFERROR(VLOOKUP(C51,Upgrades!$N$4:$T$47,3,FALSE),0)*(IFERROR(VLOOKUP(C51,Upgrades!$N$4:$T$47,4,FALSE),0)^(COUNTIFS($B$3:$B50,"Buy upgrade",$C$3:$C50,C51)+COUNTIFS($B$3:$B50,"Hire hunter",$C$3:$C50,C51)+COUNTIFS($B$3:$B50,"Forge/Scrapwork buy",$C$3:$C50,C51))),1),0)-H50,"0")&amp;" more gold",IF(AND(OR(B51="Buy upgrade",B51="Forge/Scrapwork buy"),IFERROR(VLOOKUP(C51,Upgrades!$N$4:$T$47,2,FALSE),0)="scraps",J50&lt;IFERROR(FLOOR(IFERROR(VLOOKUP(C51,Upgrades!$N$4:$T$47,3,FALSE),0)*(IFERROR(VLOOKUP(C51,Upgrades!$N$4:$T$47,4,FALSE),0)^(COUNTIFS($B$3:$B50,"Buy upgrade",$C$3:$C50,C51)+COUNTIFS($B$3:$B50,"Hire hunter",$C$3:$C50,C51)+COUNTIFS($B$3:$B50,"Forge/Scrapwork buy",$C$3:$C50,C51))),1),0)),"Can't — need "&amp;TEXT(IFERROR(FLOOR(IFERROR(VLOOKUP(C51,Upgrades!$N$4:$T$47,3,FALSE),0)*(IFERROR(VLOOKUP(C51,Upgrades!$N$4:$T$47,4,FALSE),0)^(COUNTIFS($B$3:$B50,"Buy upgrade",$C$3:$C50,C51)+COUNTIFS($B$3:$B50,"Hire hunter",$C$3:$C50,C51)+COUNTIFS($B$3:$B50,"Forge/Scrapwork buy",$C$3:$C50,C51))),1),0)-J50,"0")&amp;" more scraps",IF(AND(B51="Fight boss",E51="OK",(IF((((105/'Rules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Formulas'!B12)),"WIN — boss down, next Level unlocks",IF(AND(B51="Fight boss",E51="OK"),"LOSE — TTK "&amp;TEXT(IF((((105/'Rules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Formulas'!B20*SQRT(1+0.55*(AG50&gt;=1))),0)))),"0")&amp;"s &gt; patience "&amp;TEXT('Rules &amp; Formulas'!B12,"0")&amp;"s (leave resets HP)",IF(B51="Go AFK","AFK resolved (see AFK counted h)","Applied")))))))))</f>
        <v/>
      </c>
      <c r="G51" s="7">
        <f>IF(AND((E51="OK"),B51="Fight boss",(IF((((105/'Rules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Formulas'!B12),C51="Elder Thornpelt"),2,IF(AND((E51="OK"),B51="Fight boss",(IF((((105/'Rules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Formulas'!B12),C51="Ashfang Alpha"),3,G50))</f>
        <v/>
      </c>
      <c r="H51" s="7">
        <f>MAX(0,H50+IF(AND((E51="OK"),B51="Hunt"),(IF(B51="Hunt",(('Rules &amp; Formulas'!B4*N50*('Rules &amp; Formulas'!B5+O50)*IFERROR(VLOOKUP(C51,Monsters!$T$4:$AH$15,10,FALSE),0)*IFERROR(VLOOKUP(C51,Monsters!$T$4:$AH$15,9,FALSE),0))*'Rules &amp; Formulas'!B6)*IF(D51="",0,D51),0))*(IFERROR(VLOOKUP(C51,Monsters!$T$4:$AH$15,3,FALSE),0))*(1+0.1*AH50)+(IF(OR(B51&lt;&gt;"Hunt",IFERROR(VLOOKUP(C51,Monsters!$T$4:$AH$15,6,FALSE),0)=0),0,FLOOR((IF(B51="Hunt",(('Rules &amp; Formulas'!B4*N50*('Rules &amp; Formulas'!B5+O50)*IFERROR(VLOOKUP(C51,Monsters!$T$4:$AH$15,10,FALSE),0)*IFERROR(VLOOKUP(C51,Monsters!$T$4:$AH$15,9,FALSE),0))*'Rules &amp; Formulas'!B6)*IF(D51="",0,D51),0))/MAX(1,IFERROR(VLOOKUP(C51,Monsters!$T$4:$AH$15,6,FALSE),0)),1)))*(IFERROR(VLOOKUP(C51,Monsters!$T$4:$AH$15,7,FALSE),0))*0.5*(1+0.1*AH50),0)+IF(AND((E51="OK"),B51="Go AFK"),(IF(B51="Go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AFK",IF(D51="",0,D51),0),Z50/60)*60)),0))*(IFERROR(VLOOKUP(C51,Monsters!$T$4:$AH$15,3,FALSE),0))*(1+0.1*AH50)+(IF(OR(B51&lt;&gt;"Go AFK",IFERROR(VLOOKUP(C51,Monsters!$T$4:$AH$15,6,FALSE),0)=0),0,FLOOR((IF(B51="Go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AFK",IF(D51="",0,D51),0),Z50/60)*60)),0))/MAX(1,IFERROR(VLOOKUP(C51,Monsters!$T$4:$AH$15,6,FALSE),0)),1)))*(IFERROR(VLOOKUP(C51,Monsters!$T$4:$AH$15,7,FALSE),0))*0.5*(1+0.1*AH50),0)+IF(AND((E51="OK"),B51="Fight boss",(IF((((105/'Rules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Formulas'!B12)),IFERROR(VLOOKUP(C51,Monsters!$T$4:$AH$15,3,FALSE),0),0)-IF(AND((E51="OK"),OR(B51="Buy upgrade",B51="Forge/Scrapwork buy"),IFERROR(VLOOKUP(C51,Upgrades!$N$4:$T$47,2,FALSE),0)="gold"),IFERROR(FLOOR(IFERROR(VLOOKUP(C51,Upgrades!$N$4:$T$47,3,FALSE),0)*(IFERROR(VLOOKUP(C51,Upgrades!$N$4:$T$47,4,FALSE),0)^(COUNTIFS($B$3:$B50,"Buy upgrade",$C$3:$C50,C51)+COUNTIFS($B$3:$B50,"Hire hunter",$C$3:$C50,C51)+COUNTIFS($B$3:$B50,"Forge/Scrapwork buy",$C$3:$C50,C51))),1),0),0)-IF(AND((E51="OK"),B51="Hire hunter"),IF(C51="Briar",140,IF(C51="Quill",3650,IF(C51="Moss",4850,IF(C51="Ember",12200,0)))),0))</f>
        <v/>
      </c>
      <c r="I51" s="7">
        <f>IF(AND((E51="OK"),B51="Fight boss",(IF((((105/'Rules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Formulas'!B12)),0,MIN(IF(G50&lt;=1,120,IF(G50=2,280,600)),I50+IF(AND((E51="OK"),B51="Hunt"),((IF(B51="Hunt",(('Rules &amp; Formulas'!B4*N50*('Rules &amp; Formulas'!B5+O50)*IFERROR(VLOOKUP(C51,Monsters!$T$4:$AH$15,10,FALSE),0)*IFERROR(VLOOKUP(C51,Monsters!$T$4:$AH$15,9,FALSE),0))*'Rules &amp; Formulas'!B6)*IF(D51="",0,D51),0))*(IFERROR(VLOOKUP(C51,Monsters!$T$4:$AH$15,4,FALSE),0))+(IF(OR(B51&lt;&gt;"Hunt",IFERROR(VLOOKUP(C51,Monsters!$T$4:$AH$15,6,FALSE),0)=0),0,FLOOR((IF(B51="Hunt",(('Rules &amp; Formulas'!B4*N50*('Rules &amp; Formulas'!B5+O50)*IFERROR(VLOOKUP(C51,Monsters!$T$4:$AH$15,10,FALSE),0)*IFERROR(VLOOKUP(C51,Monsters!$T$4:$AH$15,9,FALSE),0))*'Rules &amp; Formulas'!B6)*IF(D51="",0,D51),0))/MAX(1,IFERROR(VLOOKUP(C51,Monsters!$T$4:$AH$15,6,FALSE),0)),1)))*(IFERROR(VLOOKUP(C51,Monsters!$T$4:$AH$15,7,FALSE),0))),0)+IF(AND((E51="OK"),B51="Go AFK"),((IF(B51="Go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AFK",IF(D51="",0,D51),0),Z50/60)*60)),0))*(IFERROR(VLOOKUP(C51,Monsters!$T$4:$AH$15,4,FALSE),0))+(IF(OR(B51&lt;&gt;"Go AFK",IFERROR(VLOOKUP(C51,Monsters!$T$4:$AH$15,6,FALSE),0)=0),0,FLOOR((IF(B51="Go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AFK",IF(D51="",0,D51),0),Z50/60)*60)),0))/MAX(1,IFERROR(VLOOKUP(C51,Monsters!$T$4:$AH$15,6,FALSE),0)),1)))*(IFERROR(VLOOKUP(C51,Monsters!$T$4:$AH$15,7,FALSE),0))),0)))</f>
        <v/>
      </c>
      <c r="J51" s="7">
        <f>MAX(0,J50+IF(AND((E51="OK"),B51="Hunt"),(IF(B51="Hunt",(('Rules &amp; Formulas'!B4*N50*('Rules &amp; Formulas'!B5+O50)*IFERROR(VLOOKUP(C51,Monsters!$T$4:$AH$15,10,FALSE),0)*IFERROR(VLOOKUP(C51,Monsters!$T$4:$AH$15,9,FALSE),0))*'Rules &amp; Formulas'!B6)*IF(D51="",0,D51),0))*(IFERROR(VLOOKUP(C51,Monsters!$T$4:$AH$15,5,FALSE),0)),0)+IF(AND((E51="OK"),B51="Go AFK"),(IF(B51="Go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AFK",IF(D51="",0,D51),0),Z50/60)*60)),0))*(IFERROR(VLOOKUP(C51,Monsters!$T$4:$AH$15,5,FALSE),0)),0)-IF(AND((E51="OK"),OR(B51="Buy upgrade",B51="Forge/Scrapwork buy"),IFERROR(VLOOKUP(C51,Upgrades!$N$4:$T$47,2,FALSE),0)="scraps"),IFERROR(FLOOR(IFERROR(VLOOKUP(C51,Upgrades!$N$4:$T$47,3,FALSE),0)*(IFERROR(VLOOKUP(C51,Upgrades!$N$4:$T$47,4,FALSE),0)^(COUNTIFS($B$3:$B50,"Buy upgrade",$C$3:$C50,C51)+COUNTIFS($B$3:$B50,"Hire hunter",$C$3:$C50,C51)+COUNTIFS($B$3:$B50,"Forge/Scrapwork buy",$C$3:$C50,C51))),1),0),0))</f>
        <v/>
      </c>
      <c r="K51" s="7">
        <f>MAX(0,K50+IF(AND((E51="OK"),B51="Hunt"),IF(C51="Thornpelt Bear",(IF(B51="Hunt",(('Rules &amp; Formulas'!B4*N50*('Rules &amp; Formulas'!B5+O50)*IFERROR(VLOOKUP(C51,Monsters!$T$4:$AH$15,10,FALSE),0)*IFERROR(VLOOKUP(C51,Monsters!$T$4:$AH$15,9,FALSE),0))*'Rules &amp; Formulas'!B6)*IF(D51="",0,D51),0))*0.12,0),0)+IF(AND((E51="OK"),B51="Go AFK"),IF(C51="Thornpelt Bear",(IF(B51="Go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AFK",IF(D51="",0,D51),0),Z50/60)*60)),0))*0.12,0),0))</f>
        <v/>
      </c>
      <c r="L51" s="7">
        <f>MAX(0,L50+IF(AND((E51="OK"),B51="Hunt"),IF(C51="Dire Thornpelt",(IF(B51="Hunt",(('Rules &amp; Formulas'!B4*N50*('Rules &amp; Formulas'!B5+O50)*IFERROR(VLOOKUP(C51,Monsters!$T$4:$AH$15,10,FALSE),0)*IFERROR(VLOOKUP(C51,Monsters!$T$4:$AH$15,9,FALSE),0))*'Rules &amp; Formulas'!B6)*IF(D51="",0,D51),0))*0.1,0),0)+IF(AND((E51="OK"),B51="Go AFK"),IF(C51="Dire Thornpelt",(IF(B51="Go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AFK",IF(D51="",0,D51),0),Z50/60)*60)),0))*0.1,0),0))</f>
        <v/>
      </c>
      <c r="M51" s="7">
        <f>IF(AND((E51="OK"),B51="Go AFK"),MAX(0,MIN(('Rules &amp; Formulas'!B15+25*AJ50),M50+('Rules &amp; Formulas'!B14+0.4*AJ50)*(MIN(IF(B51="Go AFK",IF(D51="",0,D51),0),Z50/60)*60))-(IF(B51="Go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AFK",IF(D51="",0,D51),0),Z50/60)*60)),0))*(IF((IFERROR(VLOOKUP(C51,Monsters!$T$4:$AH$15,8,FALSE),0))=0,0.35,IFERROR(VLOOKUP(C51,Monsters!$T$4:$AH$15,8,FALSE),0))/(1+0.08*AK50))),MIN(('Rules &amp; Formulas'!B15+25*AJ51),M50))</f>
        <v/>
      </c>
      <c r="N51" s="7">
        <f>(1+0.08+0.12*AA51+0.12*AB51+0.16*AC51)</f>
        <v/>
      </c>
      <c r="O51" s="7">
        <f>((AD51&gt;=1)*1*(1+0.3*AE51))</f>
        <v/>
      </c>
      <c r="P51" s="7">
        <f>IF(OR(B51="Hunt",B51="Go AFK"),(('Rules &amp; Formulas'!B4*N50*('Rules &amp; Formulas'!B5+O50)*IFERROR(VLOOKUP(C51,Monsters!$T$4:$AH$15,10,FALSE),0)*IFERROR(VLOOKUP(C51,Monsters!$T$4:$AH$15,9,FALSE),0))*'Rules &amp; Formulas'!B6),"")</f>
        <v/>
      </c>
      <c r="Q51" s="7">
        <f>IF(OR(B51="Hunt",B51="Go AFK"),('Rules &amp; Formulas'!B4*N50*('Rules &amp; Formulas'!B5+O50)*IFERROR(VLOOKUP(C51,Monsters!$T$4:$AH$15,10,FALSE),0)*IFERROR(VLOOKUP(C51,Monsters!$T$4:$AH$15,9,FALSE),0)),"")</f>
        <v/>
      </c>
      <c r="R51" s="7">
        <f>IF(AND((E51="OK"),B51="Hunt"),IF(B51="Hunt",(('Rules &amp; Formulas'!B4*N50*('Rules &amp; Formulas'!B5+O50)*IFERROR(VLOOKUP(C51,Monsters!$T$4:$AH$15,10,FALSE),0)*IFERROR(VLOOKUP(C51,Monsters!$T$4:$AH$15,9,FALSE),0))*'Rules &amp; Formulas'!B6)*IF(D51="",0,D51),0),IF(AND((E51="OK"),B51="Go AFK"),IF(B51="Go AFK",MIN(IF((IF((IFERROR(VLOOKUP(C51,Monsters!$T$4:$AH$15,8,FALSE),0))=0,0.35,IFERROR(VLOOKUP(C51,Monsters!$T$4:$AH$15,8,FALSE),0))/(1+0.08*AK50))&lt;=0,999999,FLOOR(MIN(('Rules &amp; Formulas'!B15+25*AJ50),M50+('Rules &amp; Formulas'!B14+0.4*AJ50)*(MIN(IF(B51="Go AFK",IF(D51="",0,D51),0),Z50/60)*60))/(IF((IFERROR(VLOOKUP(C51,Monsters!$T$4:$AH$15,8,FALSE),0))=0,0.35,IFERROR(VLOOKUP(C51,Monsters!$T$4:$AH$15,8,FALSE),0))/(1+0.08*AK50)),1)),('Rules &amp; Formulas'!B4*N50*('Rules &amp; Formulas'!B5+O50)*IFERROR(VLOOKUP(C51,Monsters!$T$4:$AH$15,10,FALSE),0)*IFERROR(VLOOKUP(C51,Monsters!$T$4:$AH$15,9,FALSE),0))*(MIN(IF(B51="Go AFK",IF(D51="",0,D51),0),Z50/60)*60)),0),0))</f>
        <v/>
      </c>
      <c r="S51" s="7">
        <f>(105/'Rules &amp; Formulas'!B10)*'Rules &amp; Formulas'!B11</f>
        <v/>
      </c>
      <c r="T51" s="7">
        <f>IF(AD50&gt;=1,(MAX(1,ROUND('Rules &amp; Formulas'!B18*(1+0.3*AE50)*(1+0.4*AF50),0)))*(1000/'Rules &amp; Formulas'!B19)*MIN(0.95,'Rules &amp; Formulas'!B20*SQRT(1+0.55*(AG50&gt;=1))),0)</f>
        <v/>
      </c>
      <c r="U51" s="7">
        <f>S51+T51</f>
        <v/>
      </c>
      <c r="V51" s="7">
        <f>IF(I50&gt;=IF((IFERROR(VLOOKUP(C51,Monsters!$T$4:$AH$15,15,FALSE),0))=0,120,IFERROR(VLOOKUP(C51,Monsters!$T$4:$AH$15,15,FALSE),0)),"YES","no")</f>
        <v/>
      </c>
      <c r="W51" s="7">
        <f>IF(AND(B51="Fight boss",E51="OK"),IF((((105/'Rules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Formulas'!B20*SQRT(1+0.55*(AG50&gt;=1))),0)))),"")</f>
        <v/>
      </c>
      <c r="X51" s="7">
        <f>IF(AND(B51="Fight boss",E51="OK"),IF((IF((((105/'Rules &amp; Formulas'!B10)*'Rules &amp; Formulas'!B11+IF(AD50&gt;=1,(MAX(1,ROUND('Rules &amp; Formulas'!B18*(1+0.3*AE50)*(1+0.4*AF50),0)))*(1000/'Rules &amp; Formulas'!B19)*MIN(0.95,'Rules &amp; Formulas'!B20*SQRT(1+0.55*(AG50&gt;=1))),0)))&lt;=0,9999,(IFERROR(VLOOKUP(C51,Monsters!$T$4:$AH$15,2,FALSE),0))/(((105/'Rules &amp; Formulas'!B10)*'Rules &amp; Formulas'!B11+IF(AD50&gt;=1,(MAX(1,ROUND('Rules &amp; Formulas'!B18*(1+0.3*AE50)*(1+0.4*AF50),0)))*(1000/'Rules &amp; Formulas'!B19)*MIN(0.95,'Rules &amp; Formulas'!B20*SQRT(1+0.55*(AG50&gt;=1))),0))))&lt;='Rules &amp; Formulas'!B12),"WIN","LOSE"),"")</f>
        <v/>
      </c>
      <c r="Y51" s="7">
        <f>IF(B51="Go AFK",MIN(IF(B51="Go AFK",IF(D51="",0,D51),0),Z50/60),"")</f>
        <v/>
      </c>
      <c r="Z51" s="7">
        <f>('Rules &amp; Formulas'!B13+30*AI51)</f>
        <v/>
      </c>
      <c r="AA51">
        <f>COUNTIFS($B$3:$B51,"Buy upgrade",$C$3:$C51,"Idle Power")</f>
        <v/>
      </c>
      <c r="AB51">
        <f>COUNTIFS($B$3:$B51,"Buy upgrade",$C$3:$C51,"Iron Blade")</f>
        <v/>
      </c>
      <c r="AC51">
        <f>COUNTIFS($B$3:$B51,"Buy upgrade",$C$3:$C51,"Steel Blade")</f>
        <v/>
      </c>
      <c r="AD51">
        <f>COUNTIFS($B$3:$B51,"Hire hunter",$C$3:$C51,"Briar")+COUNTIFS($B$3:$B51,"Buy upgrade",$C$3:$C51,"Hire Briar")</f>
        <v/>
      </c>
      <c r="AE51">
        <f>COUNTIFS($B$3:$B51,"Buy upgrade",$C$3:$C51,"Hunter Power")</f>
        <v/>
      </c>
      <c r="AF51">
        <f>COUNTIFS($B$3:$B51,"Buy upgrade",$C$3:$C51,"Bigger Hits")</f>
        <v/>
      </c>
      <c r="AG51">
        <f>COUNTIFS($B$3:$B51,"Buy upgrade",$C$3:$C51,"Swift Walk")</f>
        <v/>
      </c>
      <c r="AH51">
        <f>COUNTIFS($B$3:$B51,"Buy upgrade",$C$3:$C51,"Loot Luck")</f>
        <v/>
      </c>
      <c r="AI51">
        <f>COUNTIFS($B$3:$B51,"Buy upgrade",$C$3:$C51,"Offline Cap")</f>
        <v/>
      </c>
      <c r="AJ51">
        <f>COUNTIFS($B$3:$B51,"Buy upgrade",$C$3:$C51,"Bigger Food Stock")</f>
        <v/>
      </c>
      <c r="AK51">
        <f>COUNTIFS($B$3:$B51,"Buy upgrade",$C$3:$C51,"Food Efficiency")</f>
        <v/>
      </c>
    </row>
    <row r="52">
      <c r="A52" t="n">
        <v>50</v>
      </c>
      <c r="B52" s="6" t="n"/>
      <c r="C52" s="6" t="n"/>
      <c r="D52" s="6" t="n"/>
      <c r="E52" s="7">
        <f>IF(B52="","",IF(OR(B52="Hunt",B52="Go AFK"),IF(C52="","Can't","OK"),IF(B52="Fight boss",IF(I51&lt;IF((IFERROR(VLOOKUP(C52,Monsters!$T$4:$AH$15,15,FALSE),0))=0,120,IFERROR(VLOOKUP(C52,Monsters!$T$4:$AH$15,15,FALSE),0)),"Can't","OK"),IF(B52="Hire hunter",IF(AND(C52="Briar",AD51&gt;=1),"Can't",IF(H51&lt;IF(C52="Briar",140,IF(C52="Quill",3650,IF(C52="Moss",4850,IF(C52="Ember",12200,0)))),"Can't","OK")),IF(OR(B52="Buy upgrade",B52="Forge/Scrapwork buy"),IF(IFERROR(VLOOKUP(C52,Upgrades!$N$4:$T$47,2,FALSE),0)="points","Can't",IF(IFERROR(VLOOKUP(C52,Upgrades!$N$4:$T$47,2,FALSE),0)="gold",IF(H51&lt;IFERROR(FLOOR(IFERROR(VLOOKUP(C52,Upgrades!$N$4:$T$47,3,FALSE),0)*(IFERROR(VLOOKUP(C52,Upgrades!$N$4:$T$47,4,FALSE),0)^(COUNTIFS($B$3:$B51,"Buy upgrade",$C$3:$C51,C52)+COUNTIFS($B$3:$B51,"Hire hunter",$C$3:$C51,C52)+COUNTIFS($B$3:$B51,"Forge/Scrapwork buy",$C$3:$C51,C52))),1),0),"Can't","OK"),IF(IFERROR(VLOOKUP(C52,Upgrades!$N$4:$T$47,2,FALSE),0)="scraps",IF(J51&lt;IFERROR(FLOOR(IFERROR(VLOOKUP(C52,Upgrades!$N$4:$T$47,3,FALSE),0)*(IFERROR(VLOOKUP(C52,Upgrades!$N$4:$T$47,4,FALSE),0)^(COUNTIFS($B$3:$B51,"Buy upgrade",$C$3:$C51,C52)+COUNTIFS($B$3:$B51,"Hire hunter",$C$3:$C51,C52)+COUNTIFS($B$3:$B51,"Forge/Scrapwork buy",$C$3:$C51,C52))),1),0),"Can't","OK"),IF(IFERROR(VLOOKUP(C52,Upgrades!$N$4:$T$47,2,FALSE),0)="mats","Can't","OK")))),"Check")))))</f>
        <v/>
      </c>
      <c r="F52" s="7">
        <f>IF(B52="","",IF(AND(B52="Fight boss",I51&lt;IF((IFERROR(VLOOKUP(C52,Monsters!$T$4:$AH$15,15,FALSE),0))=0,120,IFERROR(VLOOKUP(C52,Monsters!$T$4:$AH$15,15,FALSE),0))),"Can't — need "&amp;TEXT(IF((IFERROR(VLOOKUP(C52,Monsters!$T$4:$AH$15,15,FALSE),0))=0,120,IFERROR(VLOOKUP(C52,Monsters!$T$4:$AH$15,15,FALSE),0))-I51,"0.0")&amp;" more Slayer points on the meter",IF(AND(B52="Hire hunter",C52="Briar",AD51&gt;=1),"Can't — already hired",IF(AND(B52="Hire hunter",H51&lt;IF(C52="Briar",140,IF(C52="Quill",3650,IF(C52="Moss",4850,IF(C52="Ember",12200,0))))),"Can't — need "&amp;TEXT(IF(C52="Briar",140,IF(C52="Quill",3650,IF(C52="Moss",4850,IF(C52="Ember",12200,0))))-H51,"0")&amp;" more gold",IF(AND(OR(B52="Buy upgrade",B52="Forge/Scrapwork buy"),IFERROR(VLOOKUP(C52,Upgrades!$N$4:$T$47,2,FALSE),0)="points"),"Can't — Sp-wallet spends not tracked here",IF(AND(OR(B52="Buy upgrade",B52="Forge/Scrapwork buy"),IFERROR(VLOOKUP(C52,Upgrades!$N$4:$T$47,2,FALSE),0)="gold",H51&lt;IFERROR(FLOOR(IFERROR(VLOOKUP(C52,Upgrades!$N$4:$T$47,3,FALSE),0)*(IFERROR(VLOOKUP(C52,Upgrades!$N$4:$T$47,4,FALSE),0)^(COUNTIFS($B$3:$B51,"Buy upgrade",$C$3:$C51,C52)+COUNTIFS($B$3:$B51,"Hire hunter",$C$3:$C51,C52)+COUNTIFS($B$3:$B51,"Forge/Scrapwork buy",$C$3:$C51,C52))),1),0)),"Can't — need "&amp;TEXT(IFERROR(FLOOR(IFERROR(VLOOKUP(C52,Upgrades!$N$4:$T$47,3,FALSE),0)*(IFERROR(VLOOKUP(C52,Upgrades!$N$4:$T$47,4,FALSE),0)^(COUNTIFS($B$3:$B51,"Buy upgrade",$C$3:$C51,C52)+COUNTIFS($B$3:$B51,"Hire hunter",$C$3:$C51,C52)+COUNTIFS($B$3:$B51,"Forge/Scrapwork buy",$C$3:$C51,C52))),1),0)-H51,"0")&amp;" more gold",IF(AND(OR(B52="Buy upgrade",B52="Forge/Scrapwork buy"),IFERROR(VLOOKUP(C52,Upgrades!$N$4:$T$47,2,FALSE),0)="scraps",J51&lt;IFERROR(FLOOR(IFERROR(VLOOKUP(C52,Upgrades!$N$4:$T$47,3,FALSE),0)*(IFERROR(VLOOKUP(C52,Upgrades!$N$4:$T$47,4,FALSE),0)^(COUNTIFS($B$3:$B51,"Buy upgrade",$C$3:$C51,C52)+COUNTIFS($B$3:$B51,"Hire hunter",$C$3:$C51,C52)+COUNTIFS($B$3:$B51,"Forge/Scrapwork buy",$C$3:$C51,C52))),1),0)),"Can't — need "&amp;TEXT(IFERROR(FLOOR(IFERROR(VLOOKUP(C52,Upgrades!$N$4:$T$47,3,FALSE),0)*(IFERROR(VLOOKUP(C52,Upgrades!$N$4:$T$47,4,FALSE),0)^(COUNTIFS($B$3:$B51,"Buy upgrade",$C$3:$C51,C52)+COUNTIFS($B$3:$B51,"Hire hunter",$C$3:$C51,C52)+COUNTIFS($B$3:$B51,"Forge/Scrapwork buy",$C$3:$C51,C52))),1),0)-J51,"0")&amp;" more scraps",IF(AND(B52="Fight boss",E52="OK",(IF((((105/'Rules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Formulas'!B12)),"WIN — boss down, next Level unlocks",IF(AND(B52="Fight boss",E52="OK"),"LOSE — TTK "&amp;TEXT(IF((((105/'Rules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Formulas'!B20*SQRT(1+0.55*(AG51&gt;=1))),0)))),"0")&amp;"s &gt; patience "&amp;TEXT('Rules &amp; Formulas'!B12,"0")&amp;"s (leave resets HP)",IF(B52="Go AFK","AFK resolved (see AFK counted h)","Applied")))))))))</f>
        <v/>
      </c>
      <c r="G52" s="7">
        <f>IF(AND((E52="OK"),B52="Fight boss",(IF((((105/'Rules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Formulas'!B12),C52="Elder Thornpelt"),2,IF(AND((E52="OK"),B52="Fight boss",(IF((((105/'Rules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Formulas'!B12),C52="Ashfang Alpha"),3,G51))</f>
        <v/>
      </c>
      <c r="H52" s="7">
        <f>MAX(0,H51+IF(AND((E52="OK"),B52="Hunt"),(IF(B52="Hunt",(('Rules &amp; Formulas'!B4*N51*('Rules &amp; Formulas'!B5+O51)*IFERROR(VLOOKUP(C52,Monsters!$T$4:$AH$15,10,FALSE),0)*IFERROR(VLOOKUP(C52,Monsters!$T$4:$AH$15,9,FALSE),0))*'Rules &amp; Formulas'!B6)*IF(D52="",0,D52),0))*(IFERROR(VLOOKUP(C52,Monsters!$T$4:$AH$15,3,FALSE),0))*(1+0.1*AH51)+(IF(OR(B52&lt;&gt;"Hunt",IFERROR(VLOOKUP(C52,Monsters!$T$4:$AH$15,6,FALSE),0)=0),0,FLOOR((IF(B52="Hunt",(('Rules &amp; Formulas'!B4*N51*('Rules &amp; Formulas'!B5+O51)*IFERROR(VLOOKUP(C52,Monsters!$T$4:$AH$15,10,FALSE),0)*IFERROR(VLOOKUP(C52,Monsters!$T$4:$AH$15,9,FALSE),0))*'Rules &amp; Formulas'!B6)*IF(D52="",0,D52),0))/MAX(1,IFERROR(VLOOKUP(C52,Monsters!$T$4:$AH$15,6,FALSE),0)),1)))*(IFERROR(VLOOKUP(C52,Monsters!$T$4:$AH$15,7,FALSE),0))*0.5*(1+0.1*AH51),0)+IF(AND((E52="OK"),B52="Go AFK"),(IF(B52="Go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AFK",IF(D52="",0,D52),0),Z51/60)*60)),0))*(IFERROR(VLOOKUP(C52,Monsters!$T$4:$AH$15,3,FALSE),0))*(1+0.1*AH51)+(IF(OR(B52&lt;&gt;"Go AFK",IFERROR(VLOOKUP(C52,Monsters!$T$4:$AH$15,6,FALSE),0)=0),0,FLOOR((IF(B52="Go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AFK",IF(D52="",0,D52),0),Z51/60)*60)),0))/MAX(1,IFERROR(VLOOKUP(C52,Monsters!$T$4:$AH$15,6,FALSE),0)),1)))*(IFERROR(VLOOKUP(C52,Monsters!$T$4:$AH$15,7,FALSE),0))*0.5*(1+0.1*AH51),0)+IF(AND((E52="OK"),B52="Fight boss",(IF((((105/'Rules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Formulas'!B12)),IFERROR(VLOOKUP(C52,Monsters!$T$4:$AH$15,3,FALSE),0),0)-IF(AND((E52="OK"),OR(B52="Buy upgrade",B52="Forge/Scrapwork buy"),IFERROR(VLOOKUP(C52,Upgrades!$N$4:$T$47,2,FALSE),0)="gold"),IFERROR(FLOOR(IFERROR(VLOOKUP(C52,Upgrades!$N$4:$T$47,3,FALSE),0)*(IFERROR(VLOOKUP(C52,Upgrades!$N$4:$T$47,4,FALSE),0)^(COUNTIFS($B$3:$B51,"Buy upgrade",$C$3:$C51,C52)+COUNTIFS($B$3:$B51,"Hire hunter",$C$3:$C51,C52)+COUNTIFS($B$3:$B51,"Forge/Scrapwork buy",$C$3:$C51,C52))),1),0),0)-IF(AND((E52="OK"),B52="Hire hunter"),IF(C52="Briar",140,IF(C52="Quill",3650,IF(C52="Moss",4850,IF(C52="Ember",12200,0)))),0))</f>
        <v/>
      </c>
      <c r="I52" s="7">
        <f>IF(AND((E52="OK"),B52="Fight boss",(IF((((105/'Rules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Formulas'!B12)),0,MIN(IF(G51&lt;=1,120,IF(G51=2,280,600)),I51+IF(AND((E52="OK"),B52="Hunt"),((IF(B52="Hunt",(('Rules &amp; Formulas'!B4*N51*('Rules &amp; Formulas'!B5+O51)*IFERROR(VLOOKUP(C52,Monsters!$T$4:$AH$15,10,FALSE),0)*IFERROR(VLOOKUP(C52,Monsters!$T$4:$AH$15,9,FALSE),0))*'Rules &amp; Formulas'!B6)*IF(D52="",0,D52),0))*(IFERROR(VLOOKUP(C52,Monsters!$T$4:$AH$15,4,FALSE),0))+(IF(OR(B52&lt;&gt;"Hunt",IFERROR(VLOOKUP(C52,Monsters!$T$4:$AH$15,6,FALSE),0)=0),0,FLOOR((IF(B52="Hunt",(('Rules &amp; Formulas'!B4*N51*('Rules &amp; Formulas'!B5+O51)*IFERROR(VLOOKUP(C52,Monsters!$T$4:$AH$15,10,FALSE),0)*IFERROR(VLOOKUP(C52,Monsters!$T$4:$AH$15,9,FALSE),0))*'Rules &amp; Formulas'!B6)*IF(D52="",0,D52),0))/MAX(1,IFERROR(VLOOKUP(C52,Monsters!$T$4:$AH$15,6,FALSE),0)),1)))*(IFERROR(VLOOKUP(C52,Monsters!$T$4:$AH$15,7,FALSE),0))),0)+IF(AND((E52="OK"),B52="Go AFK"),((IF(B52="Go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AFK",IF(D52="",0,D52),0),Z51/60)*60)),0))*(IFERROR(VLOOKUP(C52,Monsters!$T$4:$AH$15,4,FALSE),0))+(IF(OR(B52&lt;&gt;"Go AFK",IFERROR(VLOOKUP(C52,Monsters!$T$4:$AH$15,6,FALSE),0)=0),0,FLOOR((IF(B52="Go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AFK",IF(D52="",0,D52),0),Z51/60)*60)),0))/MAX(1,IFERROR(VLOOKUP(C52,Monsters!$T$4:$AH$15,6,FALSE),0)),1)))*(IFERROR(VLOOKUP(C52,Monsters!$T$4:$AH$15,7,FALSE),0))),0)))</f>
        <v/>
      </c>
      <c r="J52" s="7">
        <f>MAX(0,J51+IF(AND((E52="OK"),B52="Hunt"),(IF(B52="Hunt",(('Rules &amp; Formulas'!B4*N51*('Rules &amp; Formulas'!B5+O51)*IFERROR(VLOOKUP(C52,Monsters!$T$4:$AH$15,10,FALSE),0)*IFERROR(VLOOKUP(C52,Monsters!$T$4:$AH$15,9,FALSE),0))*'Rules &amp; Formulas'!B6)*IF(D52="",0,D52),0))*(IFERROR(VLOOKUP(C52,Monsters!$T$4:$AH$15,5,FALSE),0)),0)+IF(AND((E52="OK"),B52="Go AFK"),(IF(B52="Go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AFK",IF(D52="",0,D52),0),Z51/60)*60)),0))*(IFERROR(VLOOKUP(C52,Monsters!$T$4:$AH$15,5,FALSE),0)),0)-IF(AND((E52="OK"),OR(B52="Buy upgrade",B52="Forge/Scrapwork buy"),IFERROR(VLOOKUP(C52,Upgrades!$N$4:$T$47,2,FALSE),0)="scraps"),IFERROR(FLOOR(IFERROR(VLOOKUP(C52,Upgrades!$N$4:$T$47,3,FALSE),0)*(IFERROR(VLOOKUP(C52,Upgrades!$N$4:$T$47,4,FALSE),0)^(COUNTIFS($B$3:$B51,"Buy upgrade",$C$3:$C51,C52)+COUNTIFS($B$3:$B51,"Hire hunter",$C$3:$C51,C52)+COUNTIFS($B$3:$B51,"Forge/Scrapwork buy",$C$3:$C51,C52))),1),0),0))</f>
        <v/>
      </c>
      <c r="K52" s="7">
        <f>MAX(0,K51+IF(AND((E52="OK"),B52="Hunt"),IF(C52="Thornpelt Bear",(IF(B52="Hunt",(('Rules &amp; Formulas'!B4*N51*('Rules &amp; Formulas'!B5+O51)*IFERROR(VLOOKUP(C52,Monsters!$T$4:$AH$15,10,FALSE),0)*IFERROR(VLOOKUP(C52,Monsters!$T$4:$AH$15,9,FALSE),0))*'Rules &amp; Formulas'!B6)*IF(D52="",0,D52),0))*0.12,0),0)+IF(AND((E52="OK"),B52="Go AFK"),IF(C52="Thornpelt Bear",(IF(B52="Go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AFK",IF(D52="",0,D52),0),Z51/60)*60)),0))*0.12,0),0))</f>
        <v/>
      </c>
      <c r="L52" s="7">
        <f>MAX(0,L51+IF(AND((E52="OK"),B52="Hunt"),IF(C52="Dire Thornpelt",(IF(B52="Hunt",(('Rules &amp; Formulas'!B4*N51*('Rules &amp; Formulas'!B5+O51)*IFERROR(VLOOKUP(C52,Monsters!$T$4:$AH$15,10,FALSE),0)*IFERROR(VLOOKUP(C52,Monsters!$T$4:$AH$15,9,FALSE),0))*'Rules &amp; Formulas'!B6)*IF(D52="",0,D52),0))*0.1,0),0)+IF(AND((E52="OK"),B52="Go AFK"),IF(C52="Dire Thornpelt",(IF(B52="Go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AFK",IF(D52="",0,D52),0),Z51/60)*60)),0))*0.1,0),0))</f>
        <v/>
      </c>
      <c r="M52" s="7">
        <f>IF(AND((E52="OK"),B52="Go AFK"),MAX(0,MIN(('Rules &amp; Formulas'!B15+25*AJ51),M51+('Rules &amp; Formulas'!B14+0.4*AJ51)*(MIN(IF(B52="Go AFK",IF(D52="",0,D52),0),Z51/60)*60))-(IF(B52="Go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AFK",IF(D52="",0,D52),0),Z51/60)*60)),0))*(IF((IFERROR(VLOOKUP(C52,Monsters!$T$4:$AH$15,8,FALSE),0))=0,0.35,IFERROR(VLOOKUP(C52,Monsters!$T$4:$AH$15,8,FALSE),0))/(1+0.08*AK51))),MIN(('Rules &amp; Formulas'!B15+25*AJ52),M51))</f>
        <v/>
      </c>
      <c r="N52" s="7">
        <f>(1+0.08+0.12*AA52+0.12*AB52+0.16*AC52)</f>
        <v/>
      </c>
      <c r="O52" s="7">
        <f>((AD52&gt;=1)*1*(1+0.3*AE52))</f>
        <v/>
      </c>
      <c r="P52" s="7">
        <f>IF(OR(B52="Hunt",B52="Go AFK"),(('Rules &amp; Formulas'!B4*N51*('Rules &amp; Formulas'!B5+O51)*IFERROR(VLOOKUP(C52,Monsters!$T$4:$AH$15,10,FALSE),0)*IFERROR(VLOOKUP(C52,Monsters!$T$4:$AH$15,9,FALSE),0))*'Rules &amp; Formulas'!B6),"")</f>
        <v/>
      </c>
      <c r="Q52" s="7">
        <f>IF(OR(B52="Hunt",B52="Go AFK"),('Rules &amp; Formulas'!B4*N51*('Rules &amp; Formulas'!B5+O51)*IFERROR(VLOOKUP(C52,Monsters!$T$4:$AH$15,10,FALSE),0)*IFERROR(VLOOKUP(C52,Monsters!$T$4:$AH$15,9,FALSE),0)),"")</f>
        <v/>
      </c>
      <c r="R52" s="7">
        <f>IF(AND((E52="OK"),B52="Hunt"),IF(B52="Hunt",(('Rules &amp; Formulas'!B4*N51*('Rules &amp; Formulas'!B5+O51)*IFERROR(VLOOKUP(C52,Monsters!$T$4:$AH$15,10,FALSE),0)*IFERROR(VLOOKUP(C52,Monsters!$T$4:$AH$15,9,FALSE),0))*'Rules &amp; Formulas'!B6)*IF(D52="",0,D52),0),IF(AND((E52="OK"),B52="Go AFK"),IF(B52="Go AFK",MIN(IF((IF((IFERROR(VLOOKUP(C52,Monsters!$T$4:$AH$15,8,FALSE),0))=0,0.35,IFERROR(VLOOKUP(C52,Monsters!$T$4:$AH$15,8,FALSE),0))/(1+0.08*AK51))&lt;=0,999999,FLOOR(MIN(('Rules &amp; Formulas'!B15+25*AJ51),M51+('Rules &amp; Formulas'!B14+0.4*AJ51)*(MIN(IF(B52="Go AFK",IF(D52="",0,D52),0),Z51/60)*60))/(IF((IFERROR(VLOOKUP(C52,Monsters!$T$4:$AH$15,8,FALSE),0))=0,0.35,IFERROR(VLOOKUP(C52,Monsters!$T$4:$AH$15,8,FALSE),0))/(1+0.08*AK51)),1)),('Rules &amp; Formulas'!B4*N51*('Rules &amp; Formulas'!B5+O51)*IFERROR(VLOOKUP(C52,Monsters!$T$4:$AH$15,10,FALSE),0)*IFERROR(VLOOKUP(C52,Monsters!$T$4:$AH$15,9,FALSE),0))*(MIN(IF(B52="Go AFK",IF(D52="",0,D52),0),Z51/60)*60)),0),0))</f>
        <v/>
      </c>
      <c r="S52" s="7">
        <f>(105/'Rules &amp; Formulas'!B10)*'Rules &amp; Formulas'!B11</f>
        <v/>
      </c>
      <c r="T52" s="7">
        <f>IF(AD51&gt;=1,(MAX(1,ROUND('Rules &amp; Formulas'!B18*(1+0.3*AE51)*(1+0.4*AF51),0)))*(1000/'Rules &amp; Formulas'!B19)*MIN(0.95,'Rules &amp; Formulas'!B20*SQRT(1+0.55*(AG51&gt;=1))),0)</f>
        <v/>
      </c>
      <c r="U52" s="7">
        <f>S52+T52</f>
        <v/>
      </c>
      <c r="V52" s="7">
        <f>IF(I51&gt;=IF((IFERROR(VLOOKUP(C52,Monsters!$T$4:$AH$15,15,FALSE),0))=0,120,IFERROR(VLOOKUP(C52,Monsters!$T$4:$AH$15,15,FALSE),0)),"YES","no")</f>
        <v/>
      </c>
      <c r="W52" s="7">
        <f>IF(AND(B52="Fight boss",E52="OK"),IF((((105/'Rules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Formulas'!B20*SQRT(1+0.55*(AG51&gt;=1))),0)))),"")</f>
        <v/>
      </c>
      <c r="X52" s="7">
        <f>IF(AND(B52="Fight boss",E52="OK"),IF((IF((((105/'Rules &amp; Formulas'!B10)*'Rules &amp; Formulas'!B11+IF(AD51&gt;=1,(MAX(1,ROUND('Rules &amp; Formulas'!B18*(1+0.3*AE51)*(1+0.4*AF51),0)))*(1000/'Rules &amp; Formulas'!B19)*MIN(0.95,'Rules &amp; Formulas'!B20*SQRT(1+0.55*(AG51&gt;=1))),0)))&lt;=0,9999,(IFERROR(VLOOKUP(C52,Monsters!$T$4:$AH$15,2,FALSE),0))/(((105/'Rules &amp; Formulas'!B10)*'Rules &amp; Formulas'!B11+IF(AD51&gt;=1,(MAX(1,ROUND('Rules &amp; Formulas'!B18*(1+0.3*AE51)*(1+0.4*AF51),0)))*(1000/'Rules &amp; Formulas'!B19)*MIN(0.95,'Rules &amp; Formulas'!B20*SQRT(1+0.55*(AG51&gt;=1))),0))))&lt;='Rules &amp; Formulas'!B12),"WIN","LOSE"),"")</f>
        <v/>
      </c>
      <c r="Y52" s="7">
        <f>IF(B52="Go AFK",MIN(IF(B52="Go AFK",IF(D52="",0,D52),0),Z51/60),"")</f>
        <v/>
      </c>
      <c r="Z52" s="7">
        <f>('Rules &amp; Formulas'!B13+30*AI52)</f>
        <v/>
      </c>
      <c r="AA52">
        <f>COUNTIFS($B$3:$B52,"Buy upgrade",$C$3:$C52,"Idle Power")</f>
        <v/>
      </c>
      <c r="AB52">
        <f>COUNTIFS($B$3:$B52,"Buy upgrade",$C$3:$C52,"Iron Blade")</f>
        <v/>
      </c>
      <c r="AC52">
        <f>COUNTIFS($B$3:$B52,"Buy upgrade",$C$3:$C52,"Steel Blade")</f>
        <v/>
      </c>
      <c r="AD52">
        <f>COUNTIFS($B$3:$B52,"Hire hunter",$C$3:$C52,"Briar")+COUNTIFS($B$3:$B52,"Buy upgrade",$C$3:$C52,"Hire Briar")</f>
        <v/>
      </c>
      <c r="AE52">
        <f>COUNTIFS($B$3:$B52,"Buy upgrade",$C$3:$C52,"Hunter Power")</f>
        <v/>
      </c>
      <c r="AF52">
        <f>COUNTIFS($B$3:$B52,"Buy upgrade",$C$3:$C52,"Bigger Hits")</f>
        <v/>
      </c>
      <c r="AG52">
        <f>COUNTIFS($B$3:$B52,"Buy upgrade",$C$3:$C52,"Swift Walk")</f>
        <v/>
      </c>
      <c r="AH52">
        <f>COUNTIFS($B$3:$B52,"Buy upgrade",$C$3:$C52,"Loot Luck")</f>
        <v/>
      </c>
      <c r="AI52">
        <f>COUNTIFS($B$3:$B52,"Buy upgrade",$C$3:$C52,"Offline Cap")</f>
        <v/>
      </c>
      <c r="AJ52">
        <f>COUNTIFS($B$3:$B52,"Buy upgrade",$C$3:$C52,"Bigger Food Stock")</f>
        <v/>
      </c>
      <c r="AK52">
        <f>COUNTIFS($B$3:$B52,"Buy upgrade",$C$3:$C52,"Food Efficiency")</f>
        <v/>
      </c>
    </row>
    <row r="53">
      <c r="A53" t="n">
        <v>51</v>
      </c>
      <c r="B53" s="6" t="n"/>
      <c r="C53" s="6" t="n"/>
      <c r="D53" s="6" t="n"/>
      <c r="E53" s="7">
        <f>IF(B53="","",IF(OR(B53="Hunt",B53="Go AFK"),IF(C53="","Can't","OK"),IF(B53="Fight boss",IF(I52&lt;IF((IFERROR(VLOOKUP(C53,Monsters!$T$4:$AH$15,15,FALSE),0))=0,120,IFERROR(VLOOKUP(C53,Monsters!$T$4:$AH$15,15,FALSE),0)),"Can't","OK"),IF(B53="Hire hunter",IF(AND(C53="Briar",AD52&gt;=1),"Can't",IF(H52&lt;IF(C53="Briar",140,IF(C53="Quill",3650,IF(C53="Moss",4850,IF(C53="Ember",12200,0)))),"Can't","OK")),IF(OR(B53="Buy upgrade",B53="Forge/Scrapwork buy"),IF(IFERROR(VLOOKUP(C53,Upgrades!$N$4:$T$47,2,FALSE),0)="points","Can't",IF(IFERROR(VLOOKUP(C53,Upgrades!$N$4:$T$47,2,FALSE),0)="gold",IF(H52&lt;IFERROR(FLOOR(IFERROR(VLOOKUP(C53,Upgrades!$N$4:$T$47,3,FALSE),0)*(IFERROR(VLOOKUP(C53,Upgrades!$N$4:$T$47,4,FALSE),0)^(COUNTIFS($B$3:$B52,"Buy upgrade",$C$3:$C52,C53)+COUNTIFS($B$3:$B52,"Hire hunter",$C$3:$C52,C53)+COUNTIFS($B$3:$B52,"Forge/Scrapwork buy",$C$3:$C52,C53))),1),0),"Can't","OK"),IF(IFERROR(VLOOKUP(C53,Upgrades!$N$4:$T$47,2,FALSE),0)="scraps",IF(J52&lt;IFERROR(FLOOR(IFERROR(VLOOKUP(C53,Upgrades!$N$4:$T$47,3,FALSE),0)*(IFERROR(VLOOKUP(C53,Upgrades!$N$4:$T$47,4,FALSE),0)^(COUNTIFS($B$3:$B52,"Buy upgrade",$C$3:$C52,C53)+COUNTIFS($B$3:$B52,"Hire hunter",$C$3:$C52,C53)+COUNTIFS($B$3:$B52,"Forge/Scrapwork buy",$C$3:$C52,C53))),1),0),"Can't","OK"),IF(IFERROR(VLOOKUP(C53,Upgrades!$N$4:$T$47,2,FALSE),0)="mats","Can't","OK")))),"Check")))))</f>
        <v/>
      </c>
      <c r="F53" s="7">
        <f>IF(B53="","",IF(AND(B53="Fight boss",I52&lt;IF((IFERROR(VLOOKUP(C53,Monsters!$T$4:$AH$15,15,FALSE),0))=0,120,IFERROR(VLOOKUP(C53,Monsters!$T$4:$AH$15,15,FALSE),0))),"Can't — need "&amp;TEXT(IF((IFERROR(VLOOKUP(C53,Monsters!$T$4:$AH$15,15,FALSE),0))=0,120,IFERROR(VLOOKUP(C53,Monsters!$T$4:$AH$15,15,FALSE),0))-I52,"0.0")&amp;" more Slayer points on the meter",IF(AND(B53="Hire hunter",C53="Briar",AD52&gt;=1),"Can't — already hired",IF(AND(B53="Hire hunter",H52&lt;IF(C53="Briar",140,IF(C53="Quill",3650,IF(C53="Moss",4850,IF(C53="Ember",12200,0))))),"Can't — need "&amp;TEXT(IF(C53="Briar",140,IF(C53="Quill",3650,IF(C53="Moss",4850,IF(C53="Ember",12200,0))))-H52,"0")&amp;" more gold",IF(AND(OR(B53="Buy upgrade",B53="Forge/Scrapwork buy"),IFERROR(VLOOKUP(C53,Upgrades!$N$4:$T$47,2,FALSE),0)="points"),"Can't — Sp-wallet spends not tracked here",IF(AND(OR(B53="Buy upgrade",B53="Forge/Scrapwork buy"),IFERROR(VLOOKUP(C53,Upgrades!$N$4:$T$47,2,FALSE),0)="gold",H52&lt;IFERROR(FLOOR(IFERROR(VLOOKUP(C53,Upgrades!$N$4:$T$47,3,FALSE),0)*(IFERROR(VLOOKUP(C53,Upgrades!$N$4:$T$47,4,FALSE),0)^(COUNTIFS($B$3:$B52,"Buy upgrade",$C$3:$C52,C53)+COUNTIFS($B$3:$B52,"Hire hunter",$C$3:$C52,C53)+COUNTIFS($B$3:$B52,"Forge/Scrapwork buy",$C$3:$C52,C53))),1),0)),"Can't — need "&amp;TEXT(IFERROR(FLOOR(IFERROR(VLOOKUP(C53,Upgrades!$N$4:$T$47,3,FALSE),0)*(IFERROR(VLOOKUP(C53,Upgrades!$N$4:$T$47,4,FALSE),0)^(COUNTIFS($B$3:$B52,"Buy upgrade",$C$3:$C52,C53)+COUNTIFS($B$3:$B52,"Hire hunter",$C$3:$C52,C53)+COUNTIFS($B$3:$B52,"Forge/Scrapwork buy",$C$3:$C52,C53))),1),0)-H52,"0")&amp;" more gold",IF(AND(OR(B53="Buy upgrade",B53="Forge/Scrapwork buy"),IFERROR(VLOOKUP(C53,Upgrades!$N$4:$T$47,2,FALSE),0)="scraps",J52&lt;IFERROR(FLOOR(IFERROR(VLOOKUP(C53,Upgrades!$N$4:$T$47,3,FALSE),0)*(IFERROR(VLOOKUP(C53,Upgrades!$N$4:$T$47,4,FALSE),0)^(COUNTIFS($B$3:$B52,"Buy upgrade",$C$3:$C52,C53)+COUNTIFS($B$3:$B52,"Hire hunter",$C$3:$C52,C53)+COUNTIFS($B$3:$B52,"Forge/Scrapwork buy",$C$3:$C52,C53))),1),0)),"Can't — need "&amp;TEXT(IFERROR(FLOOR(IFERROR(VLOOKUP(C53,Upgrades!$N$4:$T$47,3,FALSE),0)*(IFERROR(VLOOKUP(C53,Upgrades!$N$4:$T$47,4,FALSE),0)^(COUNTIFS($B$3:$B52,"Buy upgrade",$C$3:$C52,C53)+COUNTIFS($B$3:$B52,"Hire hunter",$C$3:$C52,C53)+COUNTIFS($B$3:$B52,"Forge/Scrapwork buy",$C$3:$C52,C53))),1),0)-J52,"0")&amp;" more scraps",IF(AND(B53="Fight boss",E53="OK",(IF((((105/'Rules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Formulas'!B12)),"WIN — boss down, next Level unlocks",IF(AND(B53="Fight boss",E53="OK"),"LOSE — TTK "&amp;TEXT(IF((((105/'Rules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Formulas'!B20*SQRT(1+0.55*(AG52&gt;=1))),0)))),"0")&amp;"s &gt; patience "&amp;TEXT('Rules &amp; Formulas'!B12,"0")&amp;"s (leave resets HP)",IF(B53="Go AFK","AFK resolved (see AFK counted h)","Applied")))))))))</f>
        <v/>
      </c>
      <c r="G53" s="7">
        <f>IF(AND((E53="OK"),B53="Fight boss",(IF((((105/'Rules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Formulas'!B12),C53="Elder Thornpelt"),2,IF(AND((E53="OK"),B53="Fight boss",(IF((((105/'Rules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Formulas'!B12),C53="Ashfang Alpha"),3,G52))</f>
        <v/>
      </c>
      <c r="H53" s="7">
        <f>MAX(0,H52+IF(AND((E53="OK"),B53="Hunt"),(IF(B53="Hunt",(('Rules &amp; Formulas'!B4*N52*('Rules &amp; Formulas'!B5+O52)*IFERROR(VLOOKUP(C53,Monsters!$T$4:$AH$15,10,FALSE),0)*IFERROR(VLOOKUP(C53,Monsters!$T$4:$AH$15,9,FALSE),0))*'Rules &amp; Formulas'!B6)*IF(D53="",0,D53),0))*(IFERROR(VLOOKUP(C53,Monsters!$T$4:$AH$15,3,FALSE),0))*(1+0.1*AH52)+(IF(OR(B53&lt;&gt;"Hunt",IFERROR(VLOOKUP(C53,Monsters!$T$4:$AH$15,6,FALSE),0)=0),0,FLOOR((IF(B53="Hunt",(('Rules &amp; Formulas'!B4*N52*('Rules &amp; Formulas'!B5+O52)*IFERROR(VLOOKUP(C53,Monsters!$T$4:$AH$15,10,FALSE),0)*IFERROR(VLOOKUP(C53,Monsters!$T$4:$AH$15,9,FALSE),0))*'Rules &amp; Formulas'!B6)*IF(D53="",0,D53),0))/MAX(1,IFERROR(VLOOKUP(C53,Monsters!$T$4:$AH$15,6,FALSE),0)),1)))*(IFERROR(VLOOKUP(C53,Monsters!$T$4:$AH$15,7,FALSE),0))*0.5*(1+0.1*AH52),0)+IF(AND((E53="OK"),B53="Go AFK"),(IF(B53="Go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AFK",IF(D53="",0,D53),0),Z52/60)*60)),0))*(IFERROR(VLOOKUP(C53,Monsters!$T$4:$AH$15,3,FALSE),0))*(1+0.1*AH52)+(IF(OR(B53&lt;&gt;"Go AFK",IFERROR(VLOOKUP(C53,Monsters!$T$4:$AH$15,6,FALSE),0)=0),0,FLOOR((IF(B53="Go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AFK",IF(D53="",0,D53),0),Z52/60)*60)),0))/MAX(1,IFERROR(VLOOKUP(C53,Monsters!$T$4:$AH$15,6,FALSE),0)),1)))*(IFERROR(VLOOKUP(C53,Monsters!$T$4:$AH$15,7,FALSE),0))*0.5*(1+0.1*AH52),0)+IF(AND((E53="OK"),B53="Fight boss",(IF((((105/'Rules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Formulas'!B12)),IFERROR(VLOOKUP(C53,Monsters!$T$4:$AH$15,3,FALSE),0),0)-IF(AND((E53="OK"),OR(B53="Buy upgrade",B53="Forge/Scrapwork buy"),IFERROR(VLOOKUP(C53,Upgrades!$N$4:$T$47,2,FALSE),0)="gold"),IFERROR(FLOOR(IFERROR(VLOOKUP(C53,Upgrades!$N$4:$T$47,3,FALSE),0)*(IFERROR(VLOOKUP(C53,Upgrades!$N$4:$T$47,4,FALSE),0)^(COUNTIFS($B$3:$B52,"Buy upgrade",$C$3:$C52,C53)+COUNTIFS($B$3:$B52,"Hire hunter",$C$3:$C52,C53)+COUNTIFS($B$3:$B52,"Forge/Scrapwork buy",$C$3:$C52,C53))),1),0),0)-IF(AND((E53="OK"),B53="Hire hunter"),IF(C53="Briar",140,IF(C53="Quill",3650,IF(C53="Moss",4850,IF(C53="Ember",12200,0)))),0))</f>
        <v/>
      </c>
      <c r="I53" s="7">
        <f>IF(AND((E53="OK"),B53="Fight boss",(IF((((105/'Rules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Formulas'!B12)),0,MIN(IF(G52&lt;=1,120,IF(G52=2,280,600)),I52+IF(AND((E53="OK"),B53="Hunt"),((IF(B53="Hunt",(('Rules &amp; Formulas'!B4*N52*('Rules &amp; Formulas'!B5+O52)*IFERROR(VLOOKUP(C53,Monsters!$T$4:$AH$15,10,FALSE),0)*IFERROR(VLOOKUP(C53,Monsters!$T$4:$AH$15,9,FALSE),0))*'Rules &amp; Formulas'!B6)*IF(D53="",0,D53),0))*(IFERROR(VLOOKUP(C53,Monsters!$T$4:$AH$15,4,FALSE),0))+(IF(OR(B53&lt;&gt;"Hunt",IFERROR(VLOOKUP(C53,Monsters!$T$4:$AH$15,6,FALSE),0)=0),0,FLOOR((IF(B53="Hunt",(('Rules &amp; Formulas'!B4*N52*('Rules &amp; Formulas'!B5+O52)*IFERROR(VLOOKUP(C53,Monsters!$T$4:$AH$15,10,FALSE),0)*IFERROR(VLOOKUP(C53,Monsters!$T$4:$AH$15,9,FALSE),0))*'Rules &amp; Formulas'!B6)*IF(D53="",0,D53),0))/MAX(1,IFERROR(VLOOKUP(C53,Monsters!$T$4:$AH$15,6,FALSE),0)),1)))*(IFERROR(VLOOKUP(C53,Monsters!$T$4:$AH$15,7,FALSE),0))),0)+IF(AND((E53="OK"),B53="Go AFK"),((IF(B53="Go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AFK",IF(D53="",0,D53),0),Z52/60)*60)),0))*(IFERROR(VLOOKUP(C53,Monsters!$T$4:$AH$15,4,FALSE),0))+(IF(OR(B53&lt;&gt;"Go AFK",IFERROR(VLOOKUP(C53,Monsters!$T$4:$AH$15,6,FALSE),0)=0),0,FLOOR((IF(B53="Go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AFK",IF(D53="",0,D53),0),Z52/60)*60)),0))/MAX(1,IFERROR(VLOOKUP(C53,Monsters!$T$4:$AH$15,6,FALSE),0)),1)))*(IFERROR(VLOOKUP(C53,Monsters!$T$4:$AH$15,7,FALSE),0))),0)))</f>
        <v/>
      </c>
      <c r="J53" s="7">
        <f>MAX(0,J52+IF(AND((E53="OK"),B53="Hunt"),(IF(B53="Hunt",(('Rules &amp; Formulas'!B4*N52*('Rules &amp; Formulas'!B5+O52)*IFERROR(VLOOKUP(C53,Monsters!$T$4:$AH$15,10,FALSE),0)*IFERROR(VLOOKUP(C53,Monsters!$T$4:$AH$15,9,FALSE),0))*'Rules &amp; Formulas'!B6)*IF(D53="",0,D53),0))*(IFERROR(VLOOKUP(C53,Monsters!$T$4:$AH$15,5,FALSE),0)),0)+IF(AND((E53="OK"),B53="Go AFK"),(IF(B53="Go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AFK",IF(D53="",0,D53),0),Z52/60)*60)),0))*(IFERROR(VLOOKUP(C53,Monsters!$T$4:$AH$15,5,FALSE),0)),0)-IF(AND((E53="OK"),OR(B53="Buy upgrade",B53="Forge/Scrapwork buy"),IFERROR(VLOOKUP(C53,Upgrades!$N$4:$T$47,2,FALSE),0)="scraps"),IFERROR(FLOOR(IFERROR(VLOOKUP(C53,Upgrades!$N$4:$T$47,3,FALSE),0)*(IFERROR(VLOOKUP(C53,Upgrades!$N$4:$T$47,4,FALSE),0)^(COUNTIFS($B$3:$B52,"Buy upgrade",$C$3:$C52,C53)+COUNTIFS($B$3:$B52,"Hire hunter",$C$3:$C52,C53)+COUNTIFS($B$3:$B52,"Forge/Scrapwork buy",$C$3:$C52,C53))),1),0),0))</f>
        <v/>
      </c>
      <c r="K53" s="7">
        <f>MAX(0,K52+IF(AND((E53="OK"),B53="Hunt"),IF(C53="Thornpelt Bear",(IF(B53="Hunt",(('Rules &amp; Formulas'!B4*N52*('Rules &amp; Formulas'!B5+O52)*IFERROR(VLOOKUP(C53,Monsters!$T$4:$AH$15,10,FALSE),0)*IFERROR(VLOOKUP(C53,Monsters!$T$4:$AH$15,9,FALSE),0))*'Rules &amp; Formulas'!B6)*IF(D53="",0,D53),0))*0.12,0),0)+IF(AND((E53="OK"),B53="Go AFK"),IF(C53="Thornpelt Bear",(IF(B53="Go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AFK",IF(D53="",0,D53),0),Z52/60)*60)),0))*0.12,0),0))</f>
        <v/>
      </c>
      <c r="L53" s="7">
        <f>MAX(0,L52+IF(AND((E53="OK"),B53="Hunt"),IF(C53="Dire Thornpelt",(IF(B53="Hunt",(('Rules &amp; Formulas'!B4*N52*('Rules &amp; Formulas'!B5+O52)*IFERROR(VLOOKUP(C53,Monsters!$T$4:$AH$15,10,FALSE),0)*IFERROR(VLOOKUP(C53,Monsters!$T$4:$AH$15,9,FALSE),0))*'Rules &amp; Formulas'!B6)*IF(D53="",0,D53),0))*0.1,0),0)+IF(AND((E53="OK"),B53="Go AFK"),IF(C53="Dire Thornpelt",(IF(B53="Go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AFK",IF(D53="",0,D53),0),Z52/60)*60)),0))*0.1,0),0))</f>
        <v/>
      </c>
      <c r="M53" s="7">
        <f>IF(AND((E53="OK"),B53="Go AFK"),MAX(0,MIN(('Rules &amp; Formulas'!B15+25*AJ52),M52+('Rules &amp; Formulas'!B14+0.4*AJ52)*(MIN(IF(B53="Go AFK",IF(D53="",0,D53),0),Z52/60)*60))-(IF(B53="Go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AFK",IF(D53="",0,D53),0),Z52/60)*60)),0))*(IF((IFERROR(VLOOKUP(C53,Monsters!$T$4:$AH$15,8,FALSE),0))=0,0.35,IFERROR(VLOOKUP(C53,Monsters!$T$4:$AH$15,8,FALSE),0))/(1+0.08*AK52))),MIN(('Rules &amp; Formulas'!B15+25*AJ53),M52))</f>
        <v/>
      </c>
      <c r="N53" s="7">
        <f>(1+0.08+0.12*AA53+0.12*AB53+0.16*AC53)</f>
        <v/>
      </c>
      <c r="O53" s="7">
        <f>((AD53&gt;=1)*1*(1+0.3*AE53))</f>
        <v/>
      </c>
      <c r="P53" s="7">
        <f>IF(OR(B53="Hunt",B53="Go AFK"),(('Rules &amp; Formulas'!B4*N52*('Rules &amp; Formulas'!B5+O52)*IFERROR(VLOOKUP(C53,Monsters!$T$4:$AH$15,10,FALSE),0)*IFERROR(VLOOKUP(C53,Monsters!$T$4:$AH$15,9,FALSE),0))*'Rules &amp; Formulas'!B6),"")</f>
        <v/>
      </c>
      <c r="Q53" s="7">
        <f>IF(OR(B53="Hunt",B53="Go AFK"),('Rules &amp; Formulas'!B4*N52*('Rules &amp; Formulas'!B5+O52)*IFERROR(VLOOKUP(C53,Monsters!$T$4:$AH$15,10,FALSE),0)*IFERROR(VLOOKUP(C53,Monsters!$T$4:$AH$15,9,FALSE),0)),"")</f>
        <v/>
      </c>
      <c r="R53" s="7">
        <f>IF(AND((E53="OK"),B53="Hunt"),IF(B53="Hunt",(('Rules &amp; Formulas'!B4*N52*('Rules &amp; Formulas'!B5+O52)*IFERROR(VLOOKUP(C53,Monsters!$T$4:$AH$15,10,FALSE),0)*IFERROR(VLOOKUP(C53,Monsters!$T$4:$AH$15,9,FALSE),0))*'Rules &amp; Formulas'!B6)*IF(D53="",0,D53),0),IF(AND((E53="OK"),B53="Go AFK"),IF(B53="Go AFK",MIN(IF((IF((IFERROR(VLOOKUP(C53,Monsters!$T$4:$AH$15,8,FALSE),0))=0,0.35,IFERROR(VLOOKUP(C53,Monsters!$T$4:$AH$15,8,FALSE),0))/(1+0.08*AK52))&lt;=0,999999,FLOOR(MIN(('Rules &amp; Formulas'!B15+25*AJ52),M52+('Rules &amp; Formulas'!B14+0.4*AJ52)*(MIN(IF(B53="Go AFK",IF(D53="",0,D53),0),Z52/60)*60))/(IF((IFERROR(VLOOKUP(C53,Monsters!$T$4:$AH$15,8,FALSE),0))=0,0.35,IFERROR(VLOOKUP(C53,Monsters!$T$4:$AH$15,8,FALSE),0))/(1+0.08*AK52)),1)),('Rules &amp; Formulas'!B4*N52*('Rules &amp; Formulas'!B5+O52)*IFERROR(VLOOKUP(C53,Monsters!$T$4:$AH$15,10,FALSE),0)*IFERROR(VLOOKUP(C53,Monsters!$T$4:$AH$15,9,FALSE),0))*(MIN(IF(B53="Go AFK",IF(D53="",0,D53),0),Z52/60)*60)),0),0))</f>
        <v/>
      </c>
      <c r="S53" s="7">
        <f>(105/'Rules &amp; Formulas'!B10)*'Rules &amp; Formulas'!B11</f>
        <v/>
      </c>
      <c r="T53" s="7">
        <f>IF(AD52&gt;=1,(MAX(1,ROUND('Rules &amp; Formulas'!B18*(1+0.3*AE52)*(1+0.4*AF52),0)))*(1000/'Rules &amp; Formulas'!B19)*MIN(0.95,'Rules &amp; Formulas'!B20*SQRT(1+0.55*(AG52&gt;=1))),0)</f>
        <v/>
      </c>
      <c r="U53" s="7">
        <f>S53+T53</f>
        <v/>
      </c>
      <c r="V53" s="7">
        <f>IF(I52&gt;=IF((IFERROR(VLOOKUP(C53,Monsters!$T$4:$AH$15,15,FALSE),0))=0,120,IFERROR(VLOOKUP(C53,Monsters!$T$4:$AH$15,15,FALSE),0)),"YES","no")</f>
        <v/>
      </c>
      <c r="W53" s="7">
        <f>IF(AND(B53="Fight boss",E53="OK"),IF((((105/'Rules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Formulas'!B20*SQRT(1+0.55*(AG52&gt;=1))),0)))),"")</f>
        <v/>
      </c>
      <c r="X53" s="7">
        <f>IF(AND(B53="Fight boss",E53="OK"),IF((IF((((105/'Rules &amp; Formulas'!B10)*'Rules &amp; Formulas'!B11+IF(AD52&gt;=1,(MAX(1,ROUND('Rules &amp; Formulas'!B18*(1+0.3*AE52)*(1+0.4*AF52),0)))*(1000/'Rules &amp; Formulas'!B19)*MIN(0.95,'Rules &amp; Formulas'!B20*SQRT(1+0.55*(AG52&gt;=1))),0)))&lt;=0,9999,(IFERROR(VLOOKUP(C53,Monsters!$T$4:$AH$15,2,FALSE),0))/(((105/'Rules &amp; Formulas'!B10)*'Rules &amp; Formulas'!B11+IF(AD52&gt;=1,(MAX(1,ROUND('Rules &amp; Formulas'!B18*(1+0.3*AE52)*(1+0.4*AF52),0)))*(1000/'Rules &amp; Formulas'!B19)*MIN(0.95,'Rules &amp; Formulas'!B20*SQRT(1+0.55*(AG52&gt;=1))),0))))&lt;='Rules &amp; Formulas'!B12),"WIN","LOSE"),"")</f>
        <v/>
      </c>
      <c r="Y53" s="7">
        <f>IF(B53="Go AFK",MIN(IF(B53="Go AFK",IF(D53="",0,D53),0),Z52/60),"")</f>
        <v/>
      </c>
      <c r="Z53" s="7">
        <f>('Rules &amp; Formulas'!B13+30*AI53)</f>
        <v/>
      </c>
      <c r="AA53">
        <f>COUNTIFS($B$3:$B53,"Buy upgrade",$C$3:$C53,"Idle Power")</f>
        <v/>
      </c>
      <c r="AB53">
        <f>COUNTIFS($B$3:$B53,"Buy upgrade",$C$3:$C53,"Iron Blade")</f>
        <v/>
      </c>
      <c r="AC53">
        <f>COUNTIFS($B$3:$B53,"Buy upgrade",$C$3:$C53,"Steel Blade")</f>
        <v/>
      </c>
      <c r="AD53">
        <f>COUNTIFS($B$3:$B53,"Hire hunter",$C$3:$C53,"Briar")+COUNTIFS($B$3:$B53,"Buy upgrade",$C$3:$C53,"Hire Briar")</f>
        <v/>
      </c>
      <c r="AE53">
        <f>COUNTIFS($B$3:$B53,"Buy upgrade",$C$3:$C53,"Hunter Power")</f>
        <v/>
      </c>
      <c r="AF53">
        <f>COUNTIFS($B$3:$B53,"Buy upgrade",$C$3:$C53,"Bigger Hits")</f>
        <v/>
      </c>
      <c r="AG53">
        <f>COUNTIFS($B$3:$B53,"Buy upgrade",$C$3:$C53,"Swift Walk")</f>
        <v/>
      </c>
      <c r="AH53">
        <f>COUNTIFS($B$3:$B53,"Buy upgrade",$C$3:$C53,"Loot Luck")</f>
        <v/>
      </c>
      <c r="AI53">
        <f>COUNTIFS($B$3:$B53,"Buy upgrade",$C$3:$C53,"Offline Cap")</f>
        <v/>
      </c>
      <c r="AJ53">
        <f>COUNTIFS($B$3:$B53,"Buy upgrade",$C$3:$C53,"Bigger Food Stock")</f>
        <v/>
      </c>
      <c r="AK53">
        <f>COUNTIFS($B$3:$B53,"Buy upgrade",$C$3:$C53,"Food Efficiency")</f>
        <v/>
      </c>
    </row>
    <row r="54">
      <c r="A54" t="n">
        <v>52</v>
      </c>
      <c r="B54" s="6" t="n"/>
      <c r="C54" s="6" t="n"/>
      <c r="D54" s="6" t="n"/>
      <c r="E54" s="7">
        <f>IF(B54="","",IF(OR(B54="Hunt",B54="Go AFK"),IF(C54="","Can't","OK"),IF(B54="Fight boss",IF(I53&lt;IF((IFERROR(VLOOKUP(C54,Monsters!$T$4:$AH$15,15,FALSE),0))=0,120,IFERROR(VLOOKUP(C54,Monsters!$T$4:$AH$15,15,FALSE),0)),"Can't","OK"),IF(B54="Hire hunter",IF(AND(C54="Briar",AD53&gt;=1),"Can't",IF(H53&lt;IF(C54="Briar",140,IF(C54="Quill",3650,IF(C54="Moss",4850,IF(C54="Ember",12200,0)))),"Can't","OK")),IF(OR(B54="Buy upgrade",B54="Forge/Scrapwork buy"),IF(IFERROR(VLOOKUP(C54,Upgrades!$N$4:$T$47,2,FALSE),0)="points","Can't",IF(IFERROR(VLOOKUP(C54,Upgrades!$N$4:$T$47,2,FALSE),0)="gold",IF(H53&lt;IFERROR(FLOOR(IFERROR(VLOOKUP(C54,Upgrades!$N$4:$T$47,3,FALSE),0)*(IFERROR(VLOOKUP(C54,Upgrades!$N$4:$T$47,4,FALSE),0)^(COUNTIFS($B$3:$B53,"Buy upgrade",$C$3:$C53,C54)+COUNTIFS($B$3:$B53,"Hire hunter",$C$3:$C53,C54)+COUNTIFS($B$3:$B53,"Forge/Scrapwork buy",$C$3:$C53,C54))),1),0),"Can't","OK"),IF(IFERROR(VLOOKUP(C54,Upgrades!$N$4:$T$47,2,FALSE),0)="scraps",IF(J53&lt;IFERROR(FLOOR(IFERROR(VLOOKUP(C54,Upgrades!$N$4:$T$47,3,FALSE),0)*(IFERROR(VLOOKUP(C54,Upgrades!$N$4:$T$47,4,FALSE),0)^(COUNTIFS($B$3:$B53,"Buy upgrade",$C$3:$C53,C54)+COUNTIFS($B$3:$B53,"Hire hunter",$C$3:$C53,C54)+COUNTIFS($B$3:$B53,"Forge/Scrapwork buy",$C$3:$C53,C54))),1),0),"Can't","OK"),IF(IFERROR(VLOOKUP(C54,Upgrades!$N$4:$T$47,2,FALSE),0)="mats","Can't","OK")))),"Check")))))</f>
        <v/>
      </c>
      <c r="F54" s="7">
        <f>IF(B54="","",IF(AND(B54="Fight boss",I53&lt;IF((IFERROR(VLOOKUP(C54,Monsters!$T$4:$AH$15,15,FALSE),0))=0,120,IFERROR(VLOOKUP(C54,Monsters!$T$4:$AH$15,15,FALSE),0))),"Can't — need "&amp;TEXT(IF((IFERROR(VLOOKUP(C54,Monsters!$T$4:$AH$15,15,FALSE),0))=0,120,IFERROR(VLOOKUP(C54,Monsters!$T$4:$AH$15,15,FALSE),0))-I53,"0.0")&amp;" more Slayer points on the meter",IF(AND(B54="Hire hunter",C54="Briar",AD53&gt;=1),"Can't — already hired",IF(AND(B54="Hire hunter",H53&lt;IF(C54="Briar",140,IF(C54="Quill",3650,IF(C54="Moss",4850,IF(C54="Ember",12200,0))))),"Can't — need "&amp;TEXT(IF(C54="Briar",140,IF(C54="Quill",3650,IF(C54="Moss",4850,IF(C54="Ember",12200,0))))-H53,"0")&amp;" more gold",IF(AND(OR(B54="Buy upgrade",B54="Forge/Scrapwork buy"),IFERROR(VLOOKUP(C54,Upgrades!$N$4:$T$47,2,FALSE),0)="points"),"Can't — Sp-wallet spends not tracked here",IF(AND(OR(B54="Buy upgrade",B54="Forge/Scrapwork buy"),IFERROR(VLOOKUP(C54,Upgrades!$N$4:$T$47,2,FALSE),0)="gold",H53&lt;IFERROR(FLOOR(IFERROR(VLOOKUP(C54,Upgrades!$N$4:$T$47,3,FALSE),0)*(IFERROR(VLOOKUP(C54,Upgrades!$N$4:$T$47,4,FALSE),0)^(COUNTIFS($B$3:$B53,"Buy upgrade",$C$3:$C53,C54)+COUNTIFS($B$3:$B53,"Hire hunter",$C$3:$C53,C54)+COUNTIFS($B$3:$B53,"Forge/Scrapwork buy",$C$3:$C53,C54))),1),0)),"Can't — need "&amp;TEXT(IFERROR(FLOOR(IFERROR(VLOOKUP(C54,Upgrades!$N$4:$T$47,3,FALSE),0)*(IFERROR(VLOOKUP(C54,Upgrades!$N$4:$T$47,4,FALSE),0)^(COUNTIFS($B$3:$B53,"Buy upgrade",$C$3:$C53,C54)+COUNTIFS($B$3:$B53,"Hire hunter",$C$3:$C53,C54)+COUNTIFS($B$3:$B53,"Forge/Scrapwork buy",$C$3:$C53,C54))),1),0)-H53,"0")&amp;" more gold",IF(AND(OR(B54="Buy upgrade",B54="Forge/Scrapwork buy"),IFERROR(VLOOKUP(C54,Upgrades!$N$4:$T$47,2,FALSE),0)="scraps",J53&lt;IFERROR(FLOOR(IFERROR(VLOOKUP(C54,Upgrades!$N$4:$T$47,3,FALSE),0)*(IFERROR(VLOOKUP(C54,Upgrades!$N$4:$T$47,4,FALSE),0)^(COUNTIFS($B$3:$B53,"Buy upgrade",$C$3:$C53,C54)+COUNTIFS($B$3:$B53,"Hire hunter",$C$3:$C53,C54)+COUNTIFS($B$3:$B53,"Forge/Scrapwork buy",$C$3:$C53,C54))),1),0)),"Can't — need "&amp;TEXT(IFERROR(FLOOR(IFERROR(VLOOKUP(C54,Upgrades!$N$4:$T$47,3,FALSE),0)*(IFERROR(VLOOKUP(C54,Upgrades!$N$4:$T$47,4,FALSE),0)^(COUNTIFS($B$3:$B53,"Buy upgrade",$C$3:$C53,C54)+COUNTIFS($B$3:$B53,"Hire hunter",$C$3:$C53,C54)+COUNTIFS($B$3:$B53,"Forge/Scrapwork buy",$C$3:$C53,C54))),1),0)-J53,"0")&amp;" more scraps",IF(AND(B54="Fight boss",E54="OK",(IF((((105/'Rules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Formulas'!B12)),"WIN — boss down, next Level unlocks",IF(AND(B54="Fight boss",E54="OK"),"LOSE — TTK "&amp;TEXT(IF((((105/'Rules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Formulas'!B20*SQRT(1+0.55*(AG53&gt;=1))),0)))),"0")&amp;"s &gt; patience "&amp;TEXT('Rules &amp; Formulas'!B12,"0")&amp;"s (leave resets HP)",IF(B54="Go AFK","AFK resolved (see AFK counted h)","Applied")))))))))</f>
        <v/>
      </c>
      <c r="G54" s="7">
        <f>IF(AND((E54="OK"),B54="Fight boss",(IF((((105/'Rules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Formulas'!B12),C54="Elder Thornpelt"),2,IF(AND((E54="OK"),B54="Fight boss",(IF((((105/'Rules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Formulas'!B12),C54="Ashfang Alpha"),3,G53))</f>
        <v/>
      </c>
      <c r="H54" s="7">
        <f>MAX(0,H53+IF(AND((E54="OK"),B54="Hunt"),(IF(B54="Hunt",(('Rules &amp; Formulas'!B4*N53*('Rules &amp; Formulas'!B5+O53)*IFERROR(VLOOKUP(C54,Monsters!$T$4:$AH$15,10,FALSE),0)*IFERROR(VLOOKUP(C54,Monsters!$T$4:$AH$15,9,FALSE),0))*'Rules &amp; Formulas'!B6)*IF(D54="",0,D54),0))*(IFERROR(VLOOKUP(C54,Monsters!$T$4:$AH$15,3,FALSE),0))*(1+0.1*AH53)+(IF(OR(B54&lt;&gt;"Hunt",IFERROR(VLOOKUP(C54,Monsters!$T$4:$AH$15,6,FALSE),0)=0),0,FLOOR((IF(B54="Hunt",(('Rules &amp; Formulas'!B4*N53*('Rules &amp; Formulas'!B5+O53)*IFERROR(VLOOKUP(C54,Monsters!$T$4:$AH$15,10,FALSE),0)*IFERROR(VLOOKUP(C54,Monsters!$T$4:$AH$15,9,FALSE),0))*'Rules &amp; Formulas'!B6)*IF(D54="",0,D54),0))/MAX(1,IFERROR(VLOOKUP(C54,Monsters!$T$4:$AH$15,6,FALSE),0)),1)))*(IFERROR(VLOOKUP(C54,Monsters!$T$4:$AH$15,7,FALSE),0))*0.5*(1+0.1*AH53),0)+IF(AND((E54="OK"),B54="Go AFK"),(IF(B54="Go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AFK",IF(D54="",0,D54),0),Z53/60)*60)),0))*(IFERROR(VLOOKUP(C54,Monsters!$T$4:$AH$15,3,FALSE),0))*(1+0.1*AH53)+(IF(OR(B54&lt;&gt;"Go AFK",IFERROR(VLOOKUP(C54,Monsters!$T$4:$AH$15,6,FALSE),0)=0),0,FLOOR((IF(B54="Go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AFK",IF(D54="",0,D54),0),Z53/60)*60)),0))/MAX(1,IFERROR(VLOOKUP(C54,Monsters!$T$4:$AH$15,6,FALSE),0)),1)))*(IFERROR(VLOOKUP(C54,Monsters!$T$4:$AH$15,7,FALSE),0))*0.5*(1+0.1*AH53),0)+IF(AND((E54="OK"),B54="Fight boss",(IF((((105/'Rules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Formulas'!B12)),IFERROR(VLOOKUP(C54,Monsters!$T$4:$AH$15,3,FALSE),0),0)-IF(AND((E54="OK"),OR(B54="Buy upgrade",B54="Forge/Scrapwork buy"),IFERROR(VLOOKUP(C54,Upgrades!$N$4:$T$47,2,FALSE),0)="gold"),IFERROR(FLOOR(IFERROR(VLOOKUP(C54,Upgrades!$N$4:$T$47,3,FALSE),0)*(IFERROR(VLOOKUP(C54,Upgrades!$N$4:$T$47,4,FALSE),0)^(COUNTIFS($B$3:$B53,"Buy upgrade",$C$3:$C53,C54)+COUNTIFS($B$3:$B53,"Hire hunter",$C$3:$C53,C54)+COUNTIFS($B$3:$B53,"Forge/Scrapwork buy",$C$3:$C53,C54))),1),0),0)-IF(AND((E54="OK"),B54="Hire hunter"),IF(C54="Briar",140,IF(C54="Quill",3650,IF(C54="Moss",4850,IF(C54="Ember",12200,0)))),0))</f>
        <v/>
      </c>
      <c r="I54" s="7">
        <f>IF(AND((E54="OK"),B54="Fight boss",(IF((((105/'Rules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Formulas'!B12)),0,MIN(IF(G53&lt;=1,120,IF(G53=2,280,600)),I53+IF(AND((E54="OK"),B54="Hunt"),((IF(B54="Hunt",(('Rules &amp; Formulas'!B4*N53*('Rules &amp; Formulas'!B5+O53)*IFERROR(VLOOKUP(C54,Monsters!$T$4:$AH$15,10,FALSE),0)*IFERROR(VLOOKUP(C54,Monsters!$T$4:$AH$15,9,FALSE),0))*'Rules &amp; Formulas'!B6)*IF(D54="",0,D54),0))*(IFERROR(VLOOKUP(C54,Monsters!$T$4:$AH$15,4,FALSE),0))+(IF(OR(B54&lt;&gt;"Hunt",IFERROR(VLOOKUP(C54,Monsters!$T$4:$AH$15,6,FALSE),0)=0),0,FLOOR((IF(B54="Hunt",(('Rules &amp; Formulas'!B4*N53*('Rules &amp; Formulas'!B5+O53)*IFERROR(VLOOKUP(C54,Monsters!$T$4:$AH$15,10,FALSE),0)*IFERROR(VLOOKUP(C54,Monsters!$T$4:$AH$15,9,FALSE),0))*'Rules &amp; Formulas'!B6)*IF(D54="",0,D54),0))/MAX(1,IFERROR(VLOOKUP(C54,Monsters!$T$4:$AH$15,6,FALSE),0)),1)))*(IFERROR(VLOOKUP(C54,Monsters!$T$4:$AH$15,7,FALSE),0))),0)+IF(AND((E54="OK"),B54="Go AFK"),((IF(B54="Go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AFK",IF(D54="",0,D54),0),Z53/60)*60)),0))*(IFERROR(VLOOKUP(C54,Monsters!$T$4:$AH$15,4,FALSE),0))+(IF(OR(B54&lt;&gt;"Go AFK",IFERROR(VLOOKUP(C54,Monsters!$T$4:$AH$15,6,FALSE),0)=0),0,FLOOR((IF(B54="Go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AFK",IF(D54="",0,D54),0),Z53/60)*60)),0))/MAX(1,IFERROR(VLOOKUP(C54,Monsters!$T$4:$AH$15,6,FALSE),0)),1)))*(IFERROR(VLOOKUP(C54,Monsters!$T$4:$AH$15,7,FALSE),0))),0)))</f>
        <v/>
      </c>
      <c r="J54" s="7">
        <f>MAX(0,J53+IF(AND((E54="OK"),B54="Hunt"),(IF(B54="Hunt",(('Rules &amp; Formulas'!B4*N53*('Rules &amp; Formulas'!B5+O53)*IFERROR(VLOOKUP(C54,Monsters!$T$4:$AH$15,10,FALSE),0)*IFERROR(VLOOKUP(C54,Monsters!$T$4:$AH$15,9,FALSE),0))*'Rules &amp; Formulas'!B6)*IF(D54="",0,D54),0))*(IFERROR(VLOOKUP(C54,Monsters!$T$4:$AH$15,5,FALSE),0)),0)+IF(AND((E54="OK"),B54="Go AFK"),(IF(B54="Go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AFK",IF(D54="",0,D54),0),Z53/60)*60)),0))*(IFERROR(VLOOKUP(C54,Monsters!$T$4:$AH$15,5,FALSE),0)),0)-IF(AND((E54="OK"),OR(B54="Buy upgrade",B54="Forge/Scrapwork buy"),IFERROR(VLOOKUP(C54,Upgrades!$N$4:$T$47,2,FALSE),0)="scraps"),IFERROR(FLOOR(IFERROR(VLOOKUP(C54,Upgrades!$N$4:$T$47,3,FALSE),0)*(IFERROR(VLOOKUP(C54,Upgrades!$N$4:$T$47,4,FALSE),0)^(COUNTIFS($B$3:$B53,"Buy upgrade",$C$3:$C53,C54)+COUNTIFS($B$3:$B53,"Hire hunter",$C$3:$C53,C54)+COUNTIFS($B$3:$B53,"Forge/Scrapwork buy",$C$3:$C53,C54))),1),0),0))</f>
        <v/>
      </c>
      <c r="K54" s="7">
        <f>MAX(0,K53+IF(AND((E54="OK"),B54="Hunt"),IF(C54="Thornpelt Bear",(IF(B54="Hunt",(('Rules &amp; Formulas'!B4*N53*('Rules &amp; Formulas'!B5+O53)*IFERROR(VLOOKUP(C54,Monsters!$T$4:$AH$15,10,FALSE),0)*IFERROR(VLOOKUP(C54,Monsters!$T$4:$AH$15,9,FALSE),0))*'Rules &amp; Formulas'!B6)*IF(D54="",0,D54),0))*0.12,0),0)+IF(AND((E54="OK"),B54="Go AFK"),IF(C54="Thornpelt Bear",(IF(B54="Go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AFK",IF(D54="",0,D54),0),Z53/60)*60)),0))*0.12,0),0))</f>
        <v/>
      </c>
      <c r="L54" s="7">
        <f>MAX(0,L53+IF(AND((E54="OK"),B54="Hunt"),IF(C54="Dire Thornpelt",(IF(B54="Hunt",(('Rules &amp; Formulas'!B4*N53*('Rules &amp; Formulas'!B5+O53)*IFERROR(VLOOKUP(C54,Monsters!$T$4:$AH$15,10,FALSE),0)*IFERROR(VLOOKUP(C54,Monsters!$T$4:$AH$15,9,FALSE),0))*'Rules &amp; Formulas'!B6)*IF(D54="",0,D54),0))*0.1,0),0)+IF(AND((E54="OK"),B54="Go AFK"),IF(C54="Dire Thornpelt",(IF(B54="Go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AFK",IF(D54="",0,D54),0),Z53/60)*60)),0))*0.1,0),0))</f>
        <v/>
      </c>
      <c r="M54" s="7">
        <f>IF(AND((E54="OK"),B54="Go AFK"),MAX(0,MIN(('Rules &amp; Formulas'!B15+25*AJ53),M53+('Rules &amp; Formulas'!B14+0.4*AJ53)*(MIN(IF(B54="Go AFK",IF(D54="",0,D54),0),Z53/60)*60))-(IF(B54="Go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AFK",IF(D54="",0,D54),0),Z53/60)*60)),0))*(IF((IFERROR(VLOOKUP(C54,Monsters!$T$4:$AH$15,8,FALSE),0))=0,0.35,IFERROR(VLOOKUP(C54,Monsters!$T$4:$AH$15,8,FALSE),0))/(1+0.08*AK53))),MIN(('Rules &amp; Formulas'!B15+25*AJ54),M53))</f>
        <v/>
      </c>
      <c r="N54" s="7">
        <f>(1+0.08+0.12*AA54+0.12*AB54+0.16*AC54)</f>
        <v/>
      </c>
      <c r="O54" s="7">
        <f>((AD54&gt;=1)*1*(1+0.3*AE54))</f>
        <v/>
      </c>
      <c r="P54" s="7">
        <f>IF(OR(B54="Hunt",B54="Go AFK"),(('Rules &amp; Formulas'!B4*N53*('Rules &amp; Formulas'!B5+O53)*IFERROR(VLOOKUP(C54,Monsters!$T$4:$AH$15,10,FALSE),0)*IFERROR(VLOOKUP(C54,Monsters!$T$4:$AH$15,9,FALSE),0))*'Rules &amp; Formulas'!B6),"")</f>
        <v/>
      </c>
      <c r="Q54" s="7">
        <f>IF(OR(B54="Hunt",B54="Go AFK"),('Rules &amp; Formulas'!B4*N53*('Rules &amp; Formulas'!B5+O53)*IFERROR(VLOOKUP(C54,Monsters!$T$4:$AH$15,10,FALSE),0)*IFERROR(VLOOKUP(C54,Monsters!$T$4:$AH$15,9,FALSE),0)),"")</f>
        <v/>
      </c>
      <c r="R54" s="7">
        <f>IF(AND((E54="OK"),B54="Hunt"),IF(B54="Hunt",(('Rules &amp; Formulas'!B4*N53*('Rules &amp; Formulas'!B5+O53)*IFERROR(VLOOKUP(C54,Monsters!$T$4:$AH$15,10,FALSE),0)*IFERROR(VLOOKUP(C54,Monsters!$T$4:$AH$15,9,FALSE),0))*'Rules &amp; Formulas'!B6)*IF(D54="",0,D54),0),IF(AND((E54="OK"),B54="Go AFK"),IF(B54="Go AFK",MIN(IF((IF((IFERROR(VLOOKUP(C54,Monsters!$T$4:$AH$15,8,FALSE),0))=0,0.35,IFERROR(VLOOKUP(C54,Monsters!$T$4:$AH$15,8,FALSE),0))/(1+0.08*AK53))&lt;=0,999999,FLOOR(MIN(('Rules &amp; Formulas'!B15+25*AJ53),M53+('Rules &amp; Formulas'!B14+0.4*AJ53)*(MIN(IF(B54="Go AFK",IF(D54="",0,D54),0),Z53/60)*60))/(IF((IFERROR(VLOOKUP(C54,Monsters!$T$4:$AH$15,8,FALSE),0))=0,0.35,IFERROR(VLOOKUP(C54,Monsters!$T$4:$AH$15,8,FALSE),0))/(1+0.08*AK53)),1)),('Rules &amp; Formulas'!B4*N53*('Rules &amp; Formulas'!B5+O53)*IFERROR(VLOOKUP(C54,Monsters!$T$4:$AH$15,10,FALSE),0)*IFERROR(VLOOKUP(C54,Monsters!$T$4:$AH$15,9,FALSE),0))*(MIN(IF(B54="Go AFK",IF(D54="",0,D54),0),Z53/60)*60)),0),0))</f>
        <v/>
      </c>
      <c r="S54" s="7">
        <f>(105/'Rules &amp; Formulas'!B10)*'Rules &amp; Formulas'!B11</f>
        <v/>
      </c>
      <c r="T54" s="7">
        <f>IF(AD53&gt;=1,(MAX(1,ROUND('Rules &amp; Formulas'!B18*(1+0.3*AE53)*(1+0.4*AF53),0)))*(1000/'Rules &amp; Formulas'!B19)*MIN(0.95,'Rules &amp; Formulas'!B20*SQRT(1+0.55*(AG53&gt;=1))),0)</f>
        <v/>
      </c>
      <c r="U54" s="7">
        <f>S54+T54</f>
        <v/>
      </c>
      <c r="V54" s="7">
        <f>IF(I53&gt;=IF((IFERROR(VLOOKUP(C54,Monsters!$T$4:$AH$15,15,FALSE),0))=0,120,IFERROR(VLOOKUP(C54,Monsters!$T$4:$AH$15,15,FALSE),0)),"YES","no")</f>
        <v/>
      </c>
      <c r="W54" s="7">
        <f>IF(AND(B54="Fight boss",E54="OK"),IF((((105/'Rules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Formulas'!B20*SQRT(1+0.55*(AG53&gt;=1))),0)))),"")</f>
        <v/>
      </c>
      <c r="X54" s="7">
        <f>IF(AND(B54="Fight boss",E54="OK"),IF((IF((((105/'Rules &amp; Formulas'!B10)*'Rules &amp; Formulas'!B11+IF(AD53&gt;=1,(MAX(1,ROUND('Rules &amp; Formulas'!B18*(1+0.3*AE53)*(1+0.4*AF53),0)))*(1000/'Rules &amp; Formulas'!B19)*MIN(0.95,'Rules &amp; Formulas'!B20*SQRT(1+0.55*(AG53&gt;=1))),0)))&lt;=0,9999,(IFERROR(VLOOKUP(C54,Monsters!$T$4:$AH$15,2,FALSE),0))/(((105/'Rules &amp; Formulas'!B10)*'Rules &amp; Formulas'!B11+IF(AD53&gt;=1,(MAX(1,ROUND('Rules &amp; Formulas'!B18*(1+0.3*AE53)*(1+0.4*AF53),0)))*(1000/'Rules &amp; Formulas'!B19)*MIN(0.95,'Rules &amp; Formulas'!B20*SQRT(1+0.55*(AG53&gt;=1))),0))))&lt;='Rules &amp; Formulas'!B12),"WIN","LOSE"),"")</f>
        <v/>
      </c>
      <c r="Y54" s="7">
        <f>IF(B54="Go AFK",MIN(IF(B54="Go AFK",IF(D54="",0,D54),0),Z53/60),"")</f>
        <v/>
      </c>
      <c r="Z54" s="7">
        <f>('Rules &amp; Formulas'!B13+30*AI54)</f>
        <v/>
      </c>
      <c r="AA54">
        <f>COUNTIFS($B$3:$B54,"Buy upgrade",$C$3:$C54,"Idle Power")</f>
        <v/>
      </c>
      <c r="AB54">
        <f>COUNTIFS($B$3:$B54,"Buy upgrade",$C$3:$C54,"Iron Blade")</f>
        <v/>
      </c>
      <c r="AC54">
        <f>COUNTIFS($B$3:$B54,"Buy upgrade",$C$3:$C54,"Steel Blade")</f>
        <v/>
      </c>
      <c r="AD54">
        <f>COUNTIFS($B$3:$B54,"Hire hunter",$C$3:$C54,"Briar")+COUNTIFS($B$3:$B54,"Buy upgrade",$C$3:$C54,"Hire Briar")</f>
        <v/>
      </c>
      <c r="AE54">
        <f>COUNTIFS($B$3:$B54,"Buy upgrade",$C$3:$C54,"Hunter Power")</f>
        <v/>
      </c>
      <c r="AF54">
        <f>COUNTIFS($B$3:$B54,"Buy upgrade",$C$3:$C54,"Bigger Hits")</f>
        <v/>
      </c>
      <c r="AG54">
        <f>COUNTIFS($B$3:$B54,"Buy upgrade",$C$3:$C54,"Swift Walk")</f>
        <v/>
      </c>
      <c r="AH54">
        <f>COUNTIFS($B$3:$B54,"Buy upgrade",$C$3:$C54,"Loot Luck")</f>
        <v/>
      </c>
      <c r="AI54">
        <f>COUNTIFS($B$3:$B54,"Buy upgrade",$C$3:$C54,"Offline Cap")</f>
        <v/>
      </c>
      <c r="AJ54">
        <f>COUNTIFS($B$3:$B54,"Buy upgrade",$C$3:$C54,"Bigger Food Stock")</f>
        <v/>
      </c>
      <c r="AK54">
        <f>COUNTIFS($B$3:$B54,"Buy upgrade",$C$3:$C54,"Food Efficiency")</f>
        <v/>
      </c>
    </row>
    <row r="55">
      <c r="A55" t="n">
        <v>53</v>
      </c>
      <c r="B55" s="6" t="n"/>
      <c r="C55" s="6" t="n"/>
      <c r="D55" s="6" t="n"/>
      <c r="E55" s="7">
        <f>IF(B55="","",IF(OR(B55="Hunt",B55="Go AFK"),IF(C55="","Can't","OK"),IF(B55="Fight boss",IF(I54&lt;IF((IFERROR(VLOOKUP(C55,Monsters!$T$4:$AH$15,15,FALSE),0))=0,120,IFERROR(VLOOKUP(C55,Monsters!$T$4:$AH$15,15,FALSE),0)),"Can't","OK"),IF(B55="Hire hunter",IF(AND(C55="Briar",AD54&gt;=1),"Can't",IF(H54&lt;IF(C55="Briar",140,IF(C55="Quill",3650,IF(C55="Moss",4850,IF(C55="Ember",12200,0)))),"Can't","OK")),IF(OR(B55="Buy upgrade",B55="Forge/Scrapwork buy"),IF(IFERROR(VLOOKUP(C55,Upgrades!$N$4:$T$47,2,FALSE),0)="points","Can't",IF(IFERROR(VLOOKUP(C55,Upgrades!$N$4:$T$47,2,FALSE),0)="gold",IF(H54&lt;IFERROR(FLOOR(IFERROR(VLOOKUP(C55,Upgrades!$N$4:$T$47,3,FALSE),0)*(IFERROR(VLOOKUP(C55,Upgrades!$N$4:$T$47,4,FALSE),0)^(COUNTIFS($B$3:$B54,"Buy upgrade",$C$3:$C54,C55)+COUNTIFS($B$3:$B54,"Hire hunter",$C$3:$C54,C55)+COUNTIFS($B$3:$B54,"Forge/Scrapwork buy",$C$3:$C54,C55))),1),0),"Can't","OK"),IF(IFERROR(VLOOKUP(C55,Upgrades!$N$4:$T$47,2,FALSE),0)="scraps",IF(J54&lt;IFERROR(FLOOR(IFERROR(VLOOKUP(C55,Upgrades!$N$4:$T$47,3,FALSE),0)*(IFERROR(VLOOKUP(C55,Upgrades!$N$4:$T$47,4,FALSE),0)^(COUNTIFS($B$3:$B54,"Buy upgrade",$C$3:$C54,C55)+COUNTIFS($B$3:$B54,"Hire hunter",$C$3:$C54,C55)+COUNTIFS($B$3:$B54,"Forge/Scrapwork buy",$C$3:$C54,C55))),1),0),"Can't","OK"),IF(IFERROR(VLOOKUP(C55,Upgrades!$N$4:$T$47,2,FALSE),0)="mats","Can't","OK")))),"Check")))))</f>
        <v/>
      </c>
      <c r="F55" s="7">
        <f>IF(B55="","",IF(AND(B55="Fight boss",I54&lt;IF((IFERROR(VLOOKUP(C55,Monsters!$T$4:$AH$15,15,FALSE),0))=0,120,IFERROR(VLOOKUP(C55,Monsters!$T$4:$AH$15,15,FALSE),0))),"Can't — need "&amp;TEXT(IF((IFERROR(VLOOKUP(C55,Monsters!$T$4:$AH$15,15,FALSE),0))=0,120,IFERROR(VLOOKUP(C55,Monsters!$T$4:$AH$15,15,FALSE),0))-I54,"0.0")&amp;" more Slayer points on the meter",IF(AND(B55="Hire hunter",C55="Briar",AD54&gt;=1),"Can't — already hired",IF(AND(B55="Hire hunter",H54&lt;IF(C55="Briar",140,IF(C55="Quill",3650,IF(C55="Moss",4850,IF(C55="Ember",12200,0))))),"Can't — need "&amp;TEXT(IF(C55="Briar",140,IF(C55="Quill",3650,IF(C55="Moss",4850,IF(C55="Ember",12200,0))))-H54,"0")&amp;" more gold",IF(AND(OR(B55="Buy upgrade",B55="Forge/Scrapwork buy"),IFERROR(VLOOKUP(C55,Upgrades!$N$4:$T$47,2,FALSE),0)="points"),"Can't — Sp-wallet spends not tracked here",IF(AND(OR(B55="Buy upgrade",B55="Forge/Scrapwork buy"),IFERROR(VLOOKUP(C55,Upgrades!$N$4:$T$47,2,FALSE),0)="gold",H54&lt;IFERROR(FLOOR(IFERROR(VLOOKUP(C55,Upgrades!$N$4:$T$47,3,FALSE),0)*(IFERROR(VLOOKUP(C55,Upgrades!$N$4:$T$47,4,FALSE),0)^(COUNTIFS($B$3:$B54,"Buy upgrade",$C$3:$C54,C55)+COUNTIFS($B$3:$B54,"Hire hunter",$C$3:$C54,C55)+COUNTIFS($B$3:$B54,"Forge/Scrapwork buy",$C$3:$C54,C55))),1),0)),"Can't — need "&amp;TEXT(IFERROR(FLOOR(IFERROR(VLOOKUP(C55,Upgrades!$N$4:$T$47,3,FALSE),0)*(IFERROR(VLOOKUP(C55,Upgrades!$N$4:$T$47,4,FALSE),0)^(COUNTIFS($B$3:$B54,"Buy upgrade",$C$3:$C54,C55)+COUNTIFS($B$3:$B54,"Hire hunter",$C$3:$C54,C55)+COUNTIFS($B$3:$B54,"Forge/Scrapwork buy",$C$3:$C54,C55))),1),0)-H54,"0")&amp;" more gold",IF(AND(OR(B55="Buy upgrade",B55="Forge/Scrapwork buy"),IFERROR(VLOOKUP(C55,Upgrades!$N$4:$T$47,2,FALSE),0)="scraps",J54&lt;IFERROR(FLOOR(IFERROR(VLOOKUP(C55,Upgrades!$N$4:$T$47,3,FALSE),0)*(IFERROR(VLOOKUP(C55,Upgrades!$N$4:$T$47,4,FALSE),0)^(COUNTIFS($B$3:$B54,"Buy upgrade",$C$3:$C54,C55)+COUNTIFS($B$3:$B54,"Hire hunter",$C$3:$C54,C55)+COUNTIFS($B$3:$B54,"Forge/Scrapwork buy",$C$3:$C54,C55))),1),0)),"Can't — need "&amp;TEXT(IFERROR(FLOOR(IFERROR(VLOOKUP(C55,Upgrades!$N$4:$T$47,3,FALSE),0)*(IFERROR(VLOOKUP(C55,Upgrades!$N$4:$T$47,4,FALSE),0)^(COUNTIFS($B$3:$B54,"Buy upgrade",$C$3:$C54,C55)+COUNTIFS($B$3:$B54,"Hire hunter",$C$3:$C54,C55)+COUNTIFS($B$3:$B54,"Forge/Scrapwork buy",$C$3:$C54,C55))),1),0)-J54,"0")&amp;" more scraps",IF(AND(B55="Fight boss",E55="OK",(IF((((105/'Rules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Formulas'!B12)),"WIN — boss down, next Level unlocks",IF(AND(B55="Fight boss",E55="OK"),"LOSE — TTK "&amp;TEXT(IF((((105/'Rules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Formulas'!B20*SQRT(1+0.55*(AG54&gt;=1))),0)))),"0")&amp;"s &gt; patience "&amp;TEXT('Rules &amp; Formulas'!B12,"0")&amp;"s (leave resets HP)",IF(B55="Go AFK","AFK resolved (see AFK counted h)","Applied")))))))))</f>
        <v/>
      </c>
      <c r="G55" s="7">
        <f>IF(AND((E55="OK"),B55="Fight boss",(IF((((105/'Rules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Formulas'!B12),C55="Elder Thornpelt"),2,IF(AND((E55="OK"),B55="Fight boss",(IF((((105/'Rules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Formulas'!B12),C55="Ashfang Alpha"),3,G54))</f>
        <v/>
      </c>
      <c r="H55" s="7">
        <f>MAX(0,H54+IF(AND((E55="OK"),B55="Hunt"),(IF(B55="Hunt",(('Rules &amp; Formulas'!B4*N54*('Rules &amp; Formulas'!B5+O54)*IFERROR(VLOOKUP(C55,Monsters!$T$4:$AH$15,10,FALSE),0)*IFERROR(VLOOKUP(C55,Monsters!$T$4:$AH$15,9,FALSE),0))*'Rules &amp; Formulas'!B6)*IF(D55="",0,D55),0))*(IFERROR(VLOOKUP(C55,Monsters!$T$4:$AH$15,3,FALSE),0))*(1+0.1*AH54)+(IF(OR(B55&lt;&gt;"Hunt",IFERROR(VLOOKUP(C55,Monsters!$T$4:$AH$15,6,FALSE),0)=0),0,FLOOR((IF(B55="Hunt",(('Rules &amp; Formulas'!B4*N54*('Rules &amp; Formulas'!B5+O54)*IFERROR(VLOOKUP(C55,Monsters!$T$4:$AH$15,10,FALSE),0)*IFERROR(VLOOKUP(C55,Monsters!$T$4:$AH$15,9,FALSE),0))*'Rules &amp; Formulas'!B6)*IF(D55="",0,D55),0))/MAX(1,IFERROR(VLOOKUP(C55,Monsters!$T$4:$AH$15,6,FALSE),0)),1)))*(IFERROR(VLOOKUP(C55,Monsters!$T$4:$AH$15,7,FALSE),0))*0.5*(1+0.1*AH54),0)+IF(AND((E55="OK"),B55="Go AFK"),(IF(B55="Go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AFK",IF(D55="",0,D55),0),Z54/60)*60)),0))*(IFERROR(VLOOKUP(C55,Monsters!$T$4:$AH$15,3,FALSE),0))*(1+0.1*AH54)+(IF(OR(B55&lt;&gt;"Go AFK",IFERROR(VLOOKUP(C55,Monsters!$T$4:$AH$15,6,FALSE),0)=0),0,FLOOR((IF(B55="Go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AFK",IF(D55="",0,D55),0),Z54/60)*60)),0))/MAX(1,IFERROR(VLOOKUP(C55,Monsters!$T$4:$AH$15,6,FALSE),0)),1)))*(IFERROR(VLOOKUP(C55,Monsters!$T$4:$AH$15,7,FALSE),0))*0.5*(1+0.1*AH54),0)+IF(AND((E55="OK"),B55="Fight boss",(IF((((105/'Rules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Formulas'!B12)),IFERROR(VLOOKUP(C55,Monsters!$T$4:$AH$15,3,FALSE),0),0)-IF(AND((E55="OK"),OR(B55="Buy upgrade",B55="Forge/Scrapwork buy"),IFERROR(VLOOKUP(C55,Upgrades!$N$4:$T$47,2,FALSE),0)="gold"),IFERROR(FLOOR(IFERROR(VLOOKUP(C55,Upgrades!$N$4:$T$47,3,FALSE),0)*(IFERROR(VLOOKUP(C55,Upgrades!$N$4:$T$47,4,FALSE),0)^(COUNTIFS($B$3:$B54,"Buy upgrade",$C$3:$C54,C55)+COUNTIFS($B$3:$B54,"Hire hunter",$C$3:$C54,C55)+COUNTIFS($B$3:$B54,"Forge/Scrapwork buy",$C$3:$C54,C55))),1),0),0)-IF(AND((E55="OK"),B55="Hire hunter"),IF(C55="Briar",140,IF(C55="Quill",3650,IF(C55="Moss",4850,IF(C55="Ember",12200,0)))),0))</f>
        <v/>
      </c>
      <c r="I55" s="7">
        <f>IF(AND((E55="OK"),B55="Fight boss",(IF((((105/'Rules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Formulas'!B12)),0,MIN(IF(G54&lt;=1,120,IF(G54=2,280,600)),I54+IF(AND((E55="OK"),B55="Hunt"),((IF(B55="Hunt",(('Rules &amp; Formulas'!B4*N54*('Rules &amp; Formulas'!B5+O54)*IFERROR(VLOOKUP(C55,Monsters!$T$4:$AH$15,10,FALSE),0)*IFERROR(VLOOKUP(C55,Monsters!$T$4:$AH$15,9,FALSE),0))*'Rules &amp; Formulas'!B6)*IF(D55="",0,D55),0))*(IFERROR(VLOOKUP(C55,Monsters!$T$4:$AH$15,4,FALSE),0))+(IF(OR(B55&lt;&gt;"Hunt",IFERROR(VLOOKUP(C55,Monsters!$T$4:$AH$15,6,FALSE),0)=0),0,FLOOR((IF(B55="Hunt",(('Rules &amp; Formulas'!B4*N54*('Rules &amp; Formulas'!B5+O54)*IFERROR(VLOOKUP(C55,Monsters!$T$4:$AH$15,10,FALSE),0)*IFERROR(VLOOKUP(C55,Monsters!$T$4:$AH$15,9,FALSE),0))*'Rules &amp; Formulas'!B6)*IF(D55="",0,D55),0))/MAX(1,IFERROR(VLOOKUP(C55,Monsters!$T$4:$AH$15,6,FALSE),0)),1)))*(IFERROR(VLOOKUP(C55,Monsters!$T$4:$AH$15,7,FALSE),0))),0)+IF(AND((E55="OK"),B55="Go AFK"),((IF(B55="Go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AFK",IF(D55="",0,D55),0),Z54/60)*60)),0))*(IFERROR(VLOOKUP(C55,Monsters!$T$4:$AH$15,4,FALSE),0))+(IF(OR(B55&lt;&gt;"Go AFK",IFERROR(VLOOKUP(C55,Monsters!$T$4:$AH$15,6,FALSE),0)=0),0,FLOOR((IF(B55="Go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AFK",IF(D55="",0,D55),0),Z54/60)*60)),0))/MAX(1,IFERROR(VLOOKUP(C55,Monsters!$T$4:$AH$15,6,FALSE),0)),1)))*(IFERROR(VLOOKUP(C55,Monsters!$T$4:$AH$15,7,FALSE),0))),0)))</f>
        <v/>
      </c>
      <c r="J55" s="7">
        <f>MAX(0,J54+IF(AND((E55="OK"),B55="Hunt"),(IF(B55="Hunt",(('Rules &amp; Formulas'!B4*N54*('Rules &amp; Formulas'!B5+O54)*IFERROR(VLOOKUP(C55,Monsters!$T$4:$AH$15,10,FALSE),0)*IFERROR(VLOOKUP(C55,Monsters!$T$4:$AH$15,9,FALSE),0))*'Rules &amp; Formulas'!B6)*IF(D55="",0,D55),0))*(IFERROR(VLOOKUP(C55,Monsters!$T$4:$AH$15,5,FALSE),0)),0)+IF(AND((E55="OK"),B55="Go AFK"),(IF(B55="Go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AFK",IF(D55="",0,D55),0),Z54/60)*60)),0))*(IFERROR(VLOOKUP(C55,Monsters!$T$4:$AH$15,5,FALSE),0)),0)-IF(AND((E55="OK"),OR(B55="Buy upgrade",B55="Forge/Scrapwork buy"),IFERROR(VLOOKUP(C55,Upgrades!$N$4:$T$47,2,FALSE),0)="scraps"),IFERROR(FLOOR(IFERROR(VLOOKUP(C55,Upgrades!$N$4:$T$47,3,FALSE),0)*(IFERROR(VLOOKUP(C55,Upgrades!$N$4:$T$47,4,FALSE),0)^(COUNTIFS($B$3:$B54,"Buy upgrade",$C$3:$C54,C55)+COUNTIFS($B$3:$B54,"Hire hunter",$C$3:$C54,C55)+COUNTIFS($B$3:$B54,"Forge/Scrapwork buy",$C$3:$C54,C55))),1),0),0))</f>
        <v/>
      </c>
      <c r="K55" s="7">
        <f>MAX(0,K54+IF(AND((E55="OK"),B55="Hunt"),IF(C55="Thornpelt Bear",(IF(B55="Hunt",(('Rules &amp; Formulas'!B4*N54*('Rules &amp; Formulas'!B5+O54)*IFERROR(VLOOKUP(C55,Monsters!$T$4:$AH$15,10,FALSE),0)*IFERROR(VLOOKUP(C55,Monsters!$T$4:$AH$15,9,FALSE),0))*'Rules &amp; Formulas'!B6)*IF(D55="",0,D55),0))*0.12,0),0)+IF(AND((E55="OK"),B55="Go AFK"),IF(C55="Thornpelt Bear",(IF(B55="Go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AFK",IF(D55="",0,D55),0),Z54/60)*60)),0))*0.12,0),0))</f>
        <v/>
      </c>
      <c r="L55" s="7">
        <f>MAX(0,L54+IF(AND((E55="OK"),B55="Hunt"),IF(C55="Dire Thornpelt",(IF(B55="Hunt",(('Rules &amp; Formulas'!B4*N54*('Rules &amp; Formulas'!B5+O54)*IFERROR(VLOOKUP(C55,Monsters!$T$4:$AH$15,10,FALSE),0)*IFERROR(VLOOKUP(C55,Monsters!$T$4:$AH$15,9,FALSE),0))*'Rules &amp; Formulas'!B6)*IF(D55="",0,D55),0))*0.1,0),0)+IF(AND((E55="OK"),B55="Go AFK"),IF(C55="Dire Thornpelt",(IF(B55="Go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AFK",IF(D55="",0,D55),0),Z54/60)*60)),0))*0.1,0),0))</f>
        <v/>
      </c>
      <c r="M55" s="7">
        <f>IF(AND((E55="OK"),B55="Go AFK"),MAX(0,MIN(('Rules &amp; Formulas'!B15+25*AJ54),M54+('Rules &amp; Formulas'!B14+0.4*AJ54)*(MIN(IF(B55="Go AFK",IF(D55="",0,D55),0),Z54/60)*60))-(IF(B55="Go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AFK",IF(D55="",0,D55),0),Z54/60)*60)),0))*(IF((IFERROR(VLOOKUP(C55,Monsters!$T$4:$AH$15,8,FALSE),0))=0,0.35,IFERROR(VLOOKUP(C55,Monsters!$T$4:$AH$15,8,FALSE),0))/(1+0.08*AK54))),MIN(('Rules &amp; Formulas'!B15+25*AJ55),M54))</f>
        <v/>
      </c>
      <c r="N55" s="7">
        <f>(1+0.08+0.12*AA55+0.12*AB55+0.16*AC55)</f>
        <v/>
      </c>
      <c r="O55" s="7">
        <f>((AD55&gt;=1)*1*(1+0.3*AE55))</f>
        <v/>
      </c>
      <c r="P55" s="7">
        <f>IF(OR(B55="Hunt",B55="Go AFK"),(('Rules &amp; Formulas'!B4*N54*('Rules &amp; Formulas'!B5+O54)*IFERROR(VLOOKUP(C55,Monsters!$T$4:$AH$15,10,FALSE),0)*IFERROR(VLOOKUP(C55,Monsters!$T$4:$AH$15,9,FALSE),0))*'Rules &amp; Formulas'!B6),"")</f>
        <v/>
      </c>
      <c r="Q55" s="7">
        <f>IF(OR(B55="Hunt",B55="Go AFK"),('Rules &amp; Formulas'!B4*N54*('Rules &amp; Formulas'!B5+O54)*IFERROR(VLOOKUP(C55,Monsters!$T$4:$AH$15,10,FALSE),0)*IFERROR(VLOOKUP(C55,Monsters!$T$4:$AH$15,9,FALSE),0)),"")</f>
        <v/>
      </c>
      <c r="R55" s="7">
        <f>IF(AND((E55="OK"),B55="Hunt"),IF(B55="Hunt",(('Rules &amp; Formulas'!B4*N54*('Rules &amp; Formulas'!B5+O54)*IFERROR(VLOOKUP(C55,Monsters!$T$4:$AH$15,10,FALSE),0)*IFERROR(VLOOKUP(C55,Monsters!$T$4:$AH$15,9,FALSE),0))*'Rules &amp; Formulas'!B6)*IF(D55="",0,D55),0),IF(AND((E55="OK"),B55="Go AFK"),IF(B55="Go AFK",MIN(IF((IF((IFERROR(VLOOKUP(C55,Monsters!$T$4:$AH$15,8,FALSE),0))=0,0.35,IFERROR(VLOOKUP(C55,Monsters!$T$4:$AH$15,8,FALSE),0))/(1+0.08*AK54))&lt;=0,999999,FLOOR(MIN(('Rules &amp; Formulas'!B15+25*AJ54),M54+('Rules &amp; Formulas'!B14+0.4*AJ54)*(MIN(IF(B55="Go AFK",IF(D55="",0,D55),0),Z54/60)*60))/(IF((IFERROR(VLOOKUP(C55,Monsters!$T$4:$AH$15,8,FALSE),0))=0,0.35,IFERROR(VLOOKUP(C55,Monsters!$T$4:$AH$15,8,FALSE),0))/(1+0.08*AK54)),1)),('Rules &amp; Formulas'!B4*N54*('Rules &amp; Formulas'!B5+O54)*IFERROR(VLOOKUP(C55,Monsters!$T$4:$AH$15,10,FALSE),0)*IFERROR(VLOOKUP(C55,Monsters!$T$4:$AH$15,9,FALSE),0))*(MIN(IF(B55="Go AFK",IF(D55="",0,D55),0),Z54/60)*60)),0),0))</f>
        <v/>
      </c>
      <c r="S55" s="7">
        <f>(105/'Rules &amp; Formulas'!B10)*'Rules &amp; Formulas'!B11</f>
        <v/>
      </c>
      <c r="T55" s="7">
        <f>IF(AD54&gt;=1,(MAX(1,ROUND('Rules &amp; Formulas'!B18*(1+0.3*AE54)*(1+0.4*AF54),0)))*(1000/'Rules &amp; Formulas'!B19)*MIN(0.95,'Rules &amp; Formulas'!B20*SQRT(1+0.55*(AG54&gt;=1))),0)</f>
        <v/>
      </c>
      <c r="U55" s="7">
        <f>S55+T55</f>
        <v/>
      </c>
      <c r="V55" s="7">
        <f>IF(I54&gt;=IF((IFERROR(VLOOKUP(C55,Monsters!$T$4:$AH$15,15,FALSE),0))=0,120,IFERROR(VLOOKUP(C55,Monsters!$T$4:$AH$15,15,FALSE),0)),"YES","no")</f>
        <v/>
      </c>
      <c r="W55" s="7">
        <f>IF(AND(B55="Fight boss",E55="OK"),IF((((105/'Rules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Formulas'!B20*SQRT(1+0.55*(AG54&gt;=1))),0)))),"")</f>
        <v/>
      </c>
      <c r="X55" s="7">
        <f>IF(AND(B55="Fight boss",E55="OK"),IF((IF((((105/'Rules &amp; Formulas'!B10)*'Rules &amp; Formulas'!B11+IF(AD54&gt;=1,(MAX(1,ROUND('Rules &amp; Formulas'!B18*(1+0.3*AE54)*(1+0.4*AF54),0)))*(1000/'Rules &amp; Formulas'!B19)*MIN(0.95,'Rules &amp; Formulas'!B20*SQRT(1+0.55*(AG54&gt;=1))),0)))&lt;=0,9999,(IFERROR(VLOOKUP(C55,Monsters!$T$4:$AH$15,2,FALSE),0))/(((105/'Rules &amp; Formulas'!B10)*'Rules &amp; Formulas'!B11+IF(AD54&gt;=1,(MAX(1,ROUND('Rules &amp; Formulas'!B18*(1+0.3*AE54)*(1+0.4*AF54),0)))*(1000/'Rules &amp; Formulas'!B19)*MIN(0.95,'Rules &amp; Formulas'!B20*SQRT(1+0.55*(AG54&gt;=1))),0))))&lt;='Rules &amp; Formulas'!B12),"WIN","LOSE"),"")</f>
        <v/>
      </c>
      <c r="Y55" s="7">
        <f>IF(B55="Go AFK",MIN(IF(B55="Go AFK",IF(D55="",0,D55),0),Z54/60),"")</f>
        <v/>
      </c>
      <c r="Z55" s="7">
        <f>('Rules &amp; Formulas'!B13+30*AI55)</f>
        <v/>
      </c>
      <c r="AA55">
        <f>COUNTIFS($B$3:$B55,"Buy upgrade",$C$3:$C55,"Idle Power")</f>
        <v/>
      </c>
      <c r="AB55">
        <f>COUNTIFS($B$3:$B55,"Buy upgrade",$C$3:$C55,"Iron Blade")</f>
        <v/>
      </c>
      <c r="AC55">
        <f>COUNTIFS($B$3:$B55,"Buy upgrade",$C$3:$C55,"Steel Blade")</f>
        <v/>
      </c>
      <c r="AD55">
        <f>COUNTIFS($B$3:$B55,"Hire hunter",$C$3:$C55,"Briar")+COUNTIFS($B$3:$B55,"Buy upgrade",$C$3:$C55,"Hire Briar")</f>
        <v/>
      </c>
      <c r="AE55">
        <f>COUNTIFS($B$3:$B55,"Buy upgrade",$C$3:$C55,"Hunter Power")</f>
        <v/>
      </c>
      <c r="AF55">
        <f>COUNTIFS($B$3:$B55,"Buy upgrade",$C$3:$C55,"Bigger Hits")</f>
        <v/>
      </c>
      <c r="AG55">
        <f>COUNTIFS($B$3:$B55,"Buy upgrade",$C$3:$C55,"Swift Walk")</f>
        <v/>
      </c>
      <c r="AH55">
        <f>COUNTIFS($B$3:$B55,"Buy upgrade",$C$3:$C55,"Loot Luck")</f>
        <v/>
      </c>
      <c r="AI55">
        <f>COUNTIFS($B$3:$B55,"Buy upgrade",$C$3:$C55,"Offline Cap")</f>
        <v/>
      </c>
      <c r="AJ55">
        <f>COUNTIFS($B$3:$B55,"Buy upgrade",$C$3:$C55,"Bigger Food Stock")</f>
        <v/>
      </c>
      <c r="AK55">
        <f>COUNTIFS($B$3:$B55,"Buy upgrade",$C$3:$C55,"Food Efficiency")</f>
        <v/>
      </c>
    </row>
    <row r="56">
      <c r="A56" t="n">
        <v>54</v>
      </c>
      <c r="B56" s="6" t="n"/>
      <c r="C56" s="6" t="n"/>
      <c r="D56" s="6" t="n"/>
      <c r="E56" s="7">
        <f>IF(B56="","",IF(OR(B56="Hunt",B56="Go AFK"),IF(C56="","Can't","OK"),IF(B56="Fight boss",IF(I55&lt;IF((IFERROR(VLOOKUP(C56,Monsters!$T$4:$AH$15,15,FALSE),0))=0,120,IFERROR(VLOOKUP(C56,Monsters!$T$4:$AH$15,15,FALSE),0)),"Can't","OK"),IF(B56="Hire hunter",IF(AND(C56="Briar",AD55&gt;=1),"Can't",IF(H55&lt;IF(C56="Briar",140,IF(C56="Quill",3650,IF(C56="Moss",4850,IF(C56="Ember",12200,0)))),"Can't","OK")),IF(OR(B56="Buy upgrade",B56="Forge/Scrapwork buy"),IF(IFERROR(VLOOKUP(C56,Upgrades!$N$4:$T$47,2,FALSE),0)="points","Can't",IF(IFERROR(VLOOKUP(C56,Upgrades!$N$4:$T$47,2,FALSE),0)="gold",IF(H55&lt;IFERROR(FLOOR(IFERROR(VLOOKUP(C56,Upgrades!$N$4:$T$47,3,FALSE),0)*(IFERROR(VLOOKUP(C56,Upgrades!$N$4:$T$47,4,FALSE),0)^(COUNTIFS($B$3:$B55,"Buy upgrade",$C$3:$C55,C56)+COUNTIFS($B$3:$B55,"Hire hunter",$C$3:$C55,C56)+COUNTIFS($B$3:$B55,"Forge/Scrapwork buy",$C$3:$C55,C56))),1),0),"Can't","OK"),IF(IFERROR(VLOOKUP(C56,Upgrades!$N$4:$T$47,2,FALSE),0)="scraps",IF(J55&lt;IFERROR(FLOOR(IFERROR(VLOOKUP(C56,Upgrades!$N$4:$T$47,3,FALSE),0)*(IFERROR(VLOOKUP(C56,Upgrades!$N$4:$T$47,4,FALSE),0)^(COUNTIFS($B$3:$B55,"Buy upgrade",$C$3:$C55,C56)+COUNTIFS($B$3:$B55,"Hire hunter",$C$3:$C55,C56)+COUNTIFS($B$3:$B55,"Forge/Scrapwork buy",$C$3:$C55,C56))),1),0),"Can't","OK"),IF(IFERROR(VLOOKUP(C56,Upgrades!$N$4:$T$47,2,FALSE),0)="mats","Can't","OK")))),"Check")))))</f>
        <v/>
      </c>
      <c r="F56" s="7">
        <f>IF(B56="","",IF(AND(B56="Fight boss",I55&lt;IF((IFERROR(VLOOKUP(C56,Monsters!$T$4:$AH$15,15,FALSE),0))=0,120,IFERROR(VLOOKUP(C56,Monsters!$T$4:$AH$15,15,FALSE),0))),"Can't — need "&amp;TEXT(IF((IFERROR(VLOOKUP(C56,Monsters!$T$4:$AH$15,15,FALSE),0))=0,120,IFERROR(VLOOKUP(C56,Monsters!$T$4:$AH$15,15,FALSE),0))-I55,"0.0")&amp;" more Slayer points on the meter",IF(AND(B56="Hire hunter",C56="Briar",AD55&gt;=1),"Can't — already hired",IF(AND(B56="Hire hunter",H55&lt;IF(C56="Briar",140,IF(C56="Quill",3650,IF(C56="Moss",4850,IF(C56="Ember",12200,0))))),"Can't — need "&amp;TEXT(IF(C56="Briar",140,IF(C56="Quill",3650,IF(C56="Moss",4850,IF(C56="Ember",12200,0))))-H55,"0")&amp;" more gold",IF(AND(OR(B56="Buy upgrade",B56="Forge/Scrapwork buy"),IFERROR(VLOOKUP(C56,Upgrades!$N$4:$T$47,2,FALSE),0)="points"),"Can't — Sp-wallet spends not tracked here",IF(AND(OR(B56="Buy upgrade",B56="Forge/Scrapwork buy"),IFERROR(VLOOKUP(C56,Upgrades!$N$4:$T$47,2,FALSE),0)="gold",H55&lt;IFERROR(FLOOR(IFERROR(VLOOKUP(C56,Upgrades!$N$4:$T$47,3,FALSE),0)*(IFERROR(VLOOKUP(C56,Upgrades!$N$4:$T$47,4,FALSE),0)^(COUNTIFS($B$3:$B55,"Buy upgrade",$C$3:$C55,C56)+COUNTIFS($B$3:$B55,"Hire hunter",$C$3:$C55,C56)+COUNTIFS($B$3:$B55,"Forge/Scrapwork buy",$C$3:$C55,C56))),1),0)),"Can't — need "&amp;TEXT(IFERROR(FLOOR(IFERROR(VLOOKUP(C56,Upgrades!$N$4:$T$47,3,FALSE),0)*(IFERROR(VLOOKUP(C56,Upgrades!$N$4:$T$47,4,FALSE),0)^(COUNTIFS($B$3:$B55,"Buy upgrade",$C$3:$C55,C56)+COUNTIFS($B$3:$B55,"Hire hunter",$C$3:$C55,C56)+COUNTIFS($B$3:$B55,"Forge/Scrapwork buy",$C$3:$C55,C56))),1),0)-H55,"0")&amp;" more gold",IF(AND(OR(B56="Buy upgrade",B56="Forge/Scrapwork buy"),IFERROR(VLOOKUP(C56,Upgrades!$N$4:$T$47,2,FALSE),0)="scraps",J55&lt;IFERROR(FLOOR(IFERROR(VLOOKUP(C56,Upgrades!$N$4:$T$47,3,FALSE),0)*(IFERROR(VLOOKUP(C56,Upgrades!$N$4:$T$47,4,FALSE),0)^(COUNTIFS($B$3:$B55,"Buy upgrade",$C$3:$C55,C56)+COUNTIFS($B$3:$B55,"Hire hunter",$C$3:$C55,C56)+COUNTIFS($B$3:$B55,"Forge/Scrapwork buy",$C$3:$C55,C56))),1),0)),"Can't — need "&amp;TEXT(IFERROR(FLOOR(IFERROR(VLOOKUP(C56,Upgrades!$N$4:$T$47,3,FALSE),0)*(IFERROR(VLOOKUP(C56,Upgrades!$N$4:$T$47,4,FALSE),0)^(COUNTIFS($B$3:$B55,"Buy upgrade",$C$3:$C55,C56)+COUNTIFS($B$3:$B55,"Hire hunter",$C$3:$C55,C56)+COUNTIFS($B$3:$B55,"Forge/Scrapwork buy",$C$3:$C55,C56))),1),0)-J55,"0")&amp;" more scraps",IF(AND(B56="Fight boss",E56="OK",(IF((((105/'Rules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Formulas'!B12)),"WIN — boss down, next Level unlocks",IF(AND(B56="Fight boss",E56="OK"),"LOSE — TTK "&amp;TEXT(IF((((105/'Rules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Formulas'!B20*SQRT(1+0.55*(AG55&gt;=1))),0)))),"0")&amp;"s &gt; patience "&amp;TEXT('Rules &amp; Formulas'!B12,"0")&amp;"s (leave resets HP)",IF(B56="Go AFK","AFK resolved (see AFK counted h)","Applied")))))))))</f>
        <v/>
      </c>
      <c r="G56" s="7">
        <f>IF(AND((E56="OK"),B56="Fight boss",(IF((((105/'Rules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Formulas'!B12),C56="Elder Thornpelt"),2,IF(AND((E56="OK"),B56="Fight boss",(IF((((105/'Rules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Formulas'!B12),C56="Ashfang Alpha"),3,G55))</f>
        <v/>
      </c>
      <c r="H56" s="7">
        <f>MAX(0,H55+IF(AND((E56="OK"),B56="Hunt"),(IF(B56="Hunt",(('Rules &amp; Formulas'!B4*N55*('Rules &amp; Formulas'!B5+O55)*IFERROR(VLOOKUP(C56,Monsters!$T$4:$AH$15,10,FALSE),0)*IFERROR(VLOOKUP(C56,Monsters!$T$4:$AH$15,9,FALSE),0))*'Rules &amp; Formulas'!B6)*IF(D56="",0,D56),0))*(IFERROR(VLOOKUP(C56,Monsters!$T$4:$AH$15,3,FALSE),0))*(1+0.1*AH55)+(IF(OR(B56&lt;&gt;"Hunt",IFERROR(VLOOKUP(C56,Monsters!$T$4:$AH$15,6,FALSE),0)=0),0,FLOOR((IF(B56="Hunt",(('Rules &amp; Formulas'!B4*N55*('Rules &amp; Formulas'!B5+O55)*IFERROR(VLOOKUP(C56,Monsters!$T$4:$AH$15,10,FALSE),0)*IFERROR(VLOOKUP(C56,Monsters!$T$4:$AH$15,9,FALSE),0))*'Rules &amp; Formulas'!B6)*IF(D56="",0,D56),0))/MAX(1,IFERROR(VLOOKUP(C56,Monsters!$T$4:$AH$15,6,FALSE),0)),1)))*(IFERROR(VLOOKUP(C56,Monsters!$T$4:$AH$15,7,FALSE),0))*0.5*(1+0.1*AH55),0)+IF(AND((E56="OK"),B56="Go AFK"),(IF(B56="Go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AFK",IF(D56="",0,D56),0),Z55/60)*60)),0))*(IFERROR(VLOOKUP(C56,Monsters!$T$4:$AH$15,3,FALSE),0))*(1+0.1*AH55)+(IF(OR(B56&lt;&gt;"Go AFK",IFERROR(VLOOKUP(C56,Monsters!$T$4:$AH$15,6,FALSE),0)=0),0,FLOOR((IF(B56="Go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AFK",IF(D56="",0,D56),0),Z55/60)*60)),0))/MAX(1,IFERROR(VLOOKUP(C56,Monsters!$T$4:$AH$15,6,FALSE),0)),1)))*(IFERROR(VLOOKUP(C56,Monsters!$T$4:$AH$15,7,FALSE),0))*0.5*(1+0.1*AH55),0)+IF(AND((E56="OK"),B56="Fight boss",(IF((((105/'Rules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Formulas'!B12)),IFERROR(VLOOKUP(C56,Monsters!$T$4:$AH$15,3,FALSE),0),0)-IF(AND((E56="OK"),OR(B56="Buy upgrade",B56="Forge/Scrapwork buy"),IFERROR(VLOOKUP(C56,Upgrades!$N$4:$T$47,2,FALSE),0)="gold"),IFERROR(FLOOR(IFERROR(VLOOKUP(C56,Upgrades!$N$4:$T$47,3,FALSE),0)*(IFERROR(VLOOKUP(C56,Upgrades!$N$4:$T$47,4,FALSE),0)^(COUNTIFS($B$3:$B55,"Buy upgrade",$C$3:$C55,C56)+COUNTIFS($B$3:$B55,"Hire hunter",$C$3:$C55,C56)+COUNTIFS($B$3:$B55,"Forge/Scrapwork buy",$C$3:$C55,C56))),1),0),0)-IF(AND((E56="OK"),B56="Hire hunter"),IF(C56="Briar",140,IF(C56="Quill",3650,IF(C56="Moss",4850,IF(C56="Ember",12200,0)))),0))</f>
        <v/>
      </c>
      <c r="I56" s="7">
        <f>IF(AND((E56="OK"),B56="Fight boss",(IF((((105/'Rules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Formulas'!B12)),0,MIN(IF(G55&lt;=1,120,IF(G55=2,280,600)),I55+IF(AND((E56="OK"),B56="Hunt"),((IF(B56="Hunt",(('Rules &amp; Formulas'!B4*N55*('Rules &amp; Formulas'!B5+O55)*IFERROR(VLOOKUP(C56,Monsters!$T$4:$AH$15,10,FALSE),0)*IFERROR(VLOOKUP(C56,Monsters!$T$4:$AH$15,9,FALSE),0))*'Rules &amp; Formulas'!B6)*IF(D56="",0,D56),0))*(IFERROR(VLOOKUP(C56,Monsters!$T$4:$AH$15,4,FALSE),0))+(IF(OR(B56&lt;&gt;"Hunt",IFERROR(VLOOKUP(C56,Monsters!$T$4:$AH$15,6,FALSE),0)=0),0,FLOOR((IF(B56="Hunt",(('Rules &amp; Formulas'!B4*N55*('Rules &amp; Formulas'!B5+O55)*IFERROR(VLOOKUP(C56,Monsters!$T$4:$AH$15,10,FALSE),0)*IFERROR(VLOOKUP(C56,Monsters!$T$4:$AH$15,9,FALSE),0))*'Rules &amp; Formulas'!B6)*IF(D56="",0,D56),0))/MAX(1,IFERROR(VLOOKUP(C56,Monsters!$T$4:$AH$15,6,FALSE),0)),1)))*(IFERROR(VLOOKUP(C56,Monsters!$T$4:$AH$15,7,FALSE),0))),0)+IF(AND((E56="OK"),B56="Go AFK"),((IF(B56="Go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AFK",IF(D56="",0,D56),0),Z55/60)*60)),0))*(IFERROR(VLOOKUP(C56,Monsters!$T$4:$AH$15,4,FALSE),0))+(IF(OR(B56&lt;&gt;"Go AFK",IFERROR(VLOOKUP(C56,Monsters!$T$4:$AH$15,6,FALSE),0)=0),0,FLOOR((IF(B56="Go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AFK",IF(D56="",0,D56),0),Z55/60)*60)),0))/MAX(1,IFERROR(VLOOKUP(C56,Monsters!$T$4:$AH$15,6,FALSE),0)),1)))*(IFERROR(VLOOKUP(C56,Monsters!$T$4:$AH$15,7,FALSE),0))),0)))</f>
        <v/>
      </c>
      <c r="J56" s="7">
        <f>MAX(0,J55+IF(AND((E56="OK"),B56="Hunt"),(IF(B56="Hunt",(('Rules &amp; Formulas'!B4*N55*('Rules &amp; Formulas'!B5+O55)*IFERROR(VLOOKUP(C56,Monsters!$T$4:$AH$15,10,FALSE),0)*IFERROR(VLOOKUP(C56,Monsters!$T$4:$AH$15,9,FALSE),0))*'Rules &amp; Formulas'!B6)*IF(D56="",0,D56),0))*(IFERROR(VLOOKUP(C56,Monsters!$T$4:$AH$15,5,FALSE),0)),0)+IF(AND((E56="OK"),B56="Go AFK"),(IF(B56="Go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AFK",IF(D56="",0,D56),0),Z55/60)*60)),0))*(IFERROR(VLOOKUP(C56,Monsters!$T$4:$AH$15,5,FALSE),0)),0)-IF(AND((E56="OK"),OR(B56="Buy upgrade",B56="Forge/Scrapwork buy"),IFERROR(VLOOKUP(C56,Upgrades!$N$4:$T$47,2,FALSE),0)="scraps"),IFERROR(FLOOR(IFERROR(VLOOKUP(C56,Upgrades!$N$4:$T$47,3,FALSE),0)*(IFERROR(VLOOKUP(C56,Upgrades!$N$4:$T$47,4,FALSE),0)^(COUNTIFS($B$3:$B55,"Buy upgrade",$C$3:$C55,C56)+COUNTIFS($B$3:$B55,"Hire hunter",$C$3:$C55,C56)+COUNTIFS($B$3:$B55,"Forge/Scrapwork buy",$C$3:$C55,C56))),1),0),0))</f>
        <v/>
      </c>
      <c r="K56" s="7">
        <f>MAX(0,K55+IF(AND((E56="OK"),B56="Hunt"),IF(C56="Thornpelt Bear",(IF(B56="Hunt",(('Rules &amp; Formulas'!B4*N55*('Rules &amp; Formulas'!B5+O55)*IFERROR(VLOOKUP(C56,Monsters!$T$4:$AH$15,10,FALSE),0)*IFERROR(VLOOKUP(C56,Monsters!$T$4:$AH$15,9,FALSE),0))*'Rules &amp; Formulas'!B6)*IF(D56="",0,D56),0))*0.12,0),0)+IF(AND((E56="OK"),B56="Go AFK"),IF(C56="Thornpelt Bear",(IF(B56="Go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AFK",IF(D56="",0,D56),0),Z55/60)*60)),0))*0.12,0),0))</f>
        <v/>
      </c>
      <c r="L56" s="7">
        <f>MAX(0,L55+IF(AND((E56="OK"),B56="Hunt"),IF(C56="Dire Thornpelt",(IF(B56="Hunt",(('Rules &amp; Formulas'!B4*N55*('Rules &amp; Formulas'!B5+O55)*IFERROR(VLOOKUP(C56,Monsters!$T$4:$AH$15,10,FALSE),0)*IFERROR(VLOOKUP(C56,Monsters!$T$4:$AH$15,9,FALSE),0))*'Rules &amp; Formulas'!B6)*IF(D56="",0,D56),0))*0.1,0),0)+IF(AND((E56="OK"),B56="Go AFK"),IF(C56="Dire Thornpelt",(IF(B56="Go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AFK",IF(D56="",0,D56),0),Z55/60)*60)),0))*0.1,0),0))</f>
        <v/>
      </c>
      <c r="M56" s="7">
        <f>IF(AND((E56="OK"),B56="Go AFK"),MAX(0,MIN(('Rules &amp; Formulas'!B15+25*AJ55),M55+('Rules &amp; Formulas'!B14+0.4*AJ55)*(MIN(IF(B56="Go AFK",IF(D56="",0,D56),0),Z55/60)*60))-(IF(B56="Go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AFK",IF(D56="",0,D56),0),Z55/60)*60)),0))*(IF((IFERROR(VLOOKUP(C56,Monsters!$T$4:$AH$15,8,FALSE),0))=0,0.35,IFERROR(VLOOKUP(C56,Monsters!$T$4:$AH$15,8,FALSE),0))/(1+0.08*AK55))),MIN(('Rules &amp; Formulas'!B15+25*AJ56),M55))</f>
        <v/>
      </c>
      <c r="N56" s="7">
        <f>(1+0.08+0.12*AA56+0.12*AB56+0.16*AC56)</f>
        <v/>
      </c>
      <c r="O56" s="7">
        <f>((AD56&gt;=1)*1*(1+0.3*AE56))</f>
        <v/>
      </c>
      <c r="P56" s="7">
        <f>IF(OR(B56="Hunt",B56="Go AFK"),(('Rules &amp; Formulas'!B4*N55*('Rules &amp; Formulas'!B5+O55)*IFERROR(VLOOKUP(C56,Monsters!$T$4:$AH$15,10,FALSE),0)*IFERROR(VLOOKUP(C56,Monsters!$T$4:$AH$15,9,FALSE),0))*'Rules &amp; Formulas'!B6),"")</f>
        <v/>
      </c>
      <c r="Q56" s="7">
        <f>IF(OR(B56="Hunt",B56="Go AFK"),('Rules &amp; Formulas'!B4*N55*('Rules &amp; Formulas'!B5+O55)*IFERROR(VLOOKUP(C56,Monsters!$T$4:$AH$15,10,FALSE),0)*IFERROR(VLOOKUP(C56,Monsters!$T$4:$AH$15,9,FALSE),0)),"")</f>
        <v/>
      </c>
      <c r="R56" s="7">
        <f>IF(AND((E56="OK"),B56="Hunt"),IF(B56="Hunt",(('Rules &amp; Formulas'!B4*N55*('Rules &amp; Formulas'!B5+O55)*IFERROR(VLOOKUP(C56,Monsters!$T$4:$AH$15,10,FALSE),0)*IFERROR(VLOOKUP(C56,Monsters!$T$4:$AH$15,9,FALSE),0))*'Rules &amp; Formulas'!B6)*IF(D56="",0,D56),0),IF(AND((E56="OK"),B56="Go AFK"),IF(B56="Go AFK",MIN(IF((IF((IFERROR(VLOOKUP(C56,Monsters!$T$4:$AH$15,8,FALSE),0))=0,0.35,IFERROR(VLOOKUP(C56,Monsters!$T$4:$AH$15,8,FALSE),0))/(1+0.08*AK55))&lt;=0,999999,FLOOR(MIN(('Rules &amp; Formulas'!B15+25*AJ55),M55+('Rules &amp; Formulas'!B14+0.4*AJ55)*(MIN(IF(B56="Go AFK",IF(D56="",0,D56),0),Z55/60)*60))/(IF((IFERROR(VLOOKUP(C56,Monsters!$T$4:$AH$15,8,FALSE),0))=0,0.35,IFERROR(VLOOKUP(C56,Monsters!$T$4:$AH$15,8,FALSE),0))/(1+0.08*AK55)),1)),('Rules &amp; Formulas'!B4*N55*('Rules &amp; Formulas'!B5+O55)*IFERROR(VLOOKUP(C56,Monsters!$T$4:$AH$15,10,FALSE),0)*IFERROR(VLOOKUP(C56,Monsters!$T$4:$AH$15,9,FALSE),0))*(MIN(IF(B56="Go AFK",IF(D56="",0,D56),0),Z55/60)*60)),0),0))</f>
        <v/>
      </c>
      <c r="S56" s="7">
        <f>(105/'Rules &amp; Formulas'!B10)*'Rules &amp; Formulas'!B11</f>
        <v/>
      </c>
      <c r="T56" s="7">
        <f>IF(AD55&gt;=1,(MAX(1,ROUND('Rules &amp; Formulas'!B18*(1+0.3*AE55)*(1+0.4*AF55),0)))*(1000/'Rules &amp; Formulas'!B19)*MIN(0.95,'Rules &amp; Formulas'!B20*SQRT(1+0.55*(AG55&gt;=1))),0)</f>
        <v/>
      </c>
      <c r="U56" s="7">
        <f>S56+T56</f>
        <v/>
      </c>
      <c r="V56" s="7">
        <f>IF(I55&gt;=IF((IFERROR(VLOOKUP(C56,Monsters!$T$4:$AH$15,15,FALSE),0))=0,120,IFERROR(VLOOKUP(C56,Monsters!$T$4:$AH$15,15,FALSE),0)),"YES","no")</f>
        <v/>
      </c>
      <c r="W56" s="7">
        <f>IF(AND(B56="Fight boss",E56="OK"),IF((((105/'Rules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Formulas'!B20*SQRT(1+0.55*(AG55&gt;=1))),0)))),"")</f>
        <v/>
      </c>
      <c r="X56" s="7">
        <f>IF(AND(B56="Fight boss",E56="OK"),IF((IF((((105/'Rules &amp; Formulas'!B10)*'Rules &amp; Formulas'!B11+IF(AD55&gt;=1,(MAX(1,ROUND('Rules &amp; Formulas'!B18*(1+0.3*AE55)*(1+0.4*AF55),0)))*(1000/'Rules &amp; Formulas'!B19)*MIN(0.95,'Rules &amp; Formulas'!B20*SQRT(1+0.55*(AG55&gt;=1))),0)))&lt;=0,9999,(IFERROR(VLOOKUP(C56,Monsters!$T$4:$AH$15,2,FALSE),0))/(((105/'Rules &amp; Formulas'!B10)*'Rules &amp; Formulas'!B11+IF(AD55&gt;=1,(MAX(1,ROUND('Rules &amp; Formulas'!B18*(1+0.3*AE55)*(1+0.4*AF55),0)))*(1000/'Rules &amp; Formulas'!B19)*MIN(0.95,'Rules &amp; Formulas'!B20*SQRT(1+0.55*(AG55&gt;=1))),0))))&lt;='Rules &amp; Formulas'!B12),"WIN","LOSE"),"")</f>
        <v/>
      </c>
      <c r="Y56" s="7">
        <f>IF(B56="Go AFK",MIN(IF(B56="Go AFK",IF(D56="",0,D56),0),Z55/60),"")</f>
        <v/>
      </c>
      <c r="Z56" s="7">
        <f>('Rules &amp; Formulas'!B13+30*AI56)</f>
        <v/>
      </c>
      <c r="AA56">
        <f>COUNTIFS($B$3:$B56,"Buy upgrade",$C$3:$C56,"Idle Power")</f>
        <v/>
      </c>
      <c r="AB56">
        <f>COUNTIFS($B$3:$B56,"Buy upgrade",$C$3:$C56,"Iron Blade")</f>
        <v/>
      </c>
      <c r="AC56">
        <f>COUNTIFS($B$3:$B56,"Buy upgrade",$C$3:$C56,"Steel Blade")</f>
        <v/>
      </c>
      <c r="AD56">
        <f>COUNTIFS($B$3:$B56,"Hire hunter",$C$3:$C56,"Briar")+COUNTIFS($B$3:$B56,"Buy upgrade",$C$3:$C56,"Hire Briar")</f>
        <v/>
      </c>
      <c r="AE56">
        <f>COUNTIFS($B$3:$B56,"Buy upgrade",$C$3:$C56,"Hunter Power")</f>
        <v/>
      </c>
      <c r="AF56">
        <f>COUNTIFS($B$3:$B56,"Buy upgrade",$C$3:$C56,"Bigger Hits")</f>
        <v/>
      </c>
      <c r="AG56">
        <f>COUNTIFS($B$3:$B56,"Buy upgrade",$C$3:$C56,"Swift Walk")</f>
        <v/>
      </c>
      <c r="AH56">
        <f>COUNTIFS($B$3:$B56,"Buy upgrade",$C$3:$C56,"Loot Luck")</f>
        <v/>
      </c>
      <c r="AI56">
        <f>COUNTIFS($B$3:$B56,"Buy upgrade",$C$3:$C56,"Offline Cap")</f>
        <v/>
      </c>
      <c r="AJ56">
        <f>COUNTIFS($B$3:$B56,"Buy upgrade",$C$3:$C56,"Bigger Food Stock")</f>
        <v/>
      </c>
      <c r="AK56">
        <f>COUNTIFS($B$3:$B56,"Buy upgrade",$C$3:$C56,"Food Efficiency")</f>
        <v/>
      </c>
    </row>
    <row r="57">
      <c r="A57" t="n">
        <v>55</v>
      </c>
      <c r="B57" s="6" t="n"/>
      <c r="C57" s="6" t="n"/>
      <c r="D57" s="6" t="n"/>
      <c r="E57" s="7">
        <f>IF(B57="","",IF(OR(B57="Hunt",B57="Go AFK"),IF(C57="","Can't","OK"),IF(B57="Fight boss",IF(I56&lt;IF((IFERROR(VLOOKUP(C57,Monsters!$T$4:$AH$15,15,FALSE),0))=0,120,IFERROR(VLOOKUP(C57,Monsters!$T$4:$AH$15,15,FALSE),0)),"Can't","OK"),IF(B57="Hire hunter",IF(AND(C57="Briar",AD56&gt;=1),"Can't",IF(H56&lt;IF(C57="Briar",140,IF(C57="Quill",3650,IF(C57="Moss",4850,IF(C57="Ember",12200,0)))),"Can't","OK")),IF(OR(B57="Buy upgrade",B57="Forge/Scrapwork buy"),IF(IFERROR(VLOOKUP(C57,Upgrades!$N$4:$T$47,2,FALSE),0)="points","Can't",IF(IFERROR(VLOOKUP(C57,Upgrades!$N$4:$T$47,2,FALSE),0)="gold",IF(H56&lt;IFERROR(FLOOR(IFERROR(VLOOKUP(C57,Upgrades!$N$4:$T$47,3,FALSE),0)*(IFERROR(VLOOKUP(C57,Upgrades!$N$4:$T$47,4,FALSE),0)^(COUNTIFS($B$3:$B56,"Buy upgrade",$C$3:$C56,C57)+COUNTIFS($B$3:$B56,"Hire hunter",$C$3:$C56,C57)+COUNTIFS($B$3:$B56,"Forge/Scrapwork buy",$C$3:$C56,C57))),1),0),"Can't","OK"),IF(IFERROR(VLOOKUP(C57,Upgrades!$N$4:$T$47,2,FALSE),0)="scraps",IF(J56&lt;IFERROR(FLOOR(IFERROR(VLOOKUP(C57,Upgrades!$N$4:$T$47,3,FALSE),0)*(IFERROR(VLOOKUP(C57,Upgrades!$N$4:$T$47,4,FALSE),0)^(COUNTIFS($B$3:$B56,"Buy upgrade",$C$3:$C56,C57)+COUNTIFS($B$3:$B56,"Hire hunter",$C$3:$C56,C57)+COUNTIFS($B$3:$B56,"Forge/Scrapwork buy",$C$3:$C56,C57))),1),0),"Can't","OK"),IF(IFERROR(VLOOKUP(C57,Upgrades!$N$4:$T$47,2,FALSE),0)="mats","Can't","OK")))),"Check")))))</f>
        <v/>
      </c>
      <c r="F57" s="7">
        <f>IF(B57="","",IF(AND(B57="Fight boss",I56&lt;IF((IFERROR(VLOOKUP(C57,Monsters!$T$4:$AH$15,15,FALSE),0))=0,120,IFERROR(VLOOKUP(C57,Monsters!$T$4:$AH$15,15,FALSE),0))),"Can't — need "&amp;TEXT(IF((IFERROR(VLOOKUP(C57,Monsters!$T$4:$AH$15,15,FALSE),0))=0,120,IFERROR(VLOOKUP(C57,Monsters!$T$4:$AH$15,15,FALSE),0))-I56,"0.0")&amp;" more Slayer points on the meter",IF(AND(B57="Hire hunter",C57="Briar",AD56&gt;=1),"Can't — already hired",IF(AND(B57="Hire hunter",H56&lt;IF(C57="Briar",140,IF(C57="Quill",3650,IF(C57="Moss",4850,IF(C57="Ember",12200,0))))),"Can't — need "&amp;TEXT(IF(C57="Briar",140,IF(C57="Quill",3650,IF(C57="Moss",4850,IF(C57="Ember",12200,0))))-H56,"0")&amp;" more gold",IF(AND(OR(B57="Buy upgrade",B57="Forge/Scrapwork buy"),IFERROR(VLOOKUP(C57,Upgrades!$N$4:$T$47,2,FALSE),0)="points"),"Can't — Sp-wallet spends not tracked here",IF(AND(OR(B57="Buy upgrade",B57="Forge/Scrapwork buy"),IFERROR(VLOOKUP(C57,Upgrades!$N$4:$T$47,2,FALSE),0)="gold",H56&lt;IFERROR(FLOOR(IFERROR(VLOOKUP(C57,Upgrades!$N$4:$T$47,3,FALSE),0)*(IFERROR(VLOOKUP(C57,Upgrades!$N$4:$T$47,4,FALSE),0)^(COUNTIFS($B$3:$B56,"Buy upgrade",$C$3:$C56,C57)+COUNTIFS($B$3:$B56,"Hire hunter",$C$3:$C56,C57)+COUNTIFS($B$3:$B56,"Forge/Scrapwork buy",$C$3:$C56,C57))),1),0)),"Can't — need "&amp;TEXT(IFERROR(FLOOR(IFERROR(VLOOKUP(C57,Upgrades!$N$4:$T$47,3,FALSE),0)*(IFERROR(VLOOKUP(C57,Upgrades!$N$4:$T$47,4,FALSE),0)^(COUNTIFS($B$3:$B56,"Buy upgrade",$C$3:$C56,C57)+COUNTIFS($B$3:$B56,"Hire hunter",$C$3:$C56,C57)+COUNTIFS($B$3:$B56,"Forge/Scrapwork buy",$C$3:$C56,C57))),1),0)-H56,"0")&amp;" more gold",IF(AND(OR(B57="Buy upgrade",B57="Forge/Scrapwork buy"),IFERROR(VLOOKUP(C57,Upgrades!$N$4:$T$47,2,FALSE),0)="scraps",J56&lt;IFERROR(FLOOR(IFERROR(VLOOKUP(C57,Upgrades!$N$4:$T$47,3,FALSE),0)*(IFERROR(VLOOKUP(C57,Upgrades!$N$4:$T$47,4,FALSE),0)^(COUNTIFS($B$3:$B56,"Buy upgrade",$C$3:$C56,C57)+COUNTIFS($B$3:$B56,"Hire hunter",$C$3:$C56,C57)+COUNTIFS($B$3:$B56,"Forge/Scrapwork buy",$C$3:$C56,C57))),1),0)),"Can't — need "&amp;TEXT(IFERROR(FLOOR(IFERROR(VLOOKUP(C57,Upgrades!$N$4:$T$47,3,FALSE),0)*(IFERROR(VLOOKUP(C57,Upgrades!$N$4:$T$47,4,FALSE),0)^(COUNTIFS($B$3:$B56,"Buy upgrade",$C$3:$C56,C57)+COUNTIFS($B$3:$B56,"Hire hunter",$C$3:$C56,C57)+COUNTIFS($B$3:$B56,"Forge/Scrapwork buy",$C$3:$C56,C57))),1),0)-J56,"0")&amp;" more scraps",IF(AND(B57="Fight boss",E57="OK",(IF((((105/'Rules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Formulas'!B12)),"WIN — boss down, next Level unlocks",IF(AND(B57="Fight boss",E57="OK"),"LOSE — TTK "&amp;TEXT(IF((((105/'Rules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Formulas'!B20*SQRT(1+0.55*(AG56&gt;=1))),0)))),"0")&amp;"s &gt; patience "&amp;TEXT('Rules &amp; Formulas'!B12,"0")&amp;"s (leave resets HP)",IF(B57="Go AFK","AFK resolved (see AFK counted h)","Applied")))))))))</f>
        <v/>
      </c>
      <c r="G57" s="7">
        <f>IF(AND((E57="OK"),B57="Fight boss",(IF((((105/'Rules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Formulas'!B12),C57="Elder Thornpelt"),2,IF(AND((E57="OK"),B57="Fight boss",(IF((((105/'Rules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Formulas'!B12),C57="Ashfang Alpha"),3,G56))</f>
        <v/>
      </c>
      <c r="H57" s="7">
        <f>MAX(0,H56+IF(AND((E57="OK"),B57="Hunt"),(IF(B57="Hunt",(('Rules &amp; Formulas'!B4*N56*('Rules &amp; Formulas'!B5+O56)*IFERROR(VLOOKUP(C57,Monsters!$T$4:$AH$15,10,FALSE),0)*IFERROR(VLOOKUP(C57,Monsters!$T$4:$AH$15,9,FALSE),0))*'Rules &amp; Formulas'!B6)*IF(D57="",0,D57),0))*(IFERROR(VLOOKUP(C57,Monsters!$T$4:$AH$15,3,FALSE),0))*(1+0.1*AH56)+(IF(OR(B57&lt;&gt;"Hunt",IFERROR(VLOOKUP(C57,Monsters!$T$4:$AH$15,6,FALSE),0)=0),0,FLOOR((IF(B57="Hunt",(('Rules &amp; Formulas'!B4*N56*('Rules &amp; Formulas'!B5+O56)*IFERROR(VLOOKUP(C57,Monsters!$T$4:$AH$15,10,FALSE),0)*IFERROR(VLOOKUP(C57,Monsters!$T$4:$AH$15,9,FALSE),0))*'Rules &amp; Formulas'!B6)*IF(D57="",0,D57),0))/MAX(1,IFERROR(VLOOKUP(C57,Monsters!$T$4:$AH$15,6,FALSE),0)),1)))*(IFERROR(VLOOKUP(C57,Monsters!$T$4:$AH$15,7,FALSE),0))*0.5*(1+0.1*AH56),0)+IF(AND((E57="OK"),B57="Go AFK"),(IF(B57="Go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AFK",IF(D57="",0,D57),0),Z56/60)*60)),0))*(IFERROR(VLOOKUP(C57,Monsters!$T$4:$AH$15,3,FALSE),0))*(1+0.1*AH56)+(IF(OR(B57&lt;&gt;"Go AFK",IFERROR(VLOOKUP(C57,Monsters!$T$4:$AH$15,6,FALSE),0)=0),0,FLOOR((IF(B57="Go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AFK",IF(D57="",0,D57),0),Z56/60)*60)),0))/MAX(1,IFERROR(VLOOKUP(C57,Monsters!$T$4:$AH$15,6,FALSE),0)),1)))*(IFERROR(VLOOKUP(C57,Monsters!$T$4:$AH$15,7,FALSE),0))*0.5*(1+0.1*AH56),0)+IF(AND((E57="OK"),B57="Fight boss",(IF((((105/'Rules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Formulas'!B12)),IFERROR(VLOOKUP(C57,Monsters!$T$4:$AH$15,3,FALSE),0),0)-IF(AND((E57="OK"),OR(B57="Buy upgrade",B57="Forge/Scrapwork buy"),IFERROR(VLOOKUP(C57,Upgrades!$N$4:$T$47,2,FALSE),0)="gold"),IFERROR(FLOOR(IFERROR(VLOOKUP(C57,Upgrades!$N$4:$T$47,3,FALSE),0)*(IFERROR(VLOOKUP(C57,Upgrades!$N$4:$T$47,4,FALSE),0)^(COUNTIFS($B$3:$B56,"Buy upgrade",$C$3:$C56,C57)+COUNTIFS($B$3:$B56,"Hire hunter",$C$3:$C56,C57)+COUNTIFS($B$3:$B56,"Forge/Scrapwork buy",$C$3:$C56,C57))),1),0),0)-IF(AND((E57="OK"),B57="Hire hunter"),IF(C57="Briar",140,IF(C57="Quill",3650,IF(C57="Moss",4850,IF(C57="Ember",12200,0)))),0))</f>
        <v/>
      </c>
      <c r="I57" s="7">
        <f>IF(AND((E57="OK"),B57="Fight boss",(IF((((105/'Rules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Formulas'!B12)),0,MIN(IF(G56&lt;=1,120,IF(G56=2,280,600)),I56+IF(AND((E57="OK"),B57="Hunt"),((IF(B57="Hunt",(('Rules &amp; Formulas'!B4*N56*('Rules &amp; Formulas'!B5+O56)*IFERROR(VLOOKUP(C57,Monsters!$T$4:$AH$15,10,FALSE),0)*IFERROR(VLOOKUP(C57,Monsters!$T$4:$AH$15,9,FALSE),0))*'Rules &amp; Formulas'!B6)*IF(D57="",0,D57),0))*(IFERROR(VLOOKUP(C57,Monsters!$T$4:$AH$15,4,FALSE),0))+(IF(OR(B57&lt;&gt;"Hunt",IFERROR(VLOOKUP(C57,Monsters!$T$4:$AH$15,6,FALSE),0)=0),0,FLOOR((IF(B57="Hunt",(('Rules &amp; Formulas'!B4*N56*('Rules &amp; Formulas'!B5+O56)*IFERROR(VLOOKUP(C57,Monsters!$T$4:$AH$15,10,FALSE),0)*IFERROR(VLOOKUP(C57,Monsters!$T$4:$AH$15,9,FALSE),0))*'Rules &amp; Formulas'!B6)*IF(D57="",0,D57),0))/MAX(1,IFERROR(VLOOKUP(C57,Monsters!$T$4:$AH$15,6,FALSE),0)),1)))*(IFERROR(VLOOKUP(C57,Monsters!$T$4:$AH$15,7,FALSE),0))),0)+IF(AND((E57="OK"),B57="Go AFK"),((IF(B57="Go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AFK",IF(D57="",0,D57),0),Z56/60)*60)),0))*(IFERROR(VLOOKUP(C57,Monsters!$T$4:$AH$15,4,FALSE),0))+(IF(OR(B57&lt;&gt;"Go AFK",IFERROR(VLOOKUP(C57,Monsters!$T$4:$AH$15,6,FALSE),0)=0),0,FLOOR((IF(B57="Go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AFK",IF(D57="",0,D57),0),Z56/60)*60)),0))/MAX(1,IFERROR(VLOOKUP(C57,Monsters!$T$4:$AH$15,6,FALSE),0)),1)))*(IFERROR(VLOOKUP(C57,Monsters!$T$4:$AH$15,7,FALSE),0))),0)))</f>
        <v/>
      </c>
      <c r="J57" s="7">
        <f>MAX(0,J56+IF(AND((E57="OK"),B57="Hunt"),(IF(B57="Hunt",(('Rules &amp; Formulas'!B4*N56*('Rules &amp; Formulas'!B5+O56)*IFERROR(VLOOKUP(C57,Monsters!$T$4:$AH$15,10,FALSE),0)*IFERROR(VLOOKUP(C57,Monsters!$T$4:$AH$15,9,FALSE),0))*'Rules &amp; Formulas'!B6)*IF(D57="",0,D57),0))*(IFERROR(VLOOKUP(C57,Monsters!$T$4:$AH$15,5,FALSE),0)),0)+IF(AND((E57="OK"),B57="Go AFK"),(IF(B57="Go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AFK",IF(D57="",0,D57),0),Z56/60)*60)),0))*(IFERROR(VLOOKUP(C57,Monsters!$T$4:$AH$15,5,FALSE),0)),0)-IF(AND((E57="OK"),OR(B57="Buy upgrade",B57="Forge/Scrapwork buy"),IFERROR(VLOOKUP(C57,Upgrades!$N$4:$T$47,2,FALSE),0)="scraps"),IFERROR(FLOOR(IFERROR(VLOOKUP(C57,Upgrades!$N$4:$T$47,3,FALSE),0)*(IFERROR(VLOOKUP(C57,Upgrades!$N$4:$T$47,4,FALSE),0)^(COUNTIFS($B$3:$B56,"Buy upgrade",$C$3:$C56,C57)+COUNTIFS($B$3:$B56,"Hire hunter",$C$3:$C56,C57)+COUNTIFS($B$3:$B56,"Forge/Scrapwork buy",$C$3:$C56,C57))),1),0),0))</f>
        <v/>
      </c>
      <c r="K57" s="7">
        <f>MAX(0,K56+IF(AND((E57="OK"),B57="Hunt"),IF(C57="Thornpelt Bear",(IF(B57="Hunt",(('Rules &amp; Formulas'!B4*N56*('Rules &amp; Formulas'!B5+O56)*IFERROR(VLOOKUP(C57,Monsters!$T$4:$AH$15,10,FALSE),0)*IFERROR(VLOOKUP(C57,Monsters!$T$4:$AH$15,9,FALSE),0))*'Rules &amp; Formulas'!B6)*IF(D57="",0,D57),0))*0.12,0),0)+IF(AND((E57="OK"),B57="Go AFK"),IF(C57="Thornpelt Bear",(IF(B57="Go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AFK",IF(D57="",0,D57),0),Z56/60)*60)),0))*0.12,0),0))</f>
        <v/>
      </c>
      <c r="L57" s="7">
        <f>MAX(0,L56+IF(AND((E57="OK"),B57="Hunt"),IF(C57="Dire Thornpelt",(IF(B57="Hunt",(('Rules &amp; Formulas'!B4*N56*('Rules &amp; Formulas'!B5+O56)*IFERROR(VLOOKUP(C57,Monsters!$T$4:$AH$15,10,FALSE),0)*IFERROR(VLOOKUP(C57,Monsters!$T$4:$AH$15,9,FALSE),0))*'Rules &amp; Formulas'!B6)*IF(D57="",0,D57),0))*0.1,0),0)+IF(AND((E57="OK"),B57="Go AFK"),IF(C57="Dire Thornpelt",(IF(B57="Go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AFK",IF(D57="",0,D57),0),Z56/60)*60)),0))*0.1,0),0))</f>
        <v/>
      </c>
      <c r="M57" s="7">
        <f>IF(AND((E57="OK"),B57="Go AFK"),MAX(0,MIN(('Rules &amp; Formulas'!B15+25*AJ56),M56+('Rules &amp; Formulas'!B14+0.4*AJ56)*(MIN(IF(B57="Go AFK",IF(D57="",0,D57),0),Z56/60)*60))-(IF(B57="Go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AFK",IF(D57="",0,D57),0),Z56/60)*60)),0))*(IF((IFERROR(VLOOKUP(C57,Monsters!$T$4:$AH$15,8,FALSE),0))=0,0.35,IFERROR(VLOOKUP(C57,Monsters!$T$4:$AH$15,8,FALSE),0))/(1+0.08*AK56))),MIN(('Rules &amp; Formulas'!B15+25*AJ57),M56))</f>
        <v/>
      </c>
      <c r="N57" s="7">
        <f>(1+0.08+0.12*AA57+0.12*AB57+0.16*AC57)</f>
        <v/>
      </c>
      <c r="O57" s="7">
        <f>((AD57&gt;=1)*1*(1+0.3*AE57))</f>
        <v/>
      </c>
      <c r="P57" s="7">
        <f>IF(OR(B57="Hunt",B57="Go AFK"),(('Rules &amp; Formulas'!B4*N56*('Rules &amp; Formulas'!B5+O56)*IFERROR(VLOOKUP(C57,Monsters!$T$4:$AH$15,10,FALSE),0)*IFERROR(VLOOKUP(C57,Monsters!$T$4:$AH$15,9,FALSE),0))*'Rules &amp; Formulas'!B6),"")</f>
        <v/>
      </c>
      <c r="Q57" s="7">
        <f>IF(OR(B57="Hunt",B57="Go AFK"),('Rules &amp; Formulas'!B4*N56*('Rules &amp; Formulas'!B5+O56)*IFERROR(VLOOKUP(C57,Monsters!$T$4:$AH$15,10,FALSE),0)*IFERROR(VLOOKUP(C57,Monsters!$T$4:$AH$15,9,FALSE),0)),"")</f>
        <v/>
      </c>
      <c r="R57" s="7">
        <f>IF(AND((E57="OK"),B57="Hunt"),IF(B57="Hunt",(('Rules &amp; Formulas'!B4*N56*('Rules &amp; Formulas'!B5+O56)*IFERROR(VLOOKUP(C57,Monsters!$T$4:$AH$15,10,FALSE),0)*IFERROR(VLOOKUP(C57,Monsters!$T$4:$AH$15,9,FALSE),0))*'Rules &amp; Formulas'!B6)*IF(D57="",0,D57),0),IF(AND((E57="OK"),B57="Go AFK"),IF(B57="Go AFK",MIN(IF((IF((IFERROR(VLOOKUP(C57,Monsters!$T$4:$AH$15,8,FALSE),0))=0,0.35,IFERROR(VLOOKUP(C57,Monsters!$T$4:$AH$15,8,FALSE),0))/(1+0.08*AK56))&lt;=0,999999,FLOOR(MIN(('Rules &amp; Formulas'!B15+25*AJ56),M56+('Rules &amp; Formulas'!B14+0.4*AJ56)*(MIN(IF(B57="Go AFK",IF(D57="",0,D57),0),Z56/60)*60))/(IF((IFERROR(VLOOKUP(C57,Monsters!$T$4:$AH$15,8,FALSE),0))=0,0.35,IFERROR(VLOOKUP(C57,Monsters!$T$4:$AH$15,8,FALSE),0))/(1+0.08*AK56)),1)),('Rules &amp; Formulas'!B4*N56*('Rules &amp; Formulas'!B5+O56)*IFERROR(VLOOKUP(C57,Monsters!$T$4:$AH$15,10,FALSE),0)*IFERROR(VLOOKUP(C57,Monsters!$T$4:$AH$15,9,FALSE),0))*(MIN(IF(B57="Go AFK",IF(D57="",0,D57),0),Z56/60)*60)),0),0))</f>
        <v/>
      </c>
      <c r="S57" s="7">
        <f>(105/'Rules &amp; Formulas'!B10)*'Rules &amp; Formulas'!B11</f>
        <v/>
      </c>
      <c r="T57" s="7">
        <f>IF(AD56&gt;=1,(MAX(1,ROUND('Rules &amp; Formulas'!B18*(1+0.3*AE56)*(1+0.4*AF56),0)))*(1000/'Rules &amp; Formulas'!B19)*MIN(0.95,'Rules &amp; Formulas'!B20*SQRT(1+0.55*(AG56&gt;=1))),0)</f>
        <v/>
      </c>
      <c r="U57" s="7">
        <f>S57+T57</f>
        <v/>
      </c>
      <c r="V57" s="7">
        <f>IF(I56&gt;=IF((IFERROR(VLOOKUP(C57,Monsters!$T$4:$AH$15,15,FALSE),0))=0,120,IFERROR(VLOOKUP(C57,Monsters!$T$4:$AH$15,15,FALSE),0)),"YES","no")</f>
        <v/>
      </c>
      <c r="W57" s="7">
        <f>IF(AND(B57="Fight boss",E57="OK"),IF((((105/'Rules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Formulas'!B20*SQRT(1+0.55*(AG56&gt;=1))),0)))),"")</f>
        <v/>
      </c>
      <c r="X57" s="7">
        <f>IF(AND(B57="Fight boss",E57="OK"),IF((IF((((105/'Rules &amp; Formulas'!B10)*'Rules &amp; Formulas'!B11+IF(AD56&gt;=1,(MAX(1,ROUND('Rules &amp; Formulas'!B18*(1+0.3*AE56)*(1+0.4*AF56),0)))*(1000/'Rules &amp; Formulas'!B19)*MIN(0.95,'Rules &amp; Formulas'!B20*SQRT(1+0.55*(AG56&gt;=1))),0)))&lt;=0,9999,(IFERROR(VLOOKUP(C57,Monsters!$T$4:$AH$15,2,FALSE),0))/(((105/'Rules &amp; Formulas'!B10)*'Rules &amp; Formulas'!B11+IF(AD56&gt;=1,(MAX(1,ROUND('Rules &amp; Formulas'!B18*(1+0.3*AE56)*(1+0.4*AF56),0)))*(1000/'Rules &amp; Formulas'!B19)*MIN(0.95,'Rules &amp; Formulas'!B20*SQRT(1+0.55*(AG56&gt;=1))),0))))&lt;='Rules &amp; Formulas'!B12),"WIN","LOSE"),"")</f>
        <v/>
      </c>
      <c r="Y57" s="7">
        <f>IF(B57="Go AFK",MIN(IF(B57="Go AFK",IF(D57="",0,D57),0),Z56/60),"")</f>
        <v/>
      </c>
      <c r="Z57" s="7">
        <f>('Rules &amp; Formulas'!B13+30*AI57)</f>
        <v/>
      </c>
      <c r="AA57">
        <f>COUNTIFS($B$3:$B57,"Buy upgrade",$C$3:$C57,"Idle Power")</f>
        <v/>
      </c>
      <c r="AB57">
        <f>COUNTIFS($B$3:$B57,"Buy upgrade",$C$3:$C57,"Iron Blade")</f>
        <v/>
      </c>
      <c r="AC57">
        <f>COUNTIFS($B$3:$B57,"Buy upgrade",$C$3:$C57,"Steel Blade")</f>
        <v/>
      </c>
      <c r="AD57">
        <f>COUNTIFS($B$3:$B57,"Hire hunter",$C$3:$C57,"Briar")+COUNTIFS($B$3:$B57,"Buy upgrade",$C$3:$C57,"Hire Briar")</f>
        <v/>
      </c>
      <c r="AE57">
        <f>COUNTIFS($B$3:$B57,"Buy upgrade",$C$3:$C57,"Hunter Power")</f>
        <v/>
      </c>
      <c r="AF57">
        <f>COUNTIFS($B$3:$B57,"Buy upgrade",$C$3:$C57,"Bigger Hits")</f>
        <v/>
      </c>
      <c r="AG57">
        <f>COUNTIFS($B$3:$B57,"Buy upgrade",$C$3:$C57,"Swift Walk")</f>
        <v/>
      </c>
      <c r="AH57">
        <f>COUNTIFS($B$3:$B57,"Buy upgrade",$C$3:$C57,"Loot Luck")</f>
        <v/>
      </c>
      <c r="AI57">
        <f>COUNTIFS($B$3:$B57,"Buy upgrade",$C$3:$C57,"Offline Cap")</f>
        <v/>
      </c>
      <c r="AJ57">
        <f>COUNTIFS($B$3:$B57,"Buy upgrade",$C$3:$C57,"Bigger Food Stock")</f>
        <v/>
      </c>
      <c r="AK57">
        <f>COUNTIFS($B$3:$B57,"Buy upgrade",$C$3:$C57,"Food Efficiency")</f>
        <v/>
      </c>
    </row>
    <row r="58">
      <c r="A58" t="n">
        <v>56</v>
      </c>
      <c r="B58" s="6" t="n"/>
      <c r="C58" s="6" t="n"/>
      <c r="D58" s="6" t="n"/>
      <c r="E58" s="7">
        <f>IF(B58="","",IF(OR(B58="Hunt",B58="Go AFK"),IF(C58="","Can't","OK"),IF(B58="Fight boss",IF(I57&lt;IF((IFERROR(VLOOKUP(C58,Monsters!$T$4:$AH$15,15,FALSE),0))=0,120,IFERROR(VLOOKUP(C58,Monsters!$T$4:$AH$15,15,FALSE),0)),"Can't","OK"),IF(B58="Hire hunter",IF(AND(C58="Briar",AD57&gt;=1),"Can't",IF(H57&lt;IF(C58="Briar",140,IF(C58="Quill",3650,IF(C58="Moss",4850,IF(C58="Ember",12200,0)))),"Can't","OK")),IF(OR(B58="Buy upgrade",B58="Forge/Scrapwork buy"),IF(IFERROR(VLOOKUP(C58,Upgrades!$N$4:$T$47,2,FALSE),0)="points","Can't",IF(IFERROR(VLOOKUP(C58,Upgrades!$N$4:$T$47,2,FALSE),0)="gold",IF(H57&lt;IFERROR(FLOOR(IFERROR(VLOOKUP(C58,Upgrades!$N$4:$T$47,3,FALSE),0)*(IFERROR(VLOOKUP(C58,Upgrades!$N$4:$T$47,4,FALSE),0)^(COUNTIFS($B$3:$B57,"Buy upgrade",$C$3:$C57,C58)+COUNTIFS($B$3:$B57,"Hire hunter",$C$3:$C57,C58)+COUNTIFS($B$3:$B57,"Forge/Scrapwork buy",$C$3:$C57,C58))),1),0),"Can't","OK"),IF(IFERROR(VLOOKUP(C58,Upgrades!$N$4:$T$47,2,FALSE),0)="scraps",IF(J57&lt;IFERROR(FLOOR(IFERROR(VLOOKUP(C58,Upgrades!$N$4:$T$47,3,FALSE),0)*(IFERROR(VLOOKUP(C58,Upgrades!$N$4:$T$47,4,FALSE),0)^(COUNTIFS($B$3:$B57,"Buy upgrade",$C$3:$C57,C58)+COUNTIFS($B$3:$B57,"Hire hunter",$C$3:$C57,C58)+COUNTIFS($B$3:$B57,"Forge/Scrapwork buy",$C$3:$C57,C58))),1),0),"Can't","OK"),IF(IFERROR(VLOOKUP(C58,Upgrades!$N$4:$T$47,2,FALSE),0)="mats","Can't","OK")))),"Check")))))</f>
        <v/>
      </c>
      <c r="F58" s="7">
        <f>IF(B58="","",IF(AND(B58="Fight boss",I57&lt;IF((IFERROR(VLOOKUP(C58,Monsters!$T$4:$AH$15,15,FALSE),0))=0,120,IFERROR(VLOOKUP(C58,Monsters!$T$4:$AH$15,15,FALSE),0))),"Can't — need "&amp;TEXT(IF((IFERROR(VLOOKUP(C58,Monsters!$T$4:$AH$15,15,FALSE),0))=0,120,IFERROR(VLOOKUP(C58,Monsters!$T$4:$AH$15,15,FALSE),0))-I57,"0.0")&amp;" more Slayer points on the meter",IF(AND(B58="Hire hunter",C58="Briar",AD57&gt;=1),"Can't — already hired",IF(AND(B58="Hire hunter",H57&lt;IF(C58="Briar",140,IF(C58="Quill",3650,IF(C58="Moss",4850,IF(C58="Ember",12200,0))))),"Can't — need "&amp;TEXT(IF(C58="Briar",140,IF(C58="Quill",3650,IF(C58="Moss",4850,IF(C58="Ember",12200,0))))-H57,"0")&amp;" more gold",IF(AND(OR(B58="Buy upgrade",B58="Forge/Scrapwork buy"),IFERROR(VLOOKUP(C58,Upgrades!$N$4:$T$47,2,FALSE),0)="points"),"Can't — Sp-wallet spends not tracked here",IF(AND(OR(B58="Buy upgrade",B58="Forge/Scrapwork buy"),IFERROR(VLOOKUP(C58,Upgrades!$N$4:$T$47,2,FALSE),0)="gold",H57&lt;IFERROR(FLOOR(IFERROR(VLOOKUP(C58,Upgrades!$N$4:$T$47,3,FALSE),0)*(IFERROR(VLOOKUP(C58,Upgrades!$N$4:$T$47,4,FALSE),0)^(COUNTIFS($B$3:$B57,"Buy upgrade",$C$3:$C57,C58)+COUNTIFS($B$3:$B57,"Hire hunter",$C$3:$C57,C58)+COUNTIFS($B$3:$B57,"Forge/Scrapwork buy",$C$3:$C57,C58))),1),0)),"Can't — need "&amp;TEXT(IFERROR(FLOOR(IFERROR(VLOOKUP(C58,Upgrades!$N$4:$T$47,3,FALSE),0)*(IFERROR(VLOOKUP(C58,Upgrades!$N$4:$T$47,4,FALSE),0)^(COUNTIFS($B$3:$B57,"Buy upgrade",$C$3:$C57,C58)+COUNTIFS($B$3:$B57,"Hire hunter",$C$3:$C57,C58)+COUNTIFS($B$3:$B57,"Forge/Scrapwork buy",$C$3:$C57,C58))),1),0)-H57,"0")&amp;" more gold",IF(AND(OR(B58="Buy upgrade",B58="Forge/Scrapwork buy"),IFERROR(VLOOKUP(C58,Upgrades!$N$4:$T$47,2,FALSE),0)="scraps",J57&lt;IFERROR(FLOOR(IFERROR(VLOOKUP(C58,Upgrades!$N$4:$T$47,3,FALSE),0)*(IFERROR(VLOOKUP(C58,Upgrades!$N$4:$T$47,4,FALSE),0)^(COUNTIFS($B$3:$B57,"Buy upgrade",$C$3:$C57,C58)+COUNTIFS($B$3:$B57,"Hire hunter",$C$3:$C57,C58)+COUNTIFS($B$3:$B57,"Forge/Scrapwork buy",$C$3:$C57,C58))),1),0)),"Can't — need "&amp;TEXT(IFERROR(FLOOR(IFERROR(VLOOKUP(C58,Upgrades!$N$4:$T$47,3,FALSE),0)*(IFERROR(VLOOKUP(C58,Upgrades!$N$4:$T$47,4,FALSE),0)^(COUNTIFS($B$3:$B57,"Buy upgrade",$C$3:$C57,C58)+COUNTIFS($B$3:$B57,"Hire hunter",$C$3:$C57,C58)+COUNTIFS($B$3:$B57,"Forge/Scrapwork buy",$C$3:$C57,C58))),1),0)-J57,"0")&amp;" more scraps",IF(AND(B58="Fight boss",E58="OK",(IF((((105/'Rules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Formulas'!B12)),"WIN — boss down, next Level unlocks",IF(AND(B58="Fight boss",E58="OK"),"LOSE — TTK "&amp;TEXT(IF((((105/'Rules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Formulas'!B20*SQRT(1+0.55*(AG57&gt;=1))),0)))),"0")&amp;"s &gt; patience "&amp;TEXT('Rules &amp; Formulas'!B12,"0")&amp;"s (leave resets HP)",IF(B58="Go AFK","AFK resolved (see AFK counted h)","Applied")))))))))</f>
        <v/>
      </c>
      <c r="G58" s="7">
        <f>IF(AND((E58="OK"),B58="Fight boss",(IF((((105/'Rules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Formulas'!B12),C58="Elder Thornpelt"),2,IF(AND((E58="OK"),B58="Fight boss",(IF((((105/'Rules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Formulas'!B12),C58="Ashfang Alpha"),3,G57))</f>
        <v/>
      </c>
      <c r="H58" s="7">
        <f>MAX(0,H57+IF(AND((E58="OK"),B58="Hunt"),(IF(B58="Hunt",(('Rules &amp; Formulas'!B4*N57*('Rules &amp; Formulas'!B5+O57)*IFERROR(VLOOKUP(C58,Monsters!$T$4:$AH$15,10,FALSE),0)*IFERROR(VLOOKUP(C58,Monsters!$T$4:$AH$15,9,FALSE),0))*'Rules &amp; Formulas'!B6)*IF(D58="",0,D58),0))*(IFERROR(VLOOKUP(C58,Monsters!$T$4:$AH$15,3,FALSE),0))*(1+0.1*AH57)+(IF(OR(B58&lt;&gt;"Hunt",IFERROR(VLOOKUP(C58,Monsters!$T$4:$AH$15,6,FALSE),0)=0),0,FLOOR((IF(B58="Hunt",(('Rules &amp; Formulas'!B4*N57*('Rules &amp; Formulas'!B5+O57)*IFERROR(VLOOKUP(C58,Monsters!$T$4:$AH$15,10,FALSE),0)*IFERROR(VLOOKUP(C58,Monsters!$T$4:$AH$15,9,FALSE),0))*'Rules &amp; Formulas'!B6)*IF(D58="",0,D58),0))/MAX(1,IFERROR(VLOOKUP(C58,Monsters!$T$4:$AH$15,6,FALSE),0)),1)))*(IFERROR(VLOOKUP(C58,Monsters!$T$4:$AH$15,7,FALSE),0))*0.5*(1+0.1*AH57),0)+IF(AND((E58="OK"),B58="Go AFK"),(IF(B58="Go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AFK",IF(D58="",0,D58),0),Z57/60)*60)),0))*(IFERROR(VLOOKUP(C58,Monsters!$T$4:$AH$15,3,FALSE),0))*(1+0.1*AH57)+(IF(OR(B58&lt;&gt;"Go AFK",IFERROR(VLOOKUP(C58,Monsters!$T$4:$AH$15,6,FALSE),0)=0),0,FLOOR((IF(B58="Go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AFK",IF(D58="",0,D58),0),Z57/60)*60)),0))/MAX(1,IFERROR(VLOOKUP(C58,Monsters!$T$4:$AH$15,6,FALSE),0)),1)))*(IFERROR(VLOOKUP(C58,Monsters!$T$4:$AH$15,7,FALSE),0))*0.5*(1+0.1*AH57),0)+IF(AND((E58="OK"),B58="Fight boss",(IF((((105/'Rules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Formulas'!B12)),IFERROR(VLOOKUP(C58,Monsters!$T$4:$AH$15,3,FALSE),0),0)-IF(AND((E58="OK"),OR(B58="Buy upgrade",B58="Forge/Scrapwork buy"),IFERROR(VLOOKUP(C58,Upgrades!$N$4:$T$47,2,FALSE),0)="gold"),IFERROR(FLOOR(IFERROR(VLOOKUP(C58,Upgrades!$N$4:$T$47,3,FALSE),0)*(IFERROR(VLOOKUP(C58,Upgrades!$N$4:$T$47,4,FALSE),0)^(COUNTIFS($B$3:$B57,"Buy upgrade",$C$3:$C57,C58)+COUNTIFS($B$3:$B57,"Hire hunter",$C$3:$C57,C58)+COUNTIFS($B$3:$B57,"Forge/Scrapwork buy",$C$3:$C57,C58))),1),0),0)-IF(AND((E58="OK"),B58="Hire hunter"),IF(C58="Briar",140,IF(C58="Quill",3650,IF(C58="Moss",4850,IF(C58="Ember",12200,0)))),0))</f>
        <v/>
      </c>
      <c r="I58" s="7">
        <f>IF(AND((E58="OK"),B58="Fight boss",(IF((((105/'Rules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Formulas'!B12)),0,MIN(IF(G57&lt;=1,120,IF(G57=2,280,600)),I57+IF(AND((E58="OK"),B58="Hunt"),((IF(B58="Hunt",(('Rules &amp; Formulas'!B4*N57*('Rules &amp; Formulas'!B5+O57)*IFERROR(VLOOKUP(C58,Monsters!$T$4:$AH$15,10,FALSE),0)*IFERROR(VLOOKUP(C58,Monsters!$T$4:$AH$15,9,FALSE),0))*'Rules &amp; Formulas'!B6)*IF(D58="",0,D58),0))*(IFERROR(VLOOKUP(C58,Monsters!$T$4:$AH$15,4,FALSE),0))+(IF(OR(B58&lt;&gt;"Hunt",IFERROR(VLOOKUP(C58,Monsters!$T$4:$AH$15,6,FALSE),0)=0),0,FLOOR((IF(B58="Hunt",(('Rules &amp; Formulas'!B4*N57*('Rules &amp; Formulas'!B5+O57)*IFERROR(VLOOKUP(C58,Monsters!$T$4:$AH$15,10,FALSE),0)*IFERROR(VLOOKUP(C58,Monsters!$T$4:$AH$15,9,FALSE),0))*'Rules &amp; Formulas'!B6)*IF(D58="",0,D58),0))/MAX(1,IFERROR(VLOOKUP(C58,Monsters!$T$4:$AH$15,6,FALSE),0)),1)))*(IFERROR(VLOOKUP(C58,Monsters!$T$4:$AH$15,7,FALSE),0))),0)+IF(AND((E58="OK"),B58="Go AFK"),((IF(B58="Go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AFK",IF(D58="",0,D58),0),Z57/60)*60)),0))*(IFERROR(VLOOKUP(C58,Monsters!$T$4:$AH$15,4,FALSE),0))+(IF(OR(B58&lt;&gt;"Go AFK",IFERROR(VLOOKUP(C58,Monsters!$T$4:$AH$15,6,FALSE),0)=0),0,FLOOR((IF(B58="Go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AFK",IF(D58="",0,D58),0),Z57/60)*60)),0))/MAX(1,IFERROR(VLOOKUP(C58,Monsters!$T$4:$AH$15,6,FALSE),0)),1)))*(IFERROR(VLOOKUP(C58,Monsters!$T$4:$AH$15,7,FALSE),0))),0)))</f>
        <v/>
      </c>
      <c r="J58" s="7">
        <f>MAX(0,J57+IF(AND((E58="OK"),B58="Hunt"),(IF(B58="Hunt",(('Rules &amp; Formulas'!B4*N57*('Rules &amp; Formulas'!B5+O57)*IFERROR(VLOOKUP(C58,Monsters!$T$4:$AH$15,10,FALSE),0)*IFERROR(VLOOKUP(C58,Monsters!$T$4:$AH$15,9,FALSE),0))*'Rules &amp; Formulas'!B6)*IF(D58="",0,D58),0))*(IFERROR(VLOOKUP(C58,Monsters!$T$4:$AH$15,5,FALSE),0)),0)+IF(AND((E58="OK"),B58="Go AFK"),(IF(B58="Go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AFK",IF(D58="",0,D58),0),Z57/60)*60)),0))*(IFERROR(VLOOKUP(C58,Monsters!$T$4:$AH$15,5,FALSE),0)),0)-IF(AND((E58="OK"),OR(B58="Buy upgrade",B58="Forge/Scrapwork buy"),IFERROR(VLOOKUP(C58,Upgrades!$N$4:$T$47,2,FALSE),0)="scraps"),IFERROR(FLOOR(IFERROR(VLOOKUP(C58,Upgrades!$N$4:$T$47,3,FALSE),0)*(IFERROR(VLOOKUP(C58,Upgrades!$N$4:$T$47,4,FALSE),0)^(COUNTIFS($B$3:$B57,"Buy upgrade",$C$3:$C57,C58)+COUNTIFS($B$3:$B57,"Hire hunter",$C$3:$C57,C58)+COUNTIFS($B$3:$B57,"Forge/Scrapwork buy",$C$3:$C57,C58))),1),0),0))</f>
        <v/>
      </c>
      <c r="K58" s="7">
        <f>MAX(0,K57+IF(AND((E58="OK"),B58="Hunt"),IF(C58="Thornpelt Bear",(IF(B58="Hunt",(('Rules &amp; Formulas'!B4*N57*('Rules &amp; Formulas'!B5+O57)*IFERROR(VLOOKUP(C58,Monsters!$T$4:$AH$15,10,FALSE),0)*IFERROR(VLOOKUP(C58,Monsters!$T$4:$AH$15,9,FALSE),0))*'Rules &amp; Formulas'!B6)*IF(D58="",0,D58),0))*0.12,0),0)+IF(AND((E58="OK"),B58="Go AFK"),IF(C58="Thornpelt Bear",(IF(B58="Go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AFK",IF(D58="",0,D58),0),Z57/60)*60)),0))*0.12,0),0))</f>
        <v/>
      </c>
      <c r="L58" s="7">
        <f>MAX(0,L57+IF(AND((E58="OK"),B58="Hunt"),IF(C58="Dire Thornpelt",(IF(B58="Hunt",(('Rules &amp; Formulas'!B4*N57*('Rules &amp; Formulas'!B5+O57)*IFERROR(VLOOKUP(C58,Monsters!$T$4:$AH$15,10,FALSE),0)*IFERROR(VLOOKUP(C58,Monsters!$T$4:$AH$15,9,FALSE),0))*'Rules &amp; Formulas'!B6)*IF(D58="",0,D58),0))*0.1,0),0)+IF(AND((E58="OK"),B58="Go AFK"),IF(C58="Dire Thornpelt",(IF(B58="Go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AFK",IF(D58="",0,D58),0),Z57/60)*60)),0))*0.1,0),0))</f>
        <v/>
      </c>
      <c r="M58" s="7">
        <f>IF(AND((E58="OK"),B58="Go AFK"),MAX(0,MIN(('Rules &amp; Formulas'!B15+25*AJ57),M57+('Rules &amp; Formulas'!B14+0.4*AJ57)*(MIN(IF(B58="Go AFK",IF(D58="",0,D58),0),Z57/60)*60))-(IF(B58="Go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AFK",IF(D58="",0,D58),0),Z57/60)*60)),0))*(IF((IFERROR(VLOOKUP(C58,Monsters!$T$4:$AH$15,8,FALSE),0))=0,0.35,IFERROR(VLOOKUP(C58,Monsters!$T$4:$AH$15,8,FALSE),0))/(1+0.08*AK57))),MIN(('Rules &amp; Formulas'!B15+25*AJ58),M57))</f>
        <v/>
      </c>
      <c r="N58" s="7">
        <f>(1+0.08+0.12*AA58+0.12*AB58+0.16*AC58)</f>
        <v/>
      </c>
      <c r="O58" s="7">
        <f>((AD58&gt;=1)*1*(1+0.3*AE58))</f>
        <v/>
      </c>
      <c r="P58" s="7">
        <f>IF(OR(B58="Hunt",B58="Go AFK"),(('Rules &amp; Formulas'!B4*N57*('Rules &amp; Formulas'!B5+O57)*IFERROR(VLOOKUP(C58,Monsters!$T$4:$AH$15,10,FALSE),0)*IFERROR(VLOOKUP(C58,Monsters!$T$4:$AH$15,9,FALSE),0))*'Rules &amp; Formulas'!B6),"")</f>
        <v/>
      </c>
      <c r="Q58" s="7">
        <f>IF(OR(B58="Hunt",B58="Go AFK"),('Rules &amp; Formulas'!B4*N57*('Rules &amp; Formulas'!B5+O57)*IFERROR(VLOOKUP(C58,Monsters!$T$4:$AH$15,10,FALSE),0)*IFERROR(VLOOKUP(C58,Monsters!$T$4:$AH$15,9,FALSE),0)),"")</f>
        <v/>
      </c>
      <c r="R58" s="7">
        <f>IF(AND((E58="OK"),B58="Hunt"),IF(B58="Hunt",(('Rules &amp; Formulas'!B4*N57*('Rules &amp; Formulas'!B5+O57)*IFERROR(VLOOKUP(C58,Monsters!$T$4:$AH$15,10,FALSE),0)*IFERROR(VLOOKUP(C58,Monsters!$T$4:$AH$15,9,FALSE),0))*'Rules &amp; Formulas'!B6)*IF(D58="",0,D58),0),IF(AND((E58="OK"),B58="Go AFK"),IF(B58="Go AFK",MIN(IF((IF((IFERROR(VLOOKUP(C58,Monsters!$T$4:$AH$15,8,FALSE),0))=0,0.35,IFERROR(VLOOKUP(C58,Monsters!$T$4:$AH$15,8,FALSE),0))/(1+0.08*AK57))&lt;=0,999999,FLOOR(MIN(('Rules &amp; Formulas'!B15+25*AJ57),M57+('Rules &amp; Formulas'!B14+0.4*AJ57)*(MIN(IF(B58="Go AFK",IF(D58="",0,D58),0),Z57/60)*60))/(IF((IFERROR(VLOOKUP(C58,Monsters!$T$4:$AH$15,8,FALSE),0))=0,0.35,IFERROR(VLOOKUP(C58,Monsters!$T$4:$AH$15,8,FALSE),0))/(1+0.08*AK57)),1)),('Rules &amp; Formulas'!B4*N57*('Rules &amp; Formulas'!B5+O57)*IFERROR(VLOOKUP(C58,Monsters!$T$4:$AH$15,10,FALSE),0)*IFERROR(VLOOKUP(C58,Monsters!$T$4:$AH$15,9,FALSE),0))*(MIN(IF(B58="Go AFK",IF(D58="",0,D58),0),Z57/60)*60)),0),0))</f>
        <v/>
      </c>
      <c r="S58" s="7">
        <f>(105/'Rules &amp; Formulas'!B10)*'Rules &amp; Formulas'!B11</f>
        <v/>
      </c>
      <c r="T58" s="7">
        <f>IF(AD57&gt;=1,(MAX(1,ROUND('Rules &amp; Formulas'!B18*(1+0.3*AE57)*(1+0.4*AF57),0)))*(1000/'Rules &amp; Formulas'!B19)*MIN(0.95,'Rules &amp; Formulas'!B20*SQRT(1+0.55*(AG57&gt;=1))),0)</f>
        <v/>
      </c>
      <c r="U58" s="7">
        <f>S58+T58</f>
        <v/>
      </c>
      <c r="V58" s="7">
        <f>IF(I57&gt;=IF((IFERROR(VLOOKUP(C58,Monsters!$T$4:$AH$15,15,FALSE),0))=0,120,IFERROR(VLOOKUP(C58,Monsters!$T$4:$AH$15,15,FALSE),0)),"YES","no")</f>
        <v/>
      </c>
      <c r="W58" s="7">
        <f>IF(AND(B58="Fight boss",E58="OK"),IF((((105/'Rules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Formulas'!B20*SQRT(1+0.55*(AG57&gt;=1))),0)))),"")</f>
        <v/>
      </c>
      <c r="X58" s="7">
        <f>IF(AND(B58="Fight boss",E58="OK"),IF((IF((((105/'Rules &amp; Formulas'!B10)*'Rules &amp; Formulas'!B11+IF(AD57&gt;=1,(MAX(1,ROUND('Rules &amp; Formulas'!B18*(1+0.3*AE57)*(1+0.4*AF57),0)))*(1000/'Rules &amp; Formulas'!B19)*MIN(0.95,'Rules &amp; Formulas'!B20*SQRT(1+0.55*(AG57&gt;=1))),0)))&lt;=0,9999,(IFERROR(VLOOKUP(C58,Monsters!$T$4:$AH$15,2,FALSE),0))/(((105/'Rules &amp; Formulas'!B10)*'Rules &amp; Formulas'!B11+IF(AD57&gt;=1,(MAX(1,ROUND('Rules &amp; Formulas'!B18*(1+0.3*AE57)*(1+0.4*AF57),0)))*(1000/'Rules &amp; Formulas'!B19)*MIN(0.95,'Rules &amp; Formulas'!B20*SQRT(1+0.55*(AG57&gt;=1))),0))))&lt;='Rules &amp; Formulas'!B12),"WIN","LOSE"),"")</f>
        <v/>
      </c>
      <c r="Y58" s="7">
        <f>IF(B58="Go AFK",MIN(IF(B58="Go AFK",IF(D58="",0,D58),0),Z57/60),"")</f>
        <v/>
      </c>
      <c r="Z58" s="7">
        <f>('Rules &amp; Formulas'!B13+30*AI58)</f>
        <v/>
      </c>
      <c r="AA58">
        <f>COUNTIFS($B$3:$B58,"Buy upgrade",$C$3:$C58,"Idle Power")</f>
        <v/>
      </c>
      <c r="AB58">
        <f>COUNTIFS($B$3:$B58,"Buy upgrade",$C$3:$C58,"Iron Blade")</f>
        <v/>
      </c>
      <c r="AC58">
        <f>COUNTIFS($B$3:$B58,"Buy upgrade",$C$3:$C58,"Steel Blade")</f>
        <v/>
      </c>
      <c r="AD58">
        <f>COUNTIFS($B$3:$B58,"Hire hunter",$C$3:$C58,"Briar")+COUNTIFS($B$3:$B58,"Buy upgrade",$C$3:$C58,"Hire Briar")</f>
        <v/>
      </c>
      <c r="AE58">
        <f>COUNTIFS($B$3:$B58,"Buy upgrade",$C$3:$C58,"Hunter Power")</f>
        <v/>
      </c>
      <c r="AF58">
        <f>COUNTIFS($B$3:$B58,"Buy upgrade",$C$3:$C58,"Bigger Hits")</f>
        <v/>
      </c>
      <c r="AG58">
        <f>COUNTIFS($B$3:$B58,"Buy upgrade",$C$3:$C58,"Swift Walk")</f>
        <v/>
      </c>
      <c r="AH58">
        <f>COUNTIFS($B$3:$B58,"Buy upgrade",$C$3:$C58,"Loot Luck")</f>
        <v/>
      </c>
      <c r="AI58">
        <f>COUNTIFS($B$3:$B58,"Buy upgrade",$C$3:$C58,"Offline Cap")</f>
        <v/>
      </c>
      <c r="AJ58">
        <f>COUNTIFS($B$3:$B58,"Buy upgrade",$C$3:$C58,"Bigger Food Stock")</f>
        <v/>
      </c>
      <c r="AK58">
        <f>COUNTIFS($B$3:$B58,"Buy upgrade",$C$3:$C58,"Food Efficiency")</f>
        <v/>
      </c>
    </row>
    <row r="59">
      <c r="A59" t="n">
        <v>57</v>
      </c>
      <c r="B59" s="6" t="n"/>
      <c r="C59" s="6" t="n"/>
      <c r="D59" s="6" t="n"/>
      <c r="E59" s="7">
        <f>IF(B59="","",IF(OR(B59="Hunt",B59="Go AFK"),IF(C59="","Can't","OK"),IF(B59="Fight boss",IF(I58&lt;IF((IFERROR(VLOOKUP(C59,Monsters!$T$4:$AH$15,15,FALSE),0))=0,120,IFERROR(VLOOKUP(C59,Monsters!$T$4:$AH$15,15,FALSE),0)),"Can't","OK"),IF(B59="Hire hunter",IF(AND(C59="Briar",AD58&gt;=1),"Can't",IF(H58&lt;IF(C59="Briar",140,IF(C59="Quill",3650,IF(C59="Moss",4850,IF(C59="Ember",12200,0)))),"Can't","OK")),IF(OR(B59="Buy upgrade",B59="Forge/Scrapwork buy"),IF(IFERROR(VLOOKUP(C59,Upgrades!$N$4:$T$47,2,FALSE),0)="points","Can't",IF(IFERROR(VLOOKUP(C59,Upgrades!$N$4:$T$47,2,FALSE),0)="gold",IF(H58&lt;IFERROR(FLOOR(IFERROR(VLOOKUP(C59,Upgrades!$N$4:$T$47,3,FALSE),0)*(IFERROR(VLOOKUP(C59,Upgrades!$N$4:$T$47,4,FALSE),0)^(COUNTIFS($B$3:$B58,"Buy upgrade",$C$3:$C58,C59)+COUNTIFS($B$3:$B58,"Hire hunter",$C$3:$C58,C59)+COUNTIFS($B$3:$B58,"Forge/Scrapwork buy",$C$3:$C58,C59))),1),0),"Can't","OK"),IF(IFERROR(VLOOKUP(C59,Upgrades!$N$4:$T$47,2,FALSE),0)="scraps",IF(J58&lt;IFERROR(FLOOR(IFERROR(VLOOKUP(C59,Upgrades!$N$4:$T$47,3,FALSE),0)*(IFERROR(VLOOKUP(C59,Upgrades!$N$4:$T$47,4,FALSE),0)^(COUNTIFS($B$3:$B58,"Buy upgrade",$C$3:$C58,C59)+COUNTIFS($B$3:$B58,"Hire hunter",$C$3:$C58,C59)+COUNTIFS($B$3:$B58,"Forge/Scrapwork buy",$C$3:$C58,C59))),1),0),"Can't","OK"),IF(IFERROR(VLOOKUP(C59,Upgrades!$N$4:$T$47,2,FALSE),0)="mats","Can't","OK")))),"Check")))))</f>
        <v/>
      </c>
      <c r="F59" s="7">
        <f>IF(B59="","",IF(AND(B59="Fight boss",I58&lt;IF((IFERROR(VLOOKUP(C59,Monsters!$T$4:$AH$15,15,FALSE),0))=0,120,IFERROR(VLOOKUP(C59,Monsters!$T$4:$AH$15,15,FALSE),0))),"Can't — need "&amp;TEXT(IF((IFERROR(VLOOKUP(C59,Monsters!$T$4:$AH$15,15,FALSE),0))=0,120,IFERROR(VLOOKUP(C59,Monsters!$T$4:$AH$15,15,FALSE),0))-I58,"0.0")&amp;" more Slayer points on the meter",IF(AND(B59="Hire hunter",C59="Briar",AD58&gt;=1),"Can't — already hired",IF(AND(B59="Hire hunter",H58&lt;IF(C59="Briar",140,IF(C59="Quill",3650,IF(C59="Moss",4850,IF(C59="Ember",12200,0))))),"Can't — need "&amp;TEXT(IF(C59="Briar",140,IF(C59="Quill",3650,IF(C59="Moss",4850,IF(C59="Ember",12200,0))))-H58,"0")&amp;" more gold",IF(AND(OR(B59="Buy upgrade",B59="Forge/Scrapwork buy"),IFERROR(VLOOKUP(C59,Upgrades!$N$4:$T$47,2,FALSE),0)="points"),"Can't — Sp-wallet spends not tracked here",IF(AND(OR(B59="Buy upgrade",B59="Forge/Scrapwork buy"),IFERROR(VLOOKUP(C59,Upgrades!$N$4:$T$47,2,FALSE),0)="gold",H58&lt;IFERROR(FLOOR(IFERROR(VLOOKUP(C59,Upgrades!$N$4:$T$47,3,FALSE),0)*(IFERROR(VLOOKUP(C59,Upgrades!$N$4:$T$47,4,FALSE),0)^(COUNTIFS($B$3:$B58,"Buy upgrade",$C$3:$C58,C59)+COUNTIFS($B$3:$B58,"Hire hunter",$C$3:$C58,C59)+COUNTIFS($B$3:$B58,"Forge/Scrapwork buy",$C$3:$C58,C59))),1),0)),"Can't — need "&amp;TEXT(IFERROR(FLOOR(IFERROR(VLOOKUP(C59,Upgrades!$N$4:$T$47,3,FALSE),0)*(IFERROR(VLOOKUP(C59,Upgrades!$N$4:$T$47,4,FALSE),0)^(COUNTIFS($B$3:$B58,"Buy upgrade",$C$3:$C58,C59)+COUNTIFS($B$3:$B58,"Hire hunter",$C$3:$C58,C59)+COUNTIFS($B$3:$B58,"Forge/Scrapwork buy",$C$3:$C58,C59))),1),0)-H58,"0")&amp;" more gold",IF(AND(OR(B59="Buy upgrade",B59="Forge/Scrapwork buy"),IFERROR(VLOOKUP(C59,Upgrades!$N$4:$T$47,2,FALSE),0)="scraps",J58&lt;IFERROR(FLOOR(IFERROR(VLOOKUP(C59,Upgrades!$N$4:$T$47,3,FALSE),0)*(IFERROR(VLOOKUP(C59,Upgrades!$N$4:$T$47,4,FALSE),0)^(COUNTIFS($B$3:$B58,"Buy upgrade",$C$3:$C58,C59)+COUNTIFS($B$3:$B58,"Hire hunter",$C$3:$C58,C59)+COUNTIFS($B$3:$B58,"Forge/Scrapwork buy",$C$3:$C58,C59))),1),0)),"Can't — need "&amp;TEXT(IFERROR(FLOOR(IFERROR(VLOOKUP(C59,Upgrades!$N$4:$T$47,3,FALSE),0)*(IFERROR(VLOOKUP(C59,Upgrades!$N$4:$T$47,4,FALSE),0)^(COUNTIFS($B$3:$B58,"Buy upgrade",$C$3:$C58,C59)+COUNTIFS($B$3:$B58,"Hire hunter",$C$3:$C58,C59)+COUNTIFS($B$3:$B58,"Forge/Scrapwork buy",$C$3:$C58,C59))),1),0)-J58,"0")&amp;" more scraps",IF(AND(B59="Fight boss",E59="OK",(IF((((105/'Rules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Formulas'!B12)),"WIN — boss down, next Level unlocks",IF(AND(B59="Fight boss",E59="OK"),"LOSE — TTK "&amp;TEXT(IF((((105/'Rules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Formulas'!B20*SQRT(1+0.55*(AG58&gt;=1))),0)))),"0")&amp;"s &gt; patience "&amp;TEXT('Rules &amp; Formulas'!B12,"0")&amp;"s (leave resets HP)",IF(B59="Go AFK","AFK resolved (see AFK counted h)","Applied")))))))))</f>
        <v/>
      </c>
      <c r="G59" s="7">
        <f>IF(AND((E59="OK"),B59="Fight boss",(IF((((105/'Rules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Formulas'!B12),C59="Elder Thornpelt"),2,IF(AND((E59="OK"),B59="Fight boss",(IF((((105/'Rules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Formulas'!B12),C59="Ashfang Alpha"),3,G58))</f>
        <v/>
      </c>
      <c r="H59" s="7">
        <f>MAX(0,H58+IF(AND((E59="OK"),B59="Hunt"),(IF(B59="Hunt",(('Rules &amp; Formulas'!B4*N58*('Rules &amp; Formulas'!B5+O58)*IFERROR(VLOOKUP(C59,Monsters!$T$4:$AH$15,10,FALSE),0)*IFERROR(VLOOKUP(C59,Monsters!$T$4:$AH$15,9,FALSE),0))*'Rules &amp; Formulas'!B6)*IF(D59="",0,D59),0))*(IFERROR(VLOOKUP(C59,Monsters!$T$4:$AH$15,3,FALSE),0))*(1+0.1*AH58)+(IF(OR(B59&lt;&gt;"Hunt",IFERROR(VLOOKUP(C59,Monsters!$T$4:$AH$15,6,FALSE),0)=0),0,FLOOR((IF(B59="Hunt",(('Rules &amp; Formulas'!B4*N58*('Rules &amp; Formulas'!B5+O58)*IFERROR(VLOOKUP(C59,Monsters!$T$4:$AH$15,10,FALSE),0)*IFERROR(VLOOKUP(C59,Monsters!$T$4:$AH$15,9,FALSE),0))*'Rules &amp; Formulas'!B6)*IF(D59="",0,D59),0))/MAX(1,IFERROR(VLOOKUP(C59,Monsters!$T$4:$AH$15,6,FALSE),0)),1)))*(IFERROR(VLOOKUP(C59,Monsters!$T$4:$AH$15,7,FALSE),0))*0.5*(1+0.1*AH58),0)+IF(AND((E59="OK"),B59="Go AFK"),(IF(B59="Go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AFK",IF(D59="",0,D59),0),Z58/60)*60)),0))*(IFERROR(VLOOKUP(C59,Monsters!$T$4:$AH$15,3,FALSE),0))*(1+0.1*AH58)+(IF(OR(B59&lt;&gt;"Go AFK",IFERROR(VLOOKUP(C59,Monsters!$T$4:$AH$15,6,FALSE),0)=0),0,FLOOR((IF(B59="Go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AFK",IF(D59="",0,D59),0),Z58/60)*60)),0))/MAX(1,IFERROR(VLOOKUP(C59,Monsters!$T$4:$AH$15,6,FALSE),0)),1)))*(IFERROR(VLOOKUP(C59,Monsters!$T$4:$AH$15,7,FALSE),0))*0.5*(1+0.1*AH58),0)+IF(AND((E59="OK"),B59="Fight boss",(IF((((105/'Rules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Formulas'!B12)),IFERROR(VLOOKUP(C59,Monsters!$T$4:$AH$15,3,FALSE),0),0)-IF(AND((E59="OK"),OR(B59="Buy upgrade",B59="Forge/Scrapwork buy"),IFERROR(VLOOKUP(C59,Upgrades!$N$4:$T$47,2,FALSE),0)="gold"),IFERROR(FLOOR(IFERROR(VLOOKUP(C59,Upgrades!$N$4:$T$47,3,FALSE),0)*(IFERROR(VLOOKUP(C59,Upgrades!$N$4:$T$47,4,FALSE),0)^(COUNTIFS($B$3:$B58,"Buy upgrade",$C$3:$C58,C59)+COUNTIFS($B$3:$B58,"Hire hunter",$C$3:$C58,C59)+COUNTIFS($B$3:$B58,"Forge/Scrapwork buy",$C$3:$C58,C59))),1),0),0)-IF(AND((E59="OK"),B59="Hire hunter"),IF(C59="Briar",140,IF(C59="Quill",3650,IF(C59="Moss",4850,IF(C59="Ember",12200,0)))),0))</f>
        <v/>
      </c>
      <c r="I59" s="7">
        <f>IF(AND((E59="OK"),B59="Fight boss",(IF((((105/'Rules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Formulas'!B12)),0,MIN(IF(G58&lt;=1,120,IF(G58=2,280,600)),I58+IF(AND((E59="OK"),B59="Hunt"),((IF(B59="Hunt",(('Rules &amp; Formulas'!B4*N58*('Rules &amp; Formulas'!B5+O58)*IFERROR(VLOOKUP(C59,Monsters!$T$4:$AH$15,10,FALSE),0)*IFERROR(VLOOKUP(C59,Monsters!$T$4:$AH$15,9,FALSE),0))*'Rules &amp; Formulas'!B6)*IF(D59="",0,D59),0))*(IFERROR(VLOOKUP(C59,Monsters!$T$4:$AH$15,4,FALSE),0))+(IF(OR(B59&lt;&gt;"Hunt",IFERROR(VLOOKUP(C59,Monsters!$T$4:$AH$15,6,FALSE),0)=0),0,FLOOR((IF(B59="Hunt",(('Rules &amp; Formulas'!B4*N58*('Rules &amp; Formulas'!B5+O58)*IFERROR(VLOOKUP(C59,Monsters!$T$4:$AH$15,10,FALSE),0)*IFERROR(VLOOKUP(C59,Monsters!$T$4:$AH$15,9,FALSE),0))*'Rules &amp; Formulas'!B6)*IF(D59="",0,D59),0))/MAX(1,IFERROR(VLOOKUP(C59,Monsters!$T$4:$AH$15,6,FALSE),0)),1)))*(IFERROR(VLOOKUP(C59,Monsters!$T$4:$AH$15,7,FALSE),0))),0)+IF(AND((E59="OK"),B59="Go AFK"),((IF(B59="Go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AFK",IF(D59="",0,D59),0),Z58/60)*60)),0))*(IFERROR(VLOOKUP(C59,Monsters!$T$4:$AH$15,4,FALSE),0))+(IF(OR(B59&lt;&gt;"Go AFK",IFERROR(VLOOKUP(C59,Monsters!$T$4:$AH$15,6,FALSE),0)=0),0,FLOOR((IF(B59="Go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AFK",IF(D59="",0,D59),0),Z58/60)*60)),0))/MAX(1,IFERROR(VLOOKUP(C59,Monsters!$T$4:$AH$15,6,FALSE),0)),1)))*(IFERROR(VLOOKUP(C59,Monsters!$T$4:$AH$15,7,FALSE),0))),0)))</f>
        <v/>
      </c>
      <c r="J59" s="7">
        <f>MAX(0,J58+IF(AND((E59="OK"),B59="Hunt"),(IF(B59="Hunt",(('Rules &amp; Formulas'!B4*N58*('Rules &amp; Formulas'!B5+O58)*IFERROR(VLOOKUP(C59,Monsters!$T$4:$AH$15,10,FALSE),0)*IFERROR(VLOOKUP(C59,Monsters!$T$4:$AH$15,9,FALSE),0))*'Rules &amp; Formulas'!B6)*IF(D59="",0,D59),0))*(IFERROR(VLOOKUP(C59,Monsters!$T$4:$AH$15,5,FALSE),0)),0)+IF(AND((E59="OK"),B59="Go AFK"),(IF(B59="Go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AFK",IF(D59="",0,D59),0),Z58/60)*60)),0))*(IFERROR(VLOOKUP(C59,Monsters!$T$4:$AH$15,5,FALSE),0)),0)-IF(AND((E59="OK"),OR(B59="Buy upgrade",B59="Forge/Scrapwork buy"),IFERROR(VLOOKUP(C59,Upgrades!$N$4:$T$47,2,FALSE),0)="scraps"),IFERROR(FLOOR(IFERROR(VLOOKUP(C59,Upgrades!$N$4:$T$47,3,FALSE),0)*(IFERROR(VLOOKUP(C59,Upgrades!$N$4:$T$47,4,FALSE),0)^(COUNTIFS($B$3:$B58,"Buy upgrade",$C$3:$C58,C59)+COUNTIFS($B$3:$B58,"Hire hunter",$C$3:$C58,C59)+COUNTIFS($B$3:$B58,"Forge/Scrapwork buy",$C$3:$C58,C59))),1),0),0))</f>
        <v/>
      </c>
      <c r="K59" s="7">
        <f>MAX(0,K58+IF(AND((E59="OK"),B59="Hunt"),IF(C59="Thornpelt Bear",(IF(B59="Hunt",(('Rules &amp; Formulas'!B4*N58*('Rules &amp; Formulas'!B5+O58)*IFERROR(VLOOKUP(C59,Monsters!$T$4:$AH$15,10,FALSE),0)*IFERROR(VLOOKUP(C59,Monsters!$T$4:$AH$15,9,FALSE),0))*'Rules &amp; Formulas'!B6)*IF(D59="",0,D59),0))*0.12,0),0)+IF(AND((E59="OK"),B59="Go AFK"),IF(C59="Thornpelt Bear",(IF(B59="Go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AFK",IF(D59="",0,D59),0),Z58/60)*60)),0))*0.12,0),0))</f>
        <v/>
      </c>
      <c r="L59" s="7">
        <f>MAX(0,L58+IF(AND((E59="OK"),B59="Hunt"),IF(C59="Dire Thornpelt",(IF(B59="Hunt",(('Rules &amp; Formulas'!B4*N58*('Rules &amp; Formulas'!B5+O58)*IFERROR(VLOOKUP(C59,Monsters!$T$4:$AH$15,10,FALSE),0)*IFERROR(VLOOKUP(C59,Monsters!$T$4:$AH$15,9,FALSE),0))*'Rules &amp; Formulas'!B6)*IF(D59="",0,D59),0))*0.1,0),0)+IF(AND((E59="OK"),B59="Go AFK"),IF(C59="Dire Thornpelt",(IF(B59="Go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AFK",IF(D59="",0,D59),0),Z58/60)*60)),0))*0.1,0),0))</f>
        <v/>
      </c>
      <c r="M59" s="7">
        <f>IF(AND((E59="OK"),B59="Go AFK"),MAX(0,MIN(('Rules &amp; Formulas'!B15+25*AJ58),M58+('Rules &amp; Formulas'!B14+0.4*AJ58)*(MIN(IF(B59="Go AFK",IF(D59="",0,D59),0),Z58/60)*60))-(IF(B59="Go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AFK",IF(D59="",0,D59),0),Z58/60)*60)),0))*(IF((IFERROR(VLOOKUP(C59,Monsters!$T$4:$AH$15,8,FALSE),0))=0,0.35,IFERROR(VLOOKUP(C59,Monsters!$T$4:$AH$15,8,FALSE),0))/(1+0.08*AK58))),MIN(('Rules &amp; Formulas'!B15+25*AJ59),M58))</f>
        <v/>
      </c>
      <c r="N59" s="7">
        <f>(1+0.08+0.12*AA59+0.12*AB59+0.16*AC59)</f>
        <v/>
      </c>
      <c r="O59" s="7">
        <f>((AD59&gt;=1)*1*(1+0.3*AE59))</f>
        <v/>
      </c>
      <c r="P59" s="7">
        <f>IF(OR(B59="Hunt",B59="Go AFK"),(('Rules &amp; Formulas'!B4*N58*('Rules &amp; Formulas'!B5+O58)*IFERROR(VLOOKUP(C59,Monsters!$T$4:$AH$15,10,FALSE),0)*IFERROR(VLOOKUP(C59,Monsters!$T$4:$AH$15,9,FALSE),0))*'Rules &amp; Formulas'!B6),"")</f>
        <v/>
      </c>
      <c r="Q59" s="7">
        <f>IF(OR(B59="Hunt",B59="Go AFK"),('Rules &amp; Formulas'!B4*N58*('Rules &amp; Formulas'!B5+O58)*IFERROR(VLOOKUP(C59,Monsters!$T$4:$AH$15,10,FALSE),0)*IFERROR(VLOOKUP(C59,Monsters!$T$4:$AH$15,9,FALSE),0)),"")</f>
        <v/>
      </c>
      <c r="R59" s="7">
        <f>IF(AND((E59="OK"),B59="Hunt"),IF(B59="Hunt",(('Rules &amp; Formulas'!B4*N58*('Rules &amp; Formulas'!B5+O58)*IFERROR(VLOOKUP(C59,Monsters!$T$4:$AH$15,10,FALSE),0)*IFERROR(VLOOKUP(C59,Monsters!$T$4:$AH$15,9,FALSE),0))*'Rules &amp; Formulas'!B6)*IF(D59="",0,D59),0),IF(AND((E59="OK"),B59="Go AFK"),IF(B59="Go AFK",MIN(IF((IF((IFERROR(VLOOKUP(C59,Monsters!$T$4:$AH$15,8,FALSE),0))=0,0.35,IFERROR(VLOOKUP(C59,Monsters!$T$4:$AH$15,8,FALSE),0))/(1+0.08*AK58))&lt;=0,999999,FLOOR(MIN(('Rules &amp; Formulas'!B15+25*AJ58),M58+('Rules &amp; Formulas'!B14+0.4*AJ58)*(MIN(IF(B59="Go AFK",IF(D59="",0,D59),0),Z58/60)*60))/(IF((IFERROR(VLOOKUP(C59,Monsters!$T$4:$AH$15,8,FALSE),0))=0,0.35,IFERROR(VLOOKUP(C59,Monsters!$T$4:$AH$15,8,FALSE),0))/(1+0.08*AK58)),1)),('Rules &amp; Formulas'!B4*N58*('Rules &amp; Formulas'!B5+O58)*IFERROR(VLOOKUP(C59,Monsters!$T$4:$AH$15,10,FALSE),0)*IFERROR(VLOOKUP(C59,Monsters!$T$4:$AH$15,9,FALSE),0))*(MIN(IF(B59="Go AFK",IF(D59="",0,D59),0),Z58/60)*60)),0),0))</f>
        <v/>
      </c>
      <c r="S59" s="7">
        <f>(105/'Rules &amp; Formulas'!B10)*'Rules &amp; Formulas'!B11</f>
        <v/>
      </c>
      <c r="T59" s="7">
        <f>IF(AD58&gt;=1,(MAX(1,ROUND('Rules &amp; Formulas'!B18*(1+0.3*AE58)*(1+0.4*AF58),0)))*(1000/'Rules &amp; Formulas'!B19)*MIN(0.95,'Rules &amp; Formulas'!B20*SQRT(1+0.55*(AG58&gt;=1))),0)</f>
        <v/>
      </c>
      <c r="U59" s="7">
        <f>S59+T59</f>
        <v/>
      </c>
      <c r="V59" s="7">
        <f>IF(I58&gt;=IF((IFERROR(VLOOKUP(C59,Monsters!$T$4:$AH$15,15,FALSE),0))=0,120,IFERROR(VLOOKUP(C59,Monsters!$T$4:$AH$15,15,FALSE),0)),"YES","no")</f>
        <v/>
      </c>
      <c r="W59" s="7">
        <f>IF(AND(B59="Fight boss",E59="OK"),IF((((105/'Rules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Formulas'!B20*SQRT(1+0.55*(AG58&gt;=1))),0)))),"")</f>
        <v/>
      </c>
      <c r="X59" s="7">
        <f>IF(AND(B59="Fight boss",E59="OK"),IF((IF((((105/'Rules &amp; Formulas'!B10)*'Rules &amp; Formulas'!B11+IF(AD58&gt;=1,(MAX(1,ROUND('Rules &amp; Formulas'!B18*(1+0.3*AE58)*(1+0.4*AF58),0)))*(1000/'Rules &amp; Formulas'!B19)*MIN(0.95,'Rules &amp; Formulas'!B20*SQRT(1+0.55*(AG58&gt;=1))),0)))&lt;=0,9999,(IFERROR(VLOOKUP(C59,Monsters!$T$4:$AH$15,2,FALSE),0))/(((105/'Rules &amp; Formulas'!B10)*'Rules &amp; Formulas'!B11+IF(AD58&gt;=1,(MAX(1,ROUND('Rules &amp; Formulas'!B18*(1+0.3*AE58)*(1+0.4*AF58),0)))*(1000/'Rules &amp; Formulas'!B19)*MIN(0.95,'Rules &amp; Formulas'!B20*SQRT(1+0.55*(AG58&gt;=1))),0))))&lt;='Rules &amp; Formulas'!B12),"WIN","LOSE"),"")</f>
        <v/>
      </c>
      <c r="Y59" s="7">
        <f>IF(B59="Go AFK",MIN(IF(B59="Go AFK",IF(D59="",0,D59),0),Z58/60),"")</f>
        <v/>
      </c>
      <c r="Z59" s="7">
        <f>('Rules &amp; Formulas'!B13+30*AI59)</f>
        <v/>
      </c>
      <c r="AA59">
        <f>COUNTIFS($B$3:$B59,"Buy upgrade",$C$3:$C59,"Idle Power")</f>
        <v/>
      </c>
      <c r="AB59">
        <f>COUNTIFS($B$3:$B59,"Buy upgrade",$C$3:$C59,"Iron Blade")</f>
        <v/>
      </c>
      <c r="AC59">
        <f>COUNTIFS($B$3:$B59,"Buy upgrade",$C$3:$C59,"Steel Blade")</f>
        <v/>
      </c>
      <c r="AD59">
        <f>COUNTIFS($B$3:$B59,"Hire hunter",$C$3:$C59,"Briar")+COUNTIFS($B$3:$B59,"Buy upgrade",$C$3:$C59,"Hire Briar")</f>
        <v/>
      </c>
      <c r="AE59">
        <f>COUNTIFS($B$3:$B59,"Buy upgrade",$C$3:$C59,"Hunter Power")</f>
        <v/>
      </c>
      <c r="AF59">
        <f>COUNTIFS($B$3:$B59,"Buy upgrade",$C$3:$C59,"Bigger Hits")</f>
        <v/>
      </c>
      <c r="AG59">
        <f>COUNTIFS($B$3:$B59,"Buy upgrade",$C$3:$C59,"Swift Walk")</f>
        <v/>
      </c>
      <c r="AH59">
        <f>COUNTIFS($B$3:$B59,"Buy upgrade",$C$3:$C59,"Loot Luck")</f>
        <v/>
      </c>
      <c r="AI59">
        <f>COUNTIFS($B$3:$B59,"Buy upgrade",$C$3:$C59,"Offline Cap")</f>
        <v/>
      </c>
      <c r="AJ59">
        <f>COUNTIFS($B$3:$B59,"Buy upgrade",$C$3:$C59,"Bigger Food Stock")</f>
        <v/>
      </c>
      <c r="AK59">
        <f>COUNTIFS($B$3:$B59,"Buy upgrade",$C$3:$C59,"Food Efficiency")</f>
        <v/>
      </c>
    </row>
    <row r="60">
      <c r="A60" t="n">
        <v>58</v>
      </c>
      <c r="B60" s="6" t="n"/>
      <c r="C60" s="6" t="n"/>
      <c r="D60" s="6" t="n"/>
      <c r="E60" s="7">
        <f>IF(B60="","",IF(OR(B60="Hunt",B60="Go AFK"),IF(C60="","Can't","OK"),IF(B60="Fight boss",IF(I59&lt;IF((IFERROR(VLOOKUP(C60,Monsters!$T$4:$AH$15,15,FALSE),0))=0,120,IFERROR(VLOOKUP(C60,Monsters!$T$4:$AH$15,15,FALSE),0)),"Can't","OK"),IF(B60="Hire hunter",IF(AND(C60="Briar",AD59&gt;=1),"Can't",IF(H59&lt;IF(C60="Briar",140,IF(C60="Quill",3650,IF(C60="Moss",4850,IF(C60="Ember",12200,0)))),"Can't","OK")),IF(OR(B60="Buy upgrade",B60="Forge/Scrapwork buy"),IF(IFERROR(VLOOKUP(C60,Upgrades!$N$4:$T$47,2,FALSE),0)="points","Can't",IF(IFERROR(VLOOKUP(C60,Upgrades!$N$4:$T$47,2,FALSE),0)="gold",IF(H59&lt;IFERROR(FLOOR(IFERROR(VLOOKUP(C60,Upgrades!$N$4:$T$47,3,FALSE),0)*(IFERROR(VLOOKUP(C60,Upgrades!$N$4:$T$47,4,FALSE),0)^(COUNTIFS($B$3:$B59,"Buy upgrade",$C$3:$C59,C60)+COUNTIFS($B$3:$B59,"Hire hunter",$C$3:$C59,C60)+COUNTIFS($B$3:$B59,"Forge/Scrapwork buy",$C$3:$C59,C60))),1),0),"Can't","OK"),IF(IFERROR(VLOOKUP(C60,Upgrades!$N$4:$T$47,2,FALSE),0)="scraps",IF(J59&lt;IFERROR(FLOOR(IFERROR(VLOOKUP(C60,Upgrades!$N$4:$T$47,3,FALSE),0)*(IFERROR(VLOOKUP(C60,Upgrades!$N$4:$T$47,4,FALSE),0)^(COUNTIFS($B$3:$B59,"Buy upgrade",$C$3:$C59,C60)+COUNTIFS($B$3:$B59,"Hire hunter",$C$3:$C59,C60)+COUNTIFS($B$3:$B59,"Forge/Scrapwork buy",$C$3:$C59,C60))),1),0),"Can't","OK"),IF(IFERROR(VLOOKUP(C60,Upgrades!$N$4:$T$47,2,FALSE),0)="mats","Can't","OK")))),"Check")))))</f>
        <v/>
      </c>
      <c r="F60" s="7">
        <f>IF(B60="","",IF(AND(B60="Fight boss",I59&lt;IF((IFERROR(VLOOKUP(C60,Monsters!$T$4:$AH$15,15,FALSE),0))=0,120,IFERROR(VLOOKUP(C60,Monsters!$T$4:$AH$15,15,FALSE),0))),"Can't — need "&amp;TEXT(IF((IFERROR(VLOOKUP(C60,Monsters!$T$4:$AH$15,15,FALSE),0))=0,120,IFERROR(VLOOKUP(C60,Monsters!$T$4:$AH$15,15,FALSE),0))-I59,"0.0")&amp;" more Slayer points on the meter",IF(AND(B60="Hire hunter",C60="Briar",AD59&gt;=1),"Can't — already hired",IF(AND(B60="Hire hunter",H59&lt;IF(C60="Briar",140,IF(C60="Quill",3650,IF(C60="Moss",4850,IF(C60="Ember",12200,0))))),"Can't — need "&amp;TEXT(IF(C60="Briar",140,IF(C60="Quill",3650,IF(C60="Moss",4850,IF(C60="Ember",12200,0))))-H59,"0")&amp;" more gold",IF(AND(OR(B60="Buy upgrade",B60="Forge/Scrapwork buy"),IFERROR(VLOOKUP(C60,Upgrades!$N$4:$T$47,2,FALSE),0)="points"),"Can't — Sp-wallet spends not tracked here",IF(AND(OR(B60="Buy upgrade",B60="Forge/Scrapwork buy"),IFERROR(VLOOKUP(C60,Upgrades!$N$4:$T$47,2,FALSE),0)="gold",H59&lt;IFERROR(FLOOR(IFERROR(VLOOKUP(C60,Upgrades!$N$4:$T$47,3,FALSE),0)*(IFERROR(VLOOKUP(C60,Upgrades!$N$4:$T$47,4,FALSE),0)^(COUNTIFS($B$3:$B59,"Buy upgrade",$C$3:$C59,C60)+COUNTIFS($B$3:$B59,"Hire hunter",$C$3:$C59,C60)+COUNTIFS($B$3:$B59,"Forge/Scrapwork buy",$C$3:$C59,C60))),1),0)),"Can't — need "&amp;TEXT(IFERROR(FLOOR(IFERROR(VLOOKUP(C60,Upgrades!$N$4:$T$47,3,FALSE),0)*(IFERROR(VLOOKUP(C60,Upgrades!$N$4:$T$47,4,FALSE),0)^(COUNTIFS($B$3:$B59,"Buy upgrade",$C$3:$C59,C60)+COUNTIFS($B$3:$B59,"Hire hunter",$C$3:$C59,C60)+COUNTIFS($B$3:$B59,"Forge/Scrapwork buy",$C$3:$C59,C60))),1),0)-H59,"0")&amp;" more gold",IF(AND(OR(B60="Buy upgrade",B60="Forge/Scrapwork buy"),IFERROR(VLOOKUP(C60,Upgrades!$N$4:$T$47,2,FALSE),0)="scraps",J59&lt;IFERROR(FLOOR(IFERROR(VLOOKUP(C60,Upgrades!$N$4:$T$47,3,FALSE),0)*(IFERROR(VLOOKUP(C60,Upgrades!$N$4:$T$47,4,FALSE),0)^(COUNTIFS($B$3:$B59,"Buy upgrade",$C$3:$C59,C60)+COUNTIFS($B$3:$B59,"Hire hunter",$C$3:$C59,C60)+COUNTIFS($B$3:$B59,"Forge/Scrapwork buy",$C$3:$C59,C60))),1),0)),"Can't — need "&amp;TEXT(IFERROR(FLOOR(IFERROR(VLOOKUP(C60,Upgrades!$N$4:$T$47,3,FALSE),0)*(IFERROR(VLOOKUP(C60,Upgrades!$N$4:$T$47,4,FALSE),0)^(COUNTIFS($B$3:$B59,"Buy upgrade",$C$3:$C59,C60)+COUNTIFS($B$3:$B59,"Hire hunter",$C$3:$C59,C60)+COUNTIFS($B$3:$B59,"Forge/Scrapwork buy",$C$3:$C59,C60))),1),0)-J59,"0")&amp;" more scraps",IF(AND(B60="Fight boss",E60="OK",(IF((((105/'Rules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Formulas'!B12)),"WIN — boss down, next Level unlocks",IF(AND(B60="Fight boss",E60="OK"),"LOSE — TTK "&amp;TEXT(IF((((105/'Rules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Formulas'!B20*SQRT(1+0.55*(AG59&gt;=1))),0)))),"0")&amp;"s &gt; patience "&amp;TEXT('Rules &amp; Formulas'!B12,"0")&amp;"s (leave resets HP)",IF(B60="Go AFK","AFK resolved (see AFK counted h)","Applied")))))))))</f>
        <v/>
      </c>
      <c r="G60" s="7">
        <f>IF(AND((E60="OK"),B60="Fight boss",(IF((((105/'Rules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Formulas'!B12),C60="Elder Thornpelt"),2,IF(AND((E60="OK"),B60="Fight boss",(IF((((105/'Rules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Formulas'!B12),C60="Ashfang Alpha"),3,G59))</f>
        <v/>
      </c>
      <c r="H60" s="7">
        <f>MAX(0,H59+IF(AND((E60="OK"),B60="Hunt"),(IF(B60="Hunt",(('Rules &amp; Formulas'!B4*N59*('Rules &amp; Formulas'!B5+O59)*IFERROR(VLOOKUP(C60,Monsters!$T$4:$AH$15,10,FALSE),0)*IFERROR(VLOOKUP(C60,Monsters!$T$4:$AH$15,9,FALSE),0))*'Rules &amp; Formulas'!B6)*IF(D60="",0,D60),0))*(IFERROR(VLOOKUP(C60,Monsters!$T$4:$AH$15,3,FALSE),0))*(1+0.1*AH59)+(IF(OR(B60&lt;&gt;"Hunt",IFERROR(VLOOKUP(C60,Monsters!$T$4:$AH$15,6,FALSE),0)=0),0,FLOOR((IF(B60="Hunt",(('Rules &amp; Formulas'!B4*N59*('Rules &amp; Formulas'!B5+O59)*IFERROR(VLOOKUP(C60,Monsters!$T$4:$AH$15,10,FALSE),0)*IFERROR(VLOOKUP(C60,Monsters!$T$4:$AH$15,9,FALSE),0))*'Rules &amp; Formulas'!B6)*IF(D60="",0,D60),0))/MAX(1,IFERROR(VLOOKUP(C60,Monsters!$T$4:$AH$15,6,FALSE),0)),1)))*(IFERROR(VLOOKUP(C60,Monsters!$T$4:$AH$15,7,FALSE),0))*0.5*(1+0.1*AH59),0)+IF(AND((E60="OK"),B60="Go AFK"),(IF(B60="Go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AFK",IF(D60="",0,D60),0),Z59/60)*60)),0))*(IFERROR(VLOOKUP(C60,Monsters!$T$4:$AH$15,3,FALSE),0))*(1+0.1*AH59)+(IF(OR(B60&lt;&gt;"Go AFK",IFERROR(VLOOKUP(C60,Monsters!$T$4:$AH$15,6,FALSE),0)=0),0,FLOOR((IF(B60="Go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AFK",IF(D60="",0,D60),0),Z59/60)*60)),0))/MAX(1,IFERROR(VLOOKUP(C60,Monsters!$T$4:$AH$15,6,FALSE),0)),1)))*(IFERROR(VLOOKUP(C60,Monsters!$T$4:$AH$15,7,FALSE),0))*0.5*(1+0.1*AH59),0)+IF(AND((E60="OK"),B60="Fight boss",(IF((((105/'Rules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Formulas'!B12)),IFERROR(VLOOKUP(C60,Monsters!$T$4:$AH$15,3,FALSE),0),0)-IF(AND((E60="OK"),OR(B60="Buy upgrade",B60="Forge/Scrapwork buy"),IFERROR(VLOOKUP(C60,Upgrades!$N$4:$T$47,2,FALSE),0)="gold"),IFERROR(FLOOR(IFERROR(VLOOKUP(C60,Upgrades!$N$4:$T$47,3,FALSE),0)*(IFERROR(VLOOKUP(C60,Upgrades!$N$4:$T$47,4,FALSE),0)^(COUNTIFS($B$3:$B59,"Buy upgrade",$C$3:$C59,C60)+COUNTIFS($B$3:$B59,"Hire hunter",$C$3:$C59,C60)+COUNTIFS($B$3:$B59,"Forge/Scrapwork buy",$C$3:$C59,C60))),1),0),0)-IF(AND((E60="OK"),B60="Hire hunter"),IF(C60="Briar",140,IF(C60="Quill",3650,IF(C60="Moss",4850,IF(C60="Ember",12200,0)))),0))</f>
        <v/>
      </c>
      <c r="I60" s="7">
        <f>IF(AND((E60="OK"),B60="Fight boss",(IF((((105/'Rules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Formulas'!B12)),0,MIN(IF(G59&lt;=1,120,IF(G59=2,280,600)),I59+IF(AND((E60="OK"),B60="Hunt"),((IF(B60="Hunt",(('Rules &amp; Formulas'!B4*N59*('Rules &amp; Formulas'!B5+O59)*IFERROR(VLOOKUP(C60,Monsters!$T$4:$AH$15,10,FALSE),0)*IFERROR(VLOOKUP(C60,Monsters!$T$4:$AH$15,9,FALSE),0))*'Rules &amp; Formulas'!B6)*IF(D60="",0,D60),0))*(IFERROR(VLOOKUP(C60,Monsters!$T$4:$AH$15,4,FALSE),0))+(IF(OR(B60&lt;&gt;"Hunt",IFERROR(VLOOKUP(C60,Monsters!$T$4:$AH$15,6,FALSE),0)=0),0,FLOOR((IF(B60="Hunt",(('Rules &amp; Formulas'!B4*N59*('Rules &amp; Formulas'!B5+O59)*IFERROR(VLOOKUP(C60,Monsters!$T$4:$AH$15,10,FALSE),0)*IFERROR(VLOOKUP(C60,Monsters!$T$4:$AH$15,9,FALSE),0))*'Rules &amp; Formulas'!B6)*IF(D60="",0,D60),0))/MAX(1,IFERROR(VLOOKUP(C60,Monsters!$T$4:$AH$15,6,FALSE),0)),1)))*(IFERROR(VLOOKUP(C60,Monsters!$T$4:$AH$15,7,FALSE),0))),0)+IF(AND((E60="OK"),B60="Go AFK"),((IF(B60="Go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AFK",IF(D60="",0,D60),0),Z59/60)*60)),0))*(IFERROR(VLOOKUP(C60,Monsters!$T$4:$AH$15,4,FALSE),0))+(IF(OR(B60&lt;&gt;"Go AFK",IFERROR(VLOOKUP(C60,Monsters!$T$4:$AH$15,6,FALSE),0)=0),0,FLOOR((IF(B60="Go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AFK",IF(D60="",0,D60),0),Z59/60)*60)),0))/MAX(1,IFERROR(VLOOKUP(C60,Monsters!$T$4:$AH$15,6,FALSE),0)),1)))*(IFERROR(VLOOKUP(C60,Monsters!$T$4:$AH$15,7,FALSE),0))),0)))</f>
        <v/>
      </c>
      <c r="J60" s="7">
        <f>MAX(0,J59+IF(AND((E60="OK"),B60="Hunt"),(IF(B60="Hunt",(('Rules &amp; Formulas'!B4*N59*('Rules &amp; Formulas'!B5+O59)*IFERROR(VLOOKUP(C60,Monsters!$T$4:$AH$15,10,FALSE),0)*IFERROR(VLOOKUP(C60,Monsters!$T$4:$AH$15,9,FALSE),0))*'Rules &amp; Formulas'!B6)*IF(D60="",0,D60),0))*(IFERROR(VLOOKUP(C60,Monsters!$T$4:$AH$15,5,FALSE),0)),0)+IF(AND((E60="OK"),B60="Go AFK"),(IF(B60="Go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AFK",IF(D60="",0,D60),0),Z59/60)*60)),0))*(IFERROR(VLOOKUP(C60,Monsters!$T$4:$AH$15,5,FALSE),0)),0)-IF(AND((E60="OK"),OR(B60="Buy upgrade",B60="Forge/Scrapwork buy"),IFERROR(VLOOKUP(C60,Upgrades!$N$4:$T$47,2,FALSE),0)="scraps"),IFERROR(FLOOR(IFERROR(VLOOKUP(C60,Upgrades!$N$4:$T$47,3,FALSE),0)*(IFERROR(VLOOKUP(C60,Upgrades!$N$4:$T$47,4,FALSE),0)^(COUNTIFS($B$3:$B59,"Buy upgrade",$C$3:$C59,C60)+COUNTIFS($B$3:$B59,"Hire hunter",$C$3:$C59,C60)+COUNTIFS($B$3:$B59,"Forge/Scrapwork buy",$C$3:$C59,C60))),1),0),0))</f>
        <v/>
      </c>
      <c r="K60" s="7">
        <f>MAX(0,K59+IF(AND((E60="OK"),B60="Hunt"),IF(C60="Thornpelt Bear",(IF(B60="Hunt",(('Rules &amp; Formulas'!B4*N59*('Rules &amp; Formulas'!B5+O59)*IFERROR(VLOOKUP(C60,Monsters!$T$4:$AH$15,10,FALSE),0)*IFERROR(VLOOKUP(C60,Monsters!$T$4:$AH$15,9,FALSE),0))*'Rules &amp; Formulas'!B6)*IF(D60="",0,D60),0))*0.12,0),0)+IF(AND((E60="OK"),B60="Go AFK"),IF(C60="Thornpelt Bear",(IF(B60="Go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AFK",IF(D60="",0,D60),0),Z59/60)*60)),0))*0.12,0),0))</f>
        <v/>
      </c>
      <c r="L60" s="7">
        <f>MAX(0,L59+IF(AND((E60="OK"),B60="Hunt"),IF(C60="Dire Thornpelt",(IF(B60="Hunt",(('Rules &amp; Formulas'!B4*N59*('Rules &amp; Formulas'!B5+O59)*IFERROR(VLOOKUP(C60,Monsters!$T$4:$AH$15,10,FALSE),0)*IFERROR(VLOOKUP(C60,Monsters!$T$4:$AH$15,9,FALSE),0))*'Rules &amp; Formulas'!B6)*IF(D60="",0,D60),0))*0.1,0),0)+IF(AND((E60="OK"),B60="Go AFK"),IF(C60="Dire Thornpelt",(IF(B60="Go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AFK",IF(D60="",0,D60),0),Z59/60)*60)),0))*0.1,0),0))</f>
        <v/>
      </c>
      <c r="M60" s="7">
        <f>IF(AND((E60="OK"),B60="Go AFK"),MAX(0,MIN(('Rules &amp; Formulas'!B15+25*AJ59),M59+('Rules &amp; Formulas'!B14+0.4*AJ59)*(MIN(IF(B60="Go AFK",IF(D60="",0,D60),0),Z59/60)*60))-(IF(B60="Go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AFK",IF(D60="",0,D60),0),Z59/60)*60)),0))*(IF((IFERROR(VLOOKUP(C60,Monsters!$T$4:$AH$15,8,FALSE),0))=0,0.35,IFERROR(VLOOKUP(C60,Monsters!$T$4:$AH$15,8,FALSE),0))/(1+0.08*AK59))),MIN(('Rules &amp; Formulas'!B15+25*AJ60),M59))</f>
        <v/>
      </c>
      <c r="N60" s="7">
        <f>(1+0.08+0.12*AA60+0.12*AB60+0.16*AC60)</f>
        <v/>
      </c>
      <c r="O60" s="7">
        <f>((AD60&gt;=1)*1*(1+0.3*AE60))</f>
        <v/>
      </c>
      <c r="P60" s="7">
        <f>IF(OR(B60="Hunt",B60="Go AFK"),(('Rules &amp; Formulas'!B4*N59*('Rules &amp; Formulas'!B5+O59)*IFERROR(VLOOKUP(C60,Monsters!$T$4:$AH$15,10,FALSE),0)*IFERROR(VLOOKUP(C60,Monsters!$T$4:$AH$15,9,FALSE),0))*'Rules &amp; Formulas'!B6),"")</f>
        <v/>
      </c>
      <c r="Q60" s="7">
        <f>IF(OR(B60="Hunt",B60="Go AFK"),('Rules &amp; Formulas'!B4*N59*('Rules &amp; Formulas'!B5+O59)*IFERROR(VLOOKUP(C60,Monsters!$T$4:$AH$15,10,FALSE),0)*IFERROR(VLOOKUP(C60,Monsters!$T$4:$AH$15,9,FALSE),0)),"")</f>
        <v/>
      </c>
      <c r="R60" s="7">
        <f>IF(AND((E60="OK"),B60="Hunt"),IF(B60="Hunt",(('Rules &amp; Formulas'!B4*N59*('Rules &amp; Formulas'!B5+O59)*IFERROR(VLOOKUP(C60,Monsters!$T$4:$AH$15,10,FALSE),0)*IFERROR(VLOOKUP(C60,Monsters!$T$4:$AH$15,9,FALSE),0))*'Rules &amp; Formulas'!B6)*IF(D60="",0,D60),0),IF(AND((E60="OK"),B60="Go AFK"),IF(B60="Go AFK",MIN(IF((IF((IFERROR(VLOOKUP(C60,Monsters!$T$4:$AH$15,8,FALSE),0))=0,0.35,IFERROR(VLOOKUP(C60,Monsters!$T$4:$AH$15,8,FALSE),0))/(1+0.08*AK59))&lt;=0,999999,FLOOR(MIN(('Rules &amp; Formulas'!B15+25*AJ59),M59+('Rules &amp; Formulas'!B14+0.4*AJ59)*(MIN(IF(B60="Go AFK",IF(D60="",0,D60),0),Z59/60)*60))/(IF((IFERROR(VLOOKUP(C60,Monsters!$T$4:$AH$15,8,FALSE),0))=0,0.35,IFERROR(VLOOKUP(C60,Monsters!$T$4:$AH$15,8,FALSE),0))/(1+0.08*AK59)),1)),('Rules &amp; Formulas'!B4*N59*('Rules &amp; Formulas'!B5+O59)*IFERROR(VLOOKUP(C60,Monsters!$T$4:$AH$15,10,FALSE),0)*IFERROR(VLOOKUP(C60,Monsters!$T$4:$AH$15,9,FALSE),0))*(MIN(IF(B60="Go AFK",IF(D60="",0,D60),0),Z59/60)*60)),0),0))</f>
        <v/>
      </c>
      <c r="S60" s="7">
        <f>(105/'Rules &amp; Formulas'!B10)*'Rules &amp; Formulas'!B11</f>
        <v/>
      </c>
      <c r="T60" s="7">
        <f>IF(AD59&gt;=1,(MAX(1,ROUND('Rules &amp; Formulas'!B18*(1+0.3*AE59)*(1+0.4*AF59),0)))*(1000/'Rules &amp; Formulas'!B19)*MIN(0.95,'Rules &amp; Formulas'!B20*SQRT(1+0.55*(AG59&gt;=1))),0)</f>
        <v/>
      </c>
      <c r="U60" s="7">
        <f>S60+T60</f>
        <v/>
      </c>
      <c r="V60" s="7">
        <f>IF(I59&gt;=IF((IFERROR(VLOOKUP(C60,Monsters!$T$4:$AH$15,15,FALSE),0))=0,120,IFERROR(VLOOKUP(C60,Monsters!$T$4:$AH$15,15,FALSE),0)),"YES","no")</f>
        <v/>
      </c>
      <c r="W60" s="7">
        <f>IF(AND(B60="Fight boss",E60="OK"),IF((((105/'Rules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Formulas'!B20*SQRT(1+0.55*(AG59&gt;=1))),0)))),"")</f>
        <v/>
      </c>
      <c r="X60" s="7">
        <f>IF(AND(B60="Fight boss",E60="OK"),IF((IF((((105/'Rules &amp; Formulas'!B10)*'Rules &amp; Formulas'!B11+IF(AD59&gt;=1,(MAX(1,ROUND('Rules &amp; Formulas'!B18*(1+0.3*AE59)*(1+0.4*AF59),0)))*(1000/'Rules &amp; Formulas'!B19)*MIN(0.95,'Rules &amp; Formulas'!B20*SQRT(1+0.55*(AG59&gt;=1))),0)))&lt;=0,9999,(IFERROR(VLOOKUP(C60,Monsters!$T$4:$AH$15,2,FALSE),0))/(((105/'Rules &amp; Formulas'!B10)*'Rules &amp; Formulas'!B11+IF(AD59&gt;=1,(MAX(1,ROUND('Rules &amp; Formulas'!B18*(1+0.3*AE59)*(1+0.4*AF59),0)))*(1000/'Rules &amp; Formulas'!B19)*MIN(0.95,'Rules &amp; Formulas'!B20*SQRT(1+0.55*(AG59&gt;=1))),0))))&lt;='Rules &amp; Formulas'!B12),"WIN","LOSE"),"")</f>
        <v/>
      </c>
      <c r="Y60" s="7">
        <f>IF(B60="Go AFK",MIN(IF(B60="Go AFK",IF(D60="",0,D60),0),Z59/60),"")</f>
        <v/>
      </c>
      <c r="Z60" s="7">
        <f>('Rules &amp; Formulas'!B13+30*AI60)</f>
        <v/>
      </c>
      <c r="AA60">
        <f>COUNTIFS($B$3:$B60,"Buy upgrade",$C$3:$C60,"Idle Power")</f>
        <v/>
      </c>
      <c r="AB60">
        <f>COUNTIFS($B$3:$B60,"Buy upgrade",$C$3:$C60,"Iron Blade")</f>
        <v/>
      </c>
      <c r="AC60">
        <f>COUNTIFS($B$3:$B60,"Buy upgrade",$C$3:$C60,"Steel Blade")</f>
        <v/>
      </c>
      <c r="AD60">
        <f>COUNTIFS($B$3:$B60,"Hire hunter",$C$3:$C60,"Briar")+COUNTIFS($B$3:$B60,"Buy upgrade",$C$3:$C60,"Hire Briar")</f>
        <v/>
      </c>
      <c r="AE60">
        <f>COUNTIFS($B$3:$B60,"Buy upgrade",$C$3:$C60,"Hunter Power")</f>
        <v/>
      </c>
      <c r="AF60">
        <f>COUNTIFS($B$3:$B60,"Buy upgrade",$C$3:$C60,"Bigger Hits")</f>
        <v/>
      </c>
      <c r="AG60">
        <f>COUNTIFS($B$3:$B60,"Buy upgrade",$C$3:$C60,"Swift Walk")</f>
        <v/>
      </c>
      <c r="AH60">
        <f>COUNTIFS($B$3:$B60,"Buy upgrade",$C$3:$C60,"Loot Luck")</f>
        <v/>
      </c>
      <c r="AI60">
        <f>COUNTIFS($B$3:$B60,"Buy upgrade",$C$3:$C60,"Offline Cap")</f>
        <v/>
      </c>
      <c r="AJ60">
        <f>COUNTIFS($B$3:$B60,"Buy upgrade",$C$3:$C60,"Bigger Food Stock")</f>
        <v/>
      </c>
      <c r="AK60">
        <f>COUNTIFS($B$3:$B60,"Buy upgrade",$C$3:$C60,"Food Efficiency")</f>
        <v/>
      </c>
    </row>
    <row r="61">
      <c r="A61" t="n">
        <v>59</v>
      </c>
      <c r="B61" s="6" t="n"/>
      <c r="C61" s="6" t="n"/>
      <c r="D61" s="6" t="n"/>
      <c r="E61" s="7">
        <f>IF(B61="","",IF(OR(B61="Hunt",B61="Go AFK"),IF(C61="","Can't","OK"),IF(B61="Fight boss",IF(I60&lt;IF((IFERROR(VLOOKUP(C61,Monsters!$T$4:$AH$15,15,FALSE),0))=0,120,IFERROR(VLOOKUP(C61,Monsters!$T$4:$AH$15,15,FALSE),0)),"Can't","OK"),IF(B61="Hire hunter",IF(AND(C61="Briar",AD60&gt;=1),"Can't",IF(H60&lt;IF(C61="Briar",140,IF(C61="Quill",3650,IF(C61="Moss",4850,IF(C61="Ember",12200,0)))),"Can't","OK")),IF(OR(B61="Buy upgrade",B61="Forge/Scrapwork buy"),IF(IFERROR(VLOOKUP(C61,Upgrades!$N$4:$T$47,2,FALSE),0)="points","Can't",IF(IFERROR(VLOOKUP(C61,Upgrades!$N$4:$T$47,2,FALSE),0)="gold",IF(H60&lt;IFERROR(FLOOR(IFERROR(VLOOKUP(C61,Upgrades!$N$4:$T$47,3,FALSE),0)*(IFERROR(VLOOKUP(C61,Upgrades!$N$4:$T$47,4,FALSE),0)^(COUNTIFS($B$3:$B60,"Buy upgrade",$C$3:$C60,C61)+COUNTIFS($B$3:$B60,"Hire hunter",$C$3:$C60,C61)+COUNTIFS($B$3:$B60,"Forge/Scrapwork buy",$C$3:$C60,C61))),1),0),"Can't","OK"),IF(IFERROR(VLOOKUP(C61,Upgrades!$N$4:$T$47,2,FALSE),0)="scraps",IF(J60&lt;IFERROR(FLOOR(IFERROR(VLOOKUP(C61,Upgrades!$N$4:$T$47,3,FALSE),0)*(IFERROR(VLOOKUP(C61,Upgrades!$N$4:$T$47,4,FALSE),0)^(COUNTIFS($B$3:$B60,"Buy upgrade",$C$3:$C60,C61)+COUNTIFS($B$3:$B60,"Hire hunter",$C$3:$C60,C61)+COUNTIFS($B$3:$B60,"Forge/Scrapwork buy",$C$3:$C60,C61))),1),0),"Can't","OK"),IF(IFERROR(VLOOKUP(C61,Upgrades!$N$4:$T$47,2,FALSE),0)="mats","Can't","OK")))),"Check")))))</f>
        <v/>
      </c>
      <c r="F61" s="7">
        <f>IF(B61="","",IF(AND(B61="Fight boss",I60&lt;IF((IFERROR(VLOOKUP(C61,Monsters!$T$4:$AH$15,15,FALSE),0))=0,120,IFERROR(VLOOKUP(C61,Monsters!$T$4:$AH$15,15,FALSE),0))),"Can't — need "&amp;TEXT(IF((IFERROR(VLOOKUP(C61,Monsters!$T$4:$AH$15,15,FALSE),0))=0,120,IFERROR(VLOOKUP(C61,Monsters!$T$4:$AH$15,15,FALSE),0))-I60,"0.0")&amp;" more Slayer points on the meter",IF(AND(B61="Hire hunter",C61="Briar",AD60&gt;=1),"Can't — already hired",IF(AND(B61="Hire hunter",H60&lt;IF(C61="Briar",140,IF(C61="Quill",3650,IF(C61="Moss",4850,IF(C61="Ember",12200,0))))),"Can't — need "&amp;TEXT(IF(C61="Briar",140,IF(C61="Quill",3650,IF(C61="Moss",4850,IF(C61="Ember",12200,0))))-H60,"0")&amp;" more gold",IF(AND(OR(B61="Buy upgrade",B61="Forge/Scrapwork buy"),IFERROR(VLOOKUP(C61,Upgrades!$N$4:$T$47,2,FALSE),0)="points"),"Can't — Sp-wallet spends not tracked here",IF(AND(OR(B61="Buy upgrade",B61="Forge/Scrapwork buy"),IFERROR(VLOOKUP(C61,Upgrades!$N$4:$T$47,2,FALSE),0)="gold",H60&lt;IFERROR(FLOOR(IFERROR(VLOOKUP(C61,Upgrades!$N$4:$T$47,3,FALSE),0)*(IFERROR(VLOOKUP(C61,Upgrades!$N$4:$T$47,4,FALSE),0)^(COUNTIFS($B$3:$B60,"Buy upgrade",$C$3:$C60,C61)+COUNTIFS($B$3:$B60,"Hire hunter",$C$3:$C60,C61)+COUNTIFS($B$3:$B60,"Forge/Scrapwork buy",$C$3:$C60,C61))),1),0)),"Can't — need "&amp;TEXT(IFERROR(FLOOR(IFERROR(VLOOKUP(C61,Upgrades!$N$4:$T$47,3,FALSE),0)*(IFERROR(VLOOKUP(C61,Upgrades!$N$4:$T$47,4,FALSE),0)^(COUNTIFS($B$3:$B60,"Buy upgrade",$C$3:$C60,C61)+COUNTIFS($B$3:$B60,"Hire hunter",$C$3:$C60,C61)+COUNTIFS($B$3:$B60,"Forge/Scrapwork buy",$C$3:$C60,C61))),1),0)-H60,"0")&amp;" more gold",IF(AND(OR(B61="Buy upgrade",B61="Forge/Scrapwork buy"),IFERROR(VLOOKUP(C61,Upgrades!$N$4:$T$47,2,FALSE),0)="scraps",J60&lt;IFERROR(FLOOR(IFERROR(VLOOKUP(C61,Upgrades!$N$4:$T$47,3,FALSE),0)*(IFERROR(VLOOKUP(C61,Upgrades!$N$4:$T$47,4,FALSE),0)^(COUNTIFS($B$3:$B60,"Buy upgrade",$C$3:$C60,C61)+COUNTIFS($B$3:$B60,"Hire hunter",$C$3:$C60,C61)+COUNTIFS($B$3:$B60,"Forge/Scrapwork buy",$C$3:$C60,C61))),1),0)),"Can't — need "&amp;TEXT(IFERROR(FLOOR(IFERROR(VLOOKUP(C61,Upgrades!$N$4:$T$47,3,FALSE),0)*(IFERROR(VLOOKUP(C61,Upgrades!$N$4:$T$47,4,FALSE),0)^(COUNTIFS($B$3:$B60,"Buy upgrade",$C$3:$C60,C61)+COUNTIFS($B$3:$B60,"Hire hunter",$C$3:$C60,C61)+COUNTIFS($B$3:$B60,"Forge/Scrapwork buy",$C$3:$C60,C61))),1),0)-J60,"0")&amp;" more scraps",IF(AND(B61="Fight boss",E61="OK",(IF((((105/'Rules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Formulas'!B12)),"WIN — boss down, next Level unlocks",IF(AND(B61="Fight boss",E61="OK"),"LOSE — TTK "&amp;TEXT(IF((((105/'Rules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Formulas'!B20*SQRT(1+0.55*(AG60&gt;=1))),0)))),"0")&amp;"s &gt; patience "&amp;TEXT('Rules &amp; Formulas'!B12,"0")&amp;"s (leave resets HP)",IF(B61="Go AFK","AFK resolved (see AFK counted h)","Applied")))))))))</f>
        <v/>
      </c>
      <c r="G61" s="7">
        <f>IF(AND((E61="OK"),B61="Fight boss",(IF((((105/'Rules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Formulas'!B12),C61="Elder Thornpelt"),2,IF(AND((E61="OK"),B61="Fight boss",(IF((((105/'Rules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Formulas'!B12),C61="Ashfang Alpha"),3,G60))</f>
        <v/>
      </c>
      <c r="H61" s="7">
        <f>MAX(0,H60+IF(AND((E61="OK"),B61="Hunt"),(IF(B61="Hunt",(('Rules &amp; Formulas'!B4*N60*('Rules &amp; Formulas'!B5+O60)*IFERROR(VLOOKUP(C61,Monsters!$T$4:$AH$15,10,FALSE),0)*IFERROR(VLOOKUP(C61,Monsters!$T$4:$AH$15,9,FALSE),0))*'Rules &amp; Formulas'!B6)*IF(D61="",0,D61),0))*(IFERROR(VLOOKUP(C61,Monsters!$T$4:$AH$15,3,FALSE),0))*(1+0.1*AH60)+(IF(OR(B61&lt;&gt;"Hunt",IFERROR(VLOOKUP(C61,Monsters!$T$4:$AH$15,6,FALSE),0)=0),0,FLOOR((IF(B61="Hunt",(('Rules &amp; Formulas'!B4*N60*('Rules &amp; Formulas'!B5+O60)*IFERROR(VLOOKUP(C61,Monsters!$T$4:$AH$15,10,FALSE),0)*IFERROR(VLOOKUP(C61,Monsters!$T$4:$AH$15,9,FALSE),0))*'Rules &amp; Formulas'!B6)*IF(D61="",0,D61),0))/MAX(1,IFERROR(VLOOKUP(C61,Monsters!$T$4:$AH$15,6,FALSE),0)),1)))*(IFERROR(VLOOKUP(C61,Monsters!$T$4:$AH$15,7,FALSE),0))*0.5*(1+0.1*AH60),0)+IF(AND((E61="OK"),B61="Go AFK"),(IF(B61="Go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AFK",IF(D61="",0,D61),0),Z60/60)*60)),0))*(IFERROR(VLOOKUP(C61,Monsters!$T$4:$AH$15,3,FALSE),0))*(1+0.1*AH60)+(IF(OR(B61&lt;&gt;"Go AFK",IFERROR(VLOOKUP(C61,Monsters!$T$4:$AH$15,6,FALSE),0)=0),0,FLOOR((IF(B61="Go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AFK",IF(D61="",0,D61),0),Z60/60)*60)),0))/MAX(1,IFERROR(VLOOKUP(C61,Monsters!$T$4:$AH$15,6,FALSE),0)),1)))*(IFERROR(VLOOKUP(C61,Monsters!$T$4:$AH$15,7,FALSE),0))*0.5*(1+0.1*AH60),0)+IF(AND((E61="OK"),B61="Fight boss",(IF((((105/'Rules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Formulas'!B12)),IFERROR(VLOOKUP(C61,Monsters!$T$4:$AH$15,3,FALSE),0),0)-IF(AND((E61="OK"),OR(B61="Buy upgrade",B61="Forge/Scrapwork buy"),IFERROR(VLOOKUP(C61,Upgrades!$N$4:$T$47,2,FALSE),0)="gold"),IFERROR(FLOOR(IFERROR(VLOOKUP(C61,Upgrades!$N$4:$T$47,3,FALSE),0)*(IFERROR(VLOOKUP(C61,Upgrades!$N$4:$T$47,4,FALSE),0)^(COUNTIFS($B$3:$B60,"Buy upgrade",$C$3:$C60,C61)+COUNTIFS($B$3:$B60,"Hire hunter",$C$3:$C60,C61)+COUNTIFS($B$3:$B60,"Forge/Scrapwork buy",$C$3:$C60,C61))),1),0),0)-IF(AND((E61="OK"),B61="Hire hunter"),IF(C61="Briar",140,IF(C61="Quill",3650,IF(C61="Moss",4850,IF(C61="Ember",12200,0)))),0))</f>
        <v/>
      </c>
      <c r="I61" s="7">
        <f>IF(AND((E61="OK"),B61="Fight boss",(IF((((105/'Rules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Formulas'!B12)),0,MIN(IF(G60&lt;=1,120,IF(G60=2,280,600)),I60+IF(AND((E61="OK"),B61="Hunt"),((IF(B61="Hunt",(('Rules &amp; Formulas'!B4*N60*('Rules &amp; Formulas'!B5+O60)*IFERROR(VLOOKUP(C61,Monsters!$T$4:$AH$15,10,FALSE),0)*IFERROR(VLOOKUP(C61,Monsters!$T$4:$AH$15,9,FALSE),0))*'Rules &amp; Formulas'!B6)*IF(D61="",0,D61),0))*(IFERROR(VLOOKUP(C61,Monsters!$T$4:$AH$15,4,FALSE),0))+(IF(OR(B61&lt;&gt;"Hunt",IFERROR(VLOOKUP(C61,Monsters!$T$4:$AH$15,6,FALSE),0)=0),0,FLOOR((IF(B61="Hunt",(('Rules &amp; Formulas'!B4*N60*('Rules &amp; Formulas'!B5+O60)*IFERROR(VLOOKUP(C61,Monsters!$T$4:$AH$15,10,FALSE),0)*IFERROR(VLOOKUP(C61,Monsters!$T$4:$AH$15,9,FALSE),0))*'Rules &amp; Formulas'!B6)*IF(D61="",0,D61),0))/MAX(1,IFERROR(VLOOKUP(C61,Monsters!$T$4:$AH$15,6,FALSE),0)),1)))*(IFERROR(VLOOKUP(C61,Monsters!$T$4:$AH$15,7,FALSE),0))),0)+IF(AND((E61="OK"),B61="Go AFK"),((IF(B61="Go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AFK",IF(D61="",0,D61),0),Z60/60)*60)),0))*(IFERROR(VLOOKUP(C61,Monsters!$T$4:$AH$15,4,FALSE),0))+(IF(OR(B61&lt;&gt;"Go AFK",IFERROR(VLOOKUP(C61,Monsters!$T$4:$AH$15,6,FALSE),0)=0),0,FLOOR((IF(B61="Go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AFK",IF(D61="",0,D61),0),Z60/60)*60)),0))/MAX(1,IFERROR(VLOOKUP(C61,Monsters!$T$4:$AH$15,6,FALSE),0)),1)))*(IFERROR(VLOOKUP(C61,Monsters!$T$4:$AH$15,7,FALSE),0))),0)))</f>
        <v/>
      </c>
      <c r="J61" s="7">
        <f>MAX(0,J60+IF(AND((E61="OK"),B61="Hunt"),(IF(B61="Hunt",(('Rules &amp; Formulas'!B4*N60*('Rules &amp; Formulas'!B5+O60)*IFERROR(VLOOKUP(C61,Monsters!$T$4:$AH$15,10,FALSE),0)*IFERROR(VLOOKUP(C61,Monsters!$T$4:$AH$15,9,FALSE),0))*'Rules &amp; Formulas'!B6)*IF(D61="",0,D61),0))*(IFERROR(VLOOKUP(C61,Monsters!$T$4:$AH$15,5,FALSE),0)),0)+IF(AND((E61="OK"),B61="Go AFK"),(IF(B61="Go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AFK",IF(D61="",0,D61),0),Z60/60)*60)),0))*(IFERROR(VLOOKUP(C61,Monsters!$T$4:$AH$15,5,FALSE),0)),0)-IF(AND((E61="OK"),OR(B61="Buy upgrade",B61="Forge/Scrapwork buy"),IFERROR(VLOOKUP(C61,Upgrades!$N$4:$T$47,2,FALSE),0)="scraps"),IFERROR(FLOOR(IFERROR(VLOOKUP(C61,Upgrades!$N$4:$T$47,3,FALSE),0)*(IFERROR(VLOOKUP(C61,Upgrades!$N$4:$T$47,4,FALSE),0)^(COUNTIFS($B$3:$B60,"Buy upgrade",$C$3:$C60,C61)+COUNTIFS($B$3:$B60,"Hire hunter",$C$3:$C60,C61)+COUNTIFS($B$3:$B60,"Forge/Scrapwork buy",$C$3:$C60,C61))),1),0),0))</f>
        <v/>
      </c>
      <c r="K61" s="7">
        <f>MAX(0,K60+IF(AND((E61="OK"),B61="Hunt"),IF(C61="Thornpelt Bear",(IF(B61="Hunt",(('Rules &amp; Formulas'!B4*N60*('Rules &amp; Formulas'!B5+O60)*IFERROR(VLOOKUP(C61,Monsters!$T$4:$AH$15,10,FALSE),0)*IFERROR(VLOOKUP(C61,Monsters!$T$4:$AH$15,9,FALSE),0))*'Rules &amp; Formulas'!B6)*IF(D61="",0,D61),0))*0.12,0),0)+IF(AND((E61="OK"),B61="Go AFK"),IF(C61="Thornpelt Bear",(IF(B61="Go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AFK",IF(D61="",0,D61),0),Z60/60)*60)),0))*0.12,0),0))</f>
        <v/>
      </c>
      <c r="L61" s="7">
        <f>MAX(0,L60+IF(AND((E61="OK"),B61="Hunt"),IF(C61="Dire Thornpelt",(IF(B61="Hunt",(('Rules &amp; Formulas'!B4*N60*('Rules &amp; Formulas'!B5+O60)*IFERROR(VLOOKUP(C61,Monsters!$T$4:$AH$15,10,FALSE),0)*IFERROR(VLOOKUP(C61,Monsters!$T$4:$AH$15,9,FALSE),0))*'Rules &amp; Formulas'!B6)*IF(D61="",0,D61),0))*0.1,0),0)+IF(AND((E61="OK"),B61="Go AFK"),IF(C61="Dire Thornpelt",(IF(B61="Go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AFK",IF(D61="",0,D61),0),Z60/60)*60)),0))*0.1,0),0))</f>
        <v/>
      </c>
      <c r="M61" s="7">
        <f>IF(AND((E61="OK"),B61="Go AFK"),MAX(0,MIN(('Rules &amp; Formulas'!B15+25*AJ60),M60+('Rules &amp; Formulas'!B14+0.4*AJ60)*(MIN(IF(B61="Go AFK",IF(D61="",0,D61),0),Z60/60)*60))-(IF(B61="Go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AFK",IF(D61="",0,D61),0),Z60/60)*60)),0))*(IF((IFERROR(VLOOKUP(C61,Monsters!$T$4:$AH$15,8,FALSE),0))=0,0.35,IFERROR(VLOOKUP(C61,Monsters!$T$4:$AH$15,8,FALSE),0))/(1+0.08*AK60))),MIN(('Rules &amp; Formulas'!B15+25*AJ61),M60))</f>
        <v/>
      </c>
      <c r="N61" s="7">
        <f>(1+0.08+0.12*AA61+0.12*AB61+0.16*AC61)</f>
        <v/>
      </c>
      <c r="O61" s="7">
        <f>((AD61&gt;=1)*1*(1+0.3*AE61))</f>
        <v/>
      </c>
      <c r="P61" s="7">
        <f>IF(OR(B61="Hunt",B61="Go AFK"),(('Rules &amp; Formulas'!B4*N60*('Rules &amp; Formulas'!B5+O60)*IFERROR(VLOOKUP(C61,Monsters!$T$4:$AH$15,10,FALSE),0)*IFERROR(VLOOKUP(C61,Monsters!$T$4:$AH$15,9,FALSE),0))*'Rules &amp; Formulas'!B6),"")</f>
        <v/>
      </c>
      <c r="Q61" s="7">
        <f>IF(OR(B61="Hunt",B61="Go AFK"),('Rules &amp; Formulas'!B4*N60*('Rules &amp; Formulas'!B5+O60)*IFERROR(VLOOKUP(C61,Monsters!$T$4:$AH$15,10,FALSE),0)*IFERROR(VLOOKUP(C61,Monsters!$T$4:$AH$15,9,FALSE),0)),"")</f>
        <v/>
      </c>
      <c r="R61" s="7">
        <f>IF(AND((E61="OK"),B61="Hunt"),IF(B61="Hunt",(('Rules &amp; Formulas'!B4*N60*('Rules &amp; Formulas'!B5+O60)*IFERROR(VLOOKUP(C61,Monsters!$T$4:$AH$15,10,FALSE),0)*IFERROR(VLOOKUP(C61,Monsters!$T$4:$AH$15,9,FALSE),0))*'Rules &amp; Formulas'!B6)*IF(D61="",0,D61),0),IF(AND((E61="OK"),B61="Go AFK"),IF(B61="Go AFK",MIN(IF((IF((IFERROR(VLOOKUP(C61,Monsters!$T$4:$AH$15,8,FALSE),0))=0,0.35,IFERROR(VLOOKUP(C61,Monsters!$T$4:$AH$15,8,FALSE),0))/(1+0.08*AK60))&lt;=0,999999,FLOOR(MIN(('Rules &amp; Formulas'!B15+25*AJ60),M60+('Rules &amp; Formulas'!B14+0.4*AJ60)*(MIN(IF(B61="Go AFK",IF(D61="",0,D61),0),Z60/60)*60))/(IF((IFERROR(VLOOKUP(C61,Monsters!$T$4:$AH$15,8,FALSE),0))=0,0.35,IFERROR(VLOOKUP(C61,Monsters!$T$4:$AH$15,8,FALSE),0))/(1+0.08*AK60)),1)),('Rules &amp; Formulas'!B4*N60*('Rules &amp; Formulas'!B5+O60)*IFERROR(VLOOKUP(C61,Monsters!$T$4:$AH$15,10,FALSE),0)*IFERROR(VLOOKUP(C61,Monsters!$T$4:$AH$15,9,FALSE),0))*(MIN(IF(B61="Go AFK",IF(D61="",0,D61),0),Z60/60)*60)),0),0))</f>
        <v/>
      </c>
      <c r="S61" s="7">
        <f>(105/'Rules &amp; Formulas'!B10)*'Rules &amp; Formulas'!B11</f>
        <v/>
      </c>
      <c r="T61" s="7">
        <f>IF(AD60&gt;=1,(MAX(1,ROUND('Rules &amp; Formulas'!B18*(1+0.3*AE60)*(1+0.4*AF60),0)))*(1000/'Rules &amp; Formulas'!B19)*MIN(0.95,'Rules &amp; Formulas'!B20*SQRT(1+0.55*(AG60&gt;=1))),0)</f>
        <v/>
      </c>
      <c r="U61" s="7">
        <f>S61+T61</f>
        <v/>
      </c>
      <c r="V61" s="7">
        <f>IF(I60&gt;=IF((IFERROR(VLOOKUP(C61,Monsters!$T$4:$AH$15,15,FALSE),0))=0,120,IFERROR(VLOOKUP(C61,Monsters!$T$4:$AH$15,15,FALSE),0)),"YES","no")</f>
        <v/>
      </c>
      <c r="W61" s="7">
        <f>IF(AND(B61="Fight boss",E61="OK"),IF((((105/'Rules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Formulas'!B20*SQRT(1+0.55*(AG60&gt;=1))),0)))),"")</f>
        <v/>
      </c>
      <c r="X61" s="7">
        <f>IF(AND(B61="Fight boss",E61="OK"),IF((IF((((105/'Rules &amp; Formulas'!B10)*'Rules &amp; Formulas'!B11+IF(AD60&gt;=1,(MAX(1,ROUND('Rules &amp; Formulas'!B18*(1+0.3*AE60)*(1+0.4*AF60),0)))*(1000/'Rules &amp; Formulas'!B19)*MIN(0.95,'Rules &amp; Formulas'!B20*SQRT(1+0.55*(AG60&gt;=1))),0)))&lt;=0,9999,(IFERROR(VLOOKUP(C61,Monsters!$T$4:$AH$15,2,FALSE),0))/(((105/'Rules &amp; Formulas'!B10)*'Rules &amp; Formulas'!B11+IF(AD60&gt;=1,(MAX(1,ROUND('Rules &amp; Formulas'!B18*(1+0.3*AE60)*(1+0.4*AF60),0)))*(1000/'Rules &amp; Formulas'!B19)*MIN(0.95,'Rules &amp; Formulas'!B20*SQRT(1+0.55*(AG60&gt;=1))),0))))&lt;='Rules &amp; Formulas'!B12),"WIN","LOSE"),"")</f>
        <v/>
      </c>
      <c r="Y61" s="7">
        <f>IF(B61="Go AFK",MIN(IF(B61="Go AFK",IF(D61="",0,D61),0),Z60/60),"")</f>
        <v/>
      </c>
      <c r="Z61" s="7">
        <f>('Rules &amp; Formulas'!B13+30*AI61)</f>
        <v/>
      </c>
      <c r="AA61">
        <f>COUNTIFS($B$3:$B61,"Buy upgrade",$C$3:$C61,"Idle Power")</f>
        <v/>
      </c>
      <c r="AB61">
        <f>COUNTIFS($B$3:$B61,"Buy upgrade",$C$3:$C61,"Iron Blade")</f>
        <v/>
      </c>
      <c r="AC61">
        <f>COUNTIFS($B$3:$B61,"Buy upgrade",$C$3:$C61,"Steel Blade")</f>
        <v/>
      </c>
      <c r="AD61">
        <f>COUNTIFS($B$3:$B61,"Hire hunter",$C$3:$C61,"Briar")+COUNTIFS($B$3:$B61,"Buy upgrade",$C$3:$C61,"Hire Briar")</f>
        <v/>
      </c>
      <c r="AE61">
        <f>COUNTIFS($B$3:$B61,"Buy upgrade",$C$3:$C61,"Hunter Power")</f>
        <v/>
      </c>
      <c r="AF61">
        <f>COUNTIFS($B$3:$B61,"Buy upgrade",$C$3:$C61,"Bigger Hits")</f>
        <v/>
      </c>
      <c r="AG61">
        <f>COUNTIFS($B$3:$B61,"Buy upgrade",$C$3:$C61,"Swift Walk")</f>
        <v/>
      </c>
      <c r="AH61">
        <f>COUNTIFS($B$3:$B61,"Buy upgrade",$C$3:$C61,"Loot Luck")</f>
        <v/>
      </c>
      <c r="AI61">
        <f>COUNTIFS($B$3:$B61,"Buy upgrade",$C$3:$C61,"Offline Cap")</f>
        <v/>
      </c>
      <c r="AJ61">
        <f>COUNTIFS($B$3:$B61,"Buy upgrade",$C$3:$C61,"Bigger Food Stock")</f>
        <v/>
      </c>
      <c r="AK61">
        <f>COUNTIFS($B$3:$B61,"Buy upgrade",$C$3:$C61,"Food Efficiency")</f>
        <v/>
      </c>
    </row>
    <row r="62">
      <c r="A62" t="n">
        <v>60</v>
      </c>
      <c r="B62" s="6" t="n"/>
      <c r="C62" s="6" t="n"/>
      <c r="D62" s="6" t="n"/>
      <c r="E62" s="7">
        <f>IF(B62="","",IF(OR(B62="Hunt",B62="Go AFK"),IF(C62="","Can't","OK"),IF(B62="Fight boss",IF(I61&lt;IF((IFERROR(VLOOKUP(C62,Monsters!$T$4:$AH$15,15,FALSE),0))=0,120,IFERROR(VLOOKUP(C62,Monsters!$T$4:$AH$15,15,FALSE),0)),"Can't","OK"),IF(B62="Hire hunter",IF(AND(C62="Briar",AD61&gt;=1),"Can't",IF(H61&lt;IF(C62="Briar",140,IF(C62="Quill",3650,IF(C62="Moss",4850,IF(C62="Ember",12200,0)))),"Can't","OK")),IF(OR(B62="Buy upgrade",B62="Forge/Scrapwork buy"),IF(IFERROR(VLOOKUP(C62,Upgrades!$N$4:$T$47,2,FALSE),0)="points","Can't",IF(IFERROR(VLOOKUP(C62,Upgrades!$N$4:$T$47,2,FALSE),0)="gold",IF(H61&lt;IFERROR(FLOOR(IFERROR(VLOOKUP(C62,Upgrades!$N$4:$T$47,3,FALSE),0)*(IFERROR(VLOOKUP(C62,Upgrades!$N$4:$T$47,4,FALSE),0)^(COUNTIFS($B$3:$B61,"Buy upgrade",$C$3:$C61,C62)+COUNTIFS($B$3:$B61,"Hire hunter",$C$3:$C61,C62)+COUNTIFS($B$3:$B61,"Forge/Scrapwork buy",$C$3:$C61,C62))),1),0),"Can't","OK"),IF(IFERROR(VLOOKUP(C62,Upgrades!$N$4:$T$47,2,FALSE),0)="scraps",IF(J61&lt;IFERROR(FLOOR(IFERROR(VLOOKUP(C62,Upgrades!$N$4:$T$47,3,FALSE),0)*(IFERROR(VLOOKUP(C62,Upgrades!$N$4:$T$47,4,FALSE),0)^(COUNTIFS($B$3:$B61,"Buy upgrade",$C$3:$C61,C62)+COUNTIFS($B$3:$B61,"Hire hunter",$C$3:$C61,C62)+COUNTIFS($B$3:$B61,"Forge/Scrapwork buy",$C$3:$C61,C62))),1),0),"Can't","OK"),IF(IFERROR(VLOOKUP(C62,Upgrades!$N$4:$T$47,2,FALSE),0)="mats","Can't","OK")))),"Check")))))</f>
        <v/>
      </c>
      <c r="F62" s="7">
        <f>IF(B62="","",IF(AND(B62="Fight boss",I61&lt;IF((IFERROR(VLOOKUP(C62,Monsters!$T$4:$AH$15,15,FALSE),0))=0,120,IFERROR(VLOOKUP(C62,Monsters!$T$4:$AH$15,15,FALSE),0))),"Can't — need "&amp;TEXT(IF((IFERROR(VLOOKUP(C62,Monsters!$T$4:$AH$15,15,FALSE),0))=0,120,IFERROR(VLOOKUP(C62,Monsters!$T$4:$AH$15,15,FALSE),0))-I61,"0.0")&amp;" more Slayer points on the meter",IF(AND(B62="Hire hunter",C62="Briar",AD61&gt;=1),"Can't — already hired",IF(AND(B62="Hire hunter",H61&lt;IF(C62="Briar",140,IF(C62="Quill",3650,IF(C62="Moss",4850,IF(C62="Ember",12200,0))))),"Can't — need "&amp;TEXT(IF(C62="Briar",140,IF(C62="Quill",3650,IF(C62="Moss",4850,IF(C62="Ember",12200,0))))-H61,"0")&amp;" more gold",IF(AND(OR(B62="Buy upgrade",B62="Forge/Scrapwork buy"),IFERROR(VLOOKUP(C62,Upgrades!$N$4:$T$47,2,FALSE),0)="points"),"Can't — Sp-wallet spends not tracked here",IF(AND(OR(B62="Buy upgrade",B62="Forge/Scrapwork buy"),IFERROR(VLOOKUP(C62,Upgrades!$N$4:$T$47,2,FALSE),0)="gold",H61&lt;IFERROR(FLOOR(IFERROR(VLOOKUP(C62,Upgrades!$N$4:$T$47,3,FALSE),0)*(IFERROR(VLOOKUP(C62,Upgrades!$N$4:$T$47,4,FALSE),0)^(COUNTIFS($B$3:$B61,"Buy upgrade",$C$3:$C61,C62)+COUNTIFS($B$3:$B61,"Hire hunter",$C$3:$C61,C62)+COUNTIFS($B$3:$B61,"Forge/Scrapwork buy",$C$3:$C61,C62))),1),0)),"Can't — need "&amp;TEXT(IFERROR(FLOOR(IFERROR(VLOOKUP(C62,Upgrades!$N$4:$T$47,3,FALSE),0)*(IFERROR(VLOOKUP(C62,Upgrades!$N$4:$T$47,4,FALSE),0)^(COUNTIFS($B$3:$B61,"Buy upgrade",$C$3:$C61,C62)+COUNTIFS($B$3:$B61,"Hire hunter",$C$3:$C61,C62)+COUNTIFS($B$3:$B61,"Forge/Scrapwork buy",$C$3:$C61,C62))),1),0)-H61,"0")&amp;" more gold",IF(AND(OR(B62="Buy upgrade",B62="Forge/Scrapwork buy"),IFERROR(VLOOKUP(C62,Upgrades!$N$4:$T$47,2,FALSE),0)="scraps",J61&lt;IFERROR(FLOOR(IFERROR(VLOOKUP(C62,Upgrades!$N$4:$T$47,3,FALSE),0)*(IFERROR(VLOOKUP(C62,Upgrades!$N$4:$T$47,4,FALSE),0)^(COUNTIFS($B$3:$B61,"Buy upgrade",$C$3:$C61,C62)+COUNTIFS($B$3:$B61,"Hire hunter",$C$3:$C61,C62)+COUNTIFS($B$3:$B61,"Forge/Scrapwork buy",$C$3:$C61,C62))),1),0)),"Can't — need "&amp;TEXT(IFERROR(FLOOR(IFERROR(VLOOKUP(C62,Upgrades!$N$4:$T$47,3,FALSE),0)*(IFERROR(VLOOKUP(C62,Upgrades!$N$4:$T$47,4,FALSE),0)^(COUNTIFS($B$3:$B61,"Buy upgrade",$C$3:$C61,C62)+COUNTIFS($B$3:$B61,"Hire hunter",$C$3:$C61,C62)+COUNTIFS($B$3:$B61,"Forge/Scrapwork buy",$C$3:$C61,C62))),1),0)-J61,"0")&amp;" more scraps",IF(AND(B62="Fight boss",E62="OK",(IF((((105/'Rules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Formulas'!B12)),"WIN — boss down, next Level unlocks",IF(AND(B62="Fight boss",E62="OK"),"LOSE — TTK "&amp;TEXT(IF((((105/'Rules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Formulas'!B20*SQRT(1+0.55*(AG61&gt;=1))),0)))),"0")&amp;"s &gt; patience "&amp;TEXT('Rules &amp; Formulas'!B12,"0")&amp;"s (leave resets HP)",IF(B62="Go AFK","AFK resolved (see AFK counted h)","Applied")))))))))</f>
        <v/>
      </c>
      <c r="G62" s="7">
        <f>IF(AND((E62="OK"),B62="Fight boss",(IF((((105/'Rules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Formulas'!B12),C62="Elder Thornpelt"),2,IF(AND((E62="OK"),B62="Fight boss",(IF((((105/'Rules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Formulas'!B12),C62="Ashfang Alpha"),3,G61))</f>
        <v/>
      </c>
      <c r="H62" s="7">
        <f>MAX(0,H61+IF(AND((E62="OK"),B62="Hunt"),(IF(B62="Hunt",(('Rules &amp; Formulas'!B4*N61*('Rules &amp; Formulas'!B5+O61)*IFERROR(VLOOKUP(C62,Monsters!$T$4:$AH$15,10,FALSE),0)*IFERROR(VLOOKUP(C62,Monsters!$T$4:$AH$15,9,FALSE),0))*'Rules &amp; Formulas'!B6)*IF(D62="",0,D62),0))*(IFERROR(VLOOKUP(C62,Monsters!$T$4:$AH$15,3,FALSE),0))*(1+0.1*AH61)+(IF(OR(B62&lt;&gt;"Hunt",IFERROR(VLOOKUP(C62,Monsters!$T$4:$AH$15,6,FALSE),0)=0),0,FLOOR((IF(B62="Hunt",(('Rules &amp; Formulas'!B4*N61*('Rules &amp; Formulas'!B5+O61)*IFERROR(VLOOKUP(C62,Monsters!$T$4:$AH$15,10,FALSE),0)*IFERROR(VLOOKUP(C62,Monsters!$T$4:$AH$15,9,FALSE),0))*'Rules &amp; Formulas'!B6)*IF(D62="",0,D62),0))/MAX(1,IFERROR(VLOOKUP(C62,Monsters!$T$4:$AH$15,6,FALSE),0)),1)))*(IFERROR(VLOOKUP(C62,Monsters!$T$4:$AH$15,7,FALSE),0))*0.5*(1+0.1*AH61),0)+IF(AND((E62="OK"),B62="Go AFK"),(IF(B62="Go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AFK",IF(D62="",0,D62),0),Z61/60)*60)),0))*(IFERROR(VLOOKUP(C62,Monsters!$T$4:$AH$15,3,FALSE),0))*(1+0.1*AH61)+(IF(OR(B62&lt;&gt;"Go AFK",IFERROR(VLOOKUP(C62,Monsters!$T$4:$AH$15,6,FALSE),0)=0),0,FLOOR((IF(B62="Go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AFK",IF(D62="",0,D62),0),Z61/60)*60)),0))/MAX(1,IFERROR(VLOOKUP(C62,Monsters!$T$4:$AH$15,6,FALSE),0)),1)))*(IFERROR(VLOOKUP(C62,Monsters!$T$4:$AH$15,7,FALSE),0))*0.5*(1+0.1*AH61),0)+IF(AND((E62="OK"),B62="Fight boss",(IF((((105/'Rules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Formulas'!B12)),IFERROR(VLOOKUP(C62,Monsters!$T$4:$AH$15,3,FALSE),0),0)-IF(AND((E62="OK"),OR(B62="Buy upgrade",B62="Forge/Scrapwork buy"),IFERROR(VLOOKUP(C62,Upgrades!$N$4:$T$47,2,FALSE),0)="gold"),IFERROR(FLOOR(IFERROR(VLOOKUP(C62,Upgrades!$N$4:$T$47,3,FALSE),0)*(IFERROR(VLOOKUP(C62,Upgrades!$N$4:$T$47,4,FALSE),0)^(COUNTIFS($B$3:$B61,"Buy upgrade",$C$3:$C61,C62)+COUNTIFS($B$3:$B61,"Hire hunter",$C$3:$C61,C62)+COUNTIFS($B$3:$B61,"Forge/Scrapwork buy",$C$3:$C61,C62))),1),0),0)-IF(AND((E62="OK"),B62="Hire hunter"),IF(C62="Briar",140,IF(C62="Quill",3650,IF(C62="Moss",4850,IF(C62="Ember",12200,0)))),0))</f>
        <v/>
      </c>
      <c r="I62" s="7">
        <f>IF(AND((E62="OK"),B62="Fight boss",(IF((((105/'Rules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Formulas'!B12)),0,MIN(IF(G61&lt;=1,120,IF(G61=2,280,600)),I61+IF(AND((E62="OK"),B62="Hunt"),((IF(B62="Hunt",(('Rules &amp; Formulas'!B4*N61*('Rules &amp; Formulas'!B5+O61)*IFERROR(VLOOKUP(C62,Monsters!$T$4:$AH$15,10,FALSE),0)*IFERROR(VLOOKUP(C62,Monsters!$T$4:$AH$15,9,FALSE),0))*'Rules &amp; Formulas'!B6)*IF(D62="",0,D62),0))*(IFERROR(VLOOKUP(C62,Monsters!$T$4:$AH$15,4,FALSE),0))+(IF(OR(B62&lt;&gt;"Hunt",IFERROR(VLOOKUP(C62,Monsters!$T$4:$AH$15,6,FALSE),0)=0),0,FLOOR((IF(B62="Hunt",(('Rules &amp; Formulas'!B4*N61*('Rules &amp; Formulas'!B5+O61)*IFERROR(VLOOKUP(C62,Monsters!$T$4:$AH$15,10,FALSE),0)*IFERROR(VLOOKUP(C62,Monsters!$T$4:$AH$15,9,FALSE),0))*'Rules &amp; Formulas'!B6)*IF(D62="",0,D62),0))/MAX(1,IFERROR(VLOOKUP(C62,Monsters!$T$4:$AH$15,6,FALSE),0)),1)))*(IFERROR(VLOOKUP(C62,Monsters!$T$4:$AH$15,7,FALSE),0))),0)+IF(AND((E62="OK"),B62="Go AFK"),((IF(B62="Go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AFK",IF(D62="",0,D62),0),Z61/60)*60)),0))*(IFERROR(VLOOKUP(C62,Monsters!$T$4:$AH$15,4,FALSE),0))+(IF(OR(B62&lt;&gt;"Go AFK",IFERROR(VLOOKUP(C62,Monsters!$T$4:$AH$15,6,FALSE),0)=0),0,FLOOR((IF(B62="Go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AFK",IF(D62="",0,D62),0),Z61/60)*60)),0))/MAX(1,IFERROR(VLOOKUP(C62,Monsters!$T$4:$AH$15,6,FALSE),0)),1)))*(IFERROR(VLOOKUP(C62,Monsters!$T$4:$AH$15,7,FALSE),0))),0)))</f>
        <v/>
      </c>
      <c r="J62" s="7">
        <f>MAX(0,J61+IF(AND((E62="OK"),B62="Hunt"),(IF(B62="Hunt",(('Rules &amp; Formulas'!B4*N61*('Rules &amp; Formulas'!B5+O61)*IFERROR(VLOOKUP(C62,Monsters!$T$4:$AH$15,10,FALSE),0)*IFERROR(VLOOKUP(C62,Monsters!$T$4:$AH$15,9,FALSE),0))*'Rules &amp; Formulas'!B6)*IF(D62="",0,D62),0))*(IFERROR(VLOOKUP(C62,Monsters!$T$4:$AH$15,5,FALSE),0)),0)+IF(AND((E62="OK"),B62="Go AFK"),(IF(B62="Go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AFK",IF(D62="",0,D62),0),Z61/60)*60)),0))*(IFERROR(VLOOKUP(C62,Monsters!$T$4:$AH$15,5,FALSE),0)),0)-IF(AND((E62="OK"),OR(B62="Buy upgrade",B62="Forge/Scrapwork buy"),IFERROR(VLOOKUP(C62,Upgrades!$N$4:$T$47,2,FALSE),0)="scraps"),IFERROR(FLOOR(IFERROR(VLOOKUP(C62,Upgrades!$N$4:$T$47,3,FALSE),0)*(IFERROR(VLOOKUP(C62,Upgrades!$N$4:$T$47,4,FALSE),0)^(COUNTIFS($B$3:$B61,"Buy upgrade",$C$3:$C61,C62)+COUNTIFS($B$3:$B61,"Hire hunter",$C$3:$C61,C62)+COUNTIFS($B$3:$B61,"Forge/Scrapwork buy",$C$3:$C61,C62))),1),0),0))</f>
        <v/>
      </c>
      <c r="K62" s="7">
        <f>MAX(0,K61+IF(AND((E62="OK"),B62="Hunt"),IF(C62="Thornpelt Bear",(IF(B62="Hunt",(('Rules &amp; Formulas'!B4*N61*('Rules &amp; Formulas'!B5+O61)*IFERROR(VLOOKUP(C62,Monsters!$T$4:$AH$15,10,FALSE),0)*IFERROR(VLOOKUP(C62,Monsters!$T$4:$AH$15,9,FALSE),0))*'Rules &amp; Formulas'!B6)*IF(D62="",0,D62),0))*0.12,0),0)+IF(AND((E62="OK"),B62="Go AFK"),IF(C62="Thornpelt Bear",(IF(B62="Go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AFK",IF(D62="",0,D62),0),Z61/60)*60)),0))*0.12,0),0))</f>
        <v/>
      </c>
      <c r="L62" s="7">
        <f>MAX(0,L61+IF(AND((E62="OK"),B62="Hunt"),IF(C62="Dire Thornpelt",(IF(B62="Hunt",(('Rules &amp; Formulas'!B4*N61*('Rules &amp; Formulas'!B5+O61)*IFERROR(VLOOKUP(C62,Monsters!$T$4:$AH$15,10,FALSE),0)*IFERROR(VLOOKUP(C62,Monsters!$T$4:$AH$15,9,FALSE),0))*'Rules &amp; Formulas'!B6)*IF(D62="",0,D62),0))*0.1,0),0)+IF(AND((E62="OK"),B62="Go AFK"),IF(C62="Dire Thornpelt",(IF(B62="Go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AFK",IF(D62="",0,D62),0),Z61/60)*60)),0))*0.1,0),0))</f>
        <v/>
      </c>
      <c r="M62" s="7">
        <f>IF(AND((E62="OK"),B62="Go AFK"),MAX(0,MIN(('Rules &amp; Formulas'!B15+25*AJ61),M61+('Rules &amp; Formulas'!B14+0.4*AJ61)*(MIN(IF(B62="Go AFK",IF(D62="",0,D62),0),Z61/60)*60))-(IF(B62="Go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AFK",IF(D62="",0,D62),0),Z61/60)*60)),0))*(IF((IFERROR(VLOOKUP(C62,Monsters!$T$4:$AH$15,8,FALSE),0))=0,0.35,IFERROR(VLOOKUP(C62,Monsters!$T$4:$AH$15,8,FALSE),0))/(1+0.08*AK61))),MIN(('Rules &amp; Formulas'!B15+25*AJ62),M61))</f>
        <v/>
      </c>
      <c r="N62" s="7">
        <f>(1+0.08+0.12*AA62+0.12*AB62+0.16*AC62)</f>
        <v/>
      </c>
      <c r="O62" s="7">
        <f>((AD62&gt;=1)*1*(1+0.3*AE62))</f>
        <v/>
      </c>
      <c r="P62" s="7">
        <f>IF(OR(B62="Hunt",B62="Go AFK"),(('Rules &amp; Formulas'!B4*N61*('Rules &amp; Formulas'!B5+O61)*IFERROR(VLOOKUP(C62,Monsters!$T$4:$AH$15,10,FALSE),0)*IFERROR(VLOOKUP(C62,Monsters!$T$4:$AH$15,9,FALSE),0))*'Rules &amp; Formulas'!B6),"")</f>
        <v/>
      </c>
      <c r="Q62" s="7">
        <f>IF(OR(B62="Hunt",B62="Go AFK"),('Rules &amp; Formulas'!B4*N61*('Rules &amp; Formulas'!B5+O61)*IFERROR(VLOOKUP(C62,Monsters!$T$4:$AH$15,10,FALSE),0)*IFERROR(VLOOKUP(C62,Monsters!$T$4:$AH$15,9,FALSE),0)),"")</f>
        <v/>
      </c>
      <c r="R62" s="7">
        <f>IF(AND((E62="OK"),B62="Hunt"),IF(B62="Hunt",(('Rules &amp; Formulas'!B4*N61*('Rules &amp; Formulas'!B5+O61)*IFERROR(VLOOKUP(C62,Monsters!$T$4:$AH$15,10,FALSE),0)*IFERROR(VLOOKUP(C62,Monsters!$T$4:$AH$15,9,FALSE),0))*'Rules &amp; Formulas'!B6)*IF(D62="",0,D62),0),IF(AND((E62="OK"),B62="Go AFK"),IF(B62="Go AFK",MIN(IF((IF((IFERROR(VLOOKUP(C62,Monsters!$T$4:$AH$15,8,FALSE),0))=0,0.35,IFERROR(VLOOKUP(C62,Monsters!$T$4:$AH$15,8,FALSE),0))/(1+0.08*AK61))&lt;=0,999999,FLOOR(MIN(('Rules &amp; Formulas'!B15+25*AJ61),M61+('Rules &amp; Formulas'!B14+0.4*AJ61)*(MIN(IF(B62="Go AFK",IF(D62="",0,D62),0),Z61/60)*60))/(IF((IFERROR(VLOOKUP(C62,Monsters!$T$4:$AH$15,8,FALSE),0))=0,0.35,IFERROR(VLOOKUP(C62,Monsters!$T$4:$AH$15,8,FALSE),0))/(1+0.08*AK61)),1)),('Rules &amp; Formulas'!B4*N61*('Rules &amp; Formulas'!B5+O61)*IFERROR(VLOOKUP(C62,Monsters!$T$4:$AH$15,10,FALSE),0)*IFERROR(VLOOKUP(C62,Monsters!$T$4:$AH$15,9,FALSE),0))*(MIN(IF(B62="Go AFK",IF(D62="",0,D62),0),Z61/60)*60)),0),0))</f>
        <v/>
      </c>
      <c r="S62" s="7">
        <f>(105/'Rules &amp; Formulas'!B10)*'Rules &amp; Formulas'!B11</f>
        <v/>
      </c>
      <c r="T62" s="7">
        <f>IF(AD61&gt;=1,(MAX(1,ROUND('Rules &amp; Formulas'!B18*(1+0.3*AE61)*(1+0.4*AF61),0)))*(1000/'Rules &amp; Formulas'!B19)*MIN(0.95,'Rules &amp; Formulas'!B20*SQRT(1+0.55*(AG61&gt;=1))),0)</f>
        <v/>
      </c>
      <c r="U62" s="7">
        <f>S62+T62</f>
        <v/>
      </c>
      <c r="V62" s="7">
        <f>IF(I61&gt;=IF((IFERROR(VLOOKUP(C62,Monsters!$T$4:$AH$15,15,FALSE),0))=0,120,IFERROR(VLOOKUP(C62,Monsters!$T$4:$AH$15,15,FALSE),0)),"YES","no")</f>
        <v/>
      </c>
      <c r="W62" s="7">
        <f>IF(AND(B62="Fight boss",E62="OK"),IF((((105/'Rules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Formulas'!B20*SQRT(1+0.55*(AG61&gt;=1))),0)))),"")</f>
        <v/>
      </c>
      <c r="X62" s="7">
        <f>IF(AND(B62="Fight boss",E62="OK"),IF((IF((((105/'Rules &amp; Formulas'!B10)*'Rules &amp; Formulas'!B11+IF(AD61&gt;=1,(MAX(1,ROUND('Rules &amp; Formulas'!B18*(1+0.3*AE61)*(1+0.4*AF61),0)))*(1000/'Rules &amp; Formulas'!B19)*MIN(0.95,'Rules &amp; Formulas'!B20*SQRT(1+0.55*(AG61&gt;=1))),0)))&lt;=0,9999,(IFERROR(VLOOKUP(C62,Monsters!$T$4:$AH$15,2,FALSE),0))/(((105/'Rules &amp; Formulas'!B10)*'Rules &amp; Formulas'!B11+IF(AD61&gt;=1,(MAX(1,ROUND('Rules &amp; Formulas'!B18*(1+0.3*AE61)*(1+0.4*AF61),0)))*(1000/'Rules &amp; Formulas'!B19)*MIN(0.95,'Rules &amp; Formulas'!B20*SQRT(1+0.55*(AG61&gt;=1))),0))))&lt;='Rules &amp; Formulas'!B12),"WIN","LOSE"),"")</f>
        <v/>
      </c>
      <c r="Y62" s="7">
        <f>IF(B62="Go AFK",MIN(IF(B62="Go AFK",IF(D62="",0,D62),0),Z61/60),"")</f>
        <v/>
      </c>
      <c r="Z62" s="7">
        <f>('Rules &amp; Formulas'!B13+30*AI62)</f>
        <v/>
      </c>
      <c r="AA62">
        <f>COUNTIFS($B$3:$B62,"Buy upgrade",$C$3:$C62,"Idle Power")</f>
        <v/>
      </c>
      <c r="AB62">
        <f>COUNTIFS($B$3:$B62,"Buy upgrade",$C$3:$C62,"Iron Blade")</f>
        <v/>
      </c>
      <c r="AC62">
        <f>COUNTIFS($B$3:$B62,"Buy upgrade",$C$3:$C62,"Steel Blade")</f>
        <v/>
      </c>
      <c r="AD62">
        <f>COUNTIFS($B$3:$B62,"Hire hunter",$C$3:$C62,"Briar")+COUNTIFS($B$3:$B62,"Buy upgrade",$C$3:$C62,"Hire Briar")</f>
        <v/>
      </c>
      <c r="AE62">
        <f>COUNTIFS($B$3:$B62,"Buy upgrade",$C$3:$C62,"Hunter Power")</f>
        <v/>
      </c>
      <c r="AF62">
        <f>COUNTIFS($B$3:$B62,"Buy upgrade",$C$3:$C62,"Bigger Hits")</f>
        <v/>
      </c>
      <c r="AG62">
        <f>COUNTIFS($B$3:$B62,"Buy upgrade",$C$3:$C62,"Swift Walk")</f>
        <v/>
      </c>
      <c r="AH62">
        <f>COUNTIFS($B$3:$B62,"Buy upgrade",$C$3:$C62,"Loot Luck")</f>
        <v/>
      </c>
      <c r="AI62">
        <f>COUNTIFS($B$3:$B62,"Buy upgrade",$C$3:$C62,"Offline Cap")</f>
        <v/>
      </c>
      <c r="AJ62">
        <f>COUNTIFS($B$3:$B62,"Buy upgrade",$C$3:$C62,"Bigger Food Stock")</f>
        <v/>
      </c>
      <c r="AK62">
        <f>COUNTIFS($B$3:$B62,"Buy upgrade",$C$3:$C62,"Food Efficiency")</f>
        <v/>
      </c>
    </row>
    <row r="63">
      <c r="A63" t="n">
        <v>61</v>
      </c>
      <c r="B63" s="6" t="n"/>
      <c r="C63" s="6" t="n"/>
      <c r="D63" s="6" t="n"/>
      <c r="E63" s="7">
        <f>IF(B63="","",IF(OR(B63="Hunt",B63="Go AFK"),IF(C63="","Can't","OK"),IF(B63="Fight boss",IF(I62&lt;IF((IFERROR(VLOOKUP(C63,Monsters!$T$4:$AH$15,15,FALSE),0))=0,120,IFERROR(VLOOKUP(C63,Monsters!$T$4:$AH$15,15,FALSE),0)),"Can't","OK"),IF(B63="Hire hunter",IF(AND(C63="Briar",AD62&gt;=1),"Can't",IF(H62&lt;IF(C63="Briar",140,IF(C63="Quill",3650,IF(C63="Moss",4850,IF(C63="Ember",12200,0)))),"Can't","OK")),IF(OR(B63="Buy upgrade",B63="Forge/Scrapwork buy"),IF(IFERROR(VLOOKUP(C63,Upgrades!$N$4:$T$47,2,FALSE),0)="points","Can't",IF(IFERROR(VLOOKUP(C63,Upgrades!$N$4:$T$47,2,FALSE),0)="gold",IF(H62&lt;IFERROR(FLOOR(IFERROR(VLOOKUP(C63,Upgrades!$N$4:$T$47,3,FALSE),0)*(IFERROR(VLOOKUP(C63,Upgrades!$N$4:$T$47,4,FALSE),0)^(COUNTIFS($B$3:$B62,"Buy upgrade",$C$3:$C62,C63)+COUNTIFS($B$3:$B62,"Hire hunter",$C$3:$C62,C63)+COUNTIFS($B$3:$B62,"Forge/Scrapwork buy",$C$3:$C62,C63))),1),0),"Can't","OK"),IF(IFERROR(VLOOKUP(C63,Upgrades!$N$4:$T$47,2,FALSE),0)="scraps",IF(J62&lt;IFERROR(FLOOR(IFERROR(VLOOKUP(C63,Upgrades!$N$4:$T$47,3,FALSE),0)*(IFERROR(VLOOKUP(C63,Upgrades!$N$4:$T$47,4,FALSE),0)^(COUNTIFS($B$3:$B62,"Buy upgrade",$C$3:$C62,C63)+COUNTIFS($B$3:$B62,"Hire hunter",$C$3:$C62,C63)+COUNTIFS($B$3:$B62,"Forge/Scrapwork buy",$C$3:$C62,C63))),1),0),"Can't","OK"),IF(IFERROR(VLOOKUP(C63,Upgrades!$N$4:$T$47,2,FALSE),0)="mats","Can't","OK")))),"Check")))))</f>
        <v/>
      </c>
      <c r="F63" s="7">
        <f>IF(B63="","",IF(AND(B63="Fight boss",I62&lt;IF((IFERROR(VLOOKUP(C63,Monsters!$T$4:$AH$15,15,FALSE),0))=0,120,IFERROR(VLOOKUP(C63,Monsters!$T$4:$AH$15,15,FALSE),0))),"Can't — need "&amp;TEXT(IF((IFERROR(VLOOKUP(C63,Monsters!$T$4:$AH$15,15,FALSE),0))=0,120,IFERROR(VLOOKUP(C63,Monsters!$T$4:$AH$15,15,FALSE),0))-I62,"0.0")&amp;" more Slayer points on the meter",IF(AND(B63="Hire hunter",C63="Briar",AD62&gt;=1),"Can't — already hired",IF(AND(B63="Hire hunter",H62&lt;IF(C63="Briar",140,IF(C63="Quill",3650,IF(C63="Moss",4850,IF(C63="Ember",12200,0))))),"Can't — need "&amp;TEXT(IF(C63="Briar",140,IF(C63="Quill",3650,IF(C63="Moss",4850,IF(C63="Ember",12200,0))))-H62,"0")&amp;" more gold",IF(AND(OR(B63="Buy upgrade",B63="Forge/Scrapwork buy"),IFERROR(VLOOKUP(C63,Upgrades!$N$4:$T$47,2,FALSE),0)="points"),"Can't — Sp-wallet spends not tracked here",IF(AND(OR(B63="Buy upgrade",B63="Forge/Scrapwork buy"),IFERROR(VLOOKUP(C63,Upgrades!$N$4:$T$47,2,FALSE),0)="gold",H62&lt;IFERROR(FLOOR(IFERROR(VLOOKUP(C63,Upgrades!$N$4:$T$47,3,FALSE),0)*(IFERROR(VLOOKUP(C63,Upgrades!$N$4:$T$47,4,FALSE),0)^(COUNTIFS($B$3:$B62,"Buy upgrade",$C$3:$C62,C63)+COUNTIFS($B$3:$B62,"Hire hunter",$C$3:$C62,C63)+COUNTIFS($B$3:$B62,"Forge/Scrapwork buy",$C$3:$C62,C63))),1),0)),"Can't — need "&amp;TEXT(IFERROR(FLOOR(IFERROR(VLOOKUP(C63,Upgrades!$N$4:$T$47,3,FALSE),0)*(IFERROR(VLOOKUP(C63,Upgrades!$N$4:$T$47,4,FALSE),0)^(COUNTIFS($B$3:$B62,"Buy upgrade",$C$3:$C62,C63)+COUNTIFS($B$3:$B62,"Hire hunter",$C$3:$C62,C63)+COUNTIFS($B$3:$B62,"Forge/Scrapwork buy",$C$3:$C62,C63))),1),0)-H62,"0")&amp;" more gold",IF(AND(OR(B63="Buy upgrade",B63="Forge/Scrapwork buy"),IFERROR(VLOOKUP(C63,Upgrades!$N$4:$T$47,2,FALSE),0)="scraps",J62&lt;IFERROR(FLOOR(IFERROR(VLOOKUP(C63,Upgrades!$N$4:$T$47,3,FALSE),0)*(IFERROR(VLOOKUP(C63,Upgrades!$N$4:$T$47,4,FALSE),0)^(COUNTIFS($B$3:$B62,"Buy upgrade",$C$3:$C62,C63)+COUNTIFS($B$3:$B62,"Hire hunter",$C$3:$C62,C63)+COUNTIFS($B$3:$B62,"Forge/Scrapwork buy",$C$3:$C62,C63))),1),0)),"Can't — need "&amp;TEXT(IFERROR(FLOOR(IFERROR(VLOOKUP(C63,Upgrades!$N$4:$T$47,3,FALSE),0)*(IFERROR(VLOOKUP(C63,Upgrades!$N$4:$T$47,4,FALSE),0)^(COUNTIFS($B$3:$B62,"Buy upgrade",$C$3:$C62,C63)+COUNTIFS($B$3:$B62,"Hire hunter",$C$3:$C62,C63)+COUNTIFS($B$3:$B62,"Forge/Scrapwork buy",$C$3:$C62,C63))),1),0)-J62,"0")&amp;" more scraps",IF(AND(B63="Fight boss",E63="OK",(IF((((105/'Rules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Formulas'!B12)),"WIN — boss down, next Level unlocks",IF(AND(B63="Fight boss",E63="OK"),"LOSE — TTK "&amp;TEXT(IF((((105/'Rules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Formulas'!B20*SQRT(1+0.55*(AG62&gt;=1))),0)))),"0")&amp;"s &gt; patience "&amp;TEXT('Rules &amp; Formulas'!B12,"0")&amp;"s (leave resets HP)",IF(B63="Go AFK","AFK resolved (see AFK counted h)","Applied")))))))))</f>
        <v/>
      </c>
      <c r="G63" s="7">
        <f>IF(AND((E63="OK"),B63="Fight boss",(IF((((105/'Rules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Formulas'!B12),C63="Elder Thornpelt"),2,IF(AND((E63="OK"),B63="Fight boss",(IF((((105/'Rules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Formulas'!B12),C63="Ashfang Alpha"),3,G62))</f>
        <v/>
      </c>
      <c r="H63" s="7">
        <f>MAX(0,H62+IF(AND((E63="OK"),B63="Hunt"),(IF(B63="Hunt",(('Rules &amp; Formulas'!B4*N62*('Rules &amp; Formulas'!B5+O62)*IFERROR(VLOOKUP(C63,Monsters!$T$4:$AH$15,10,FALSE),0)*IFERROR(VLOOKUP(C63,Monsters!$T$4:$AH$15,9,FALSE),0))*'Rules &amp; Formulas'!B6)*IF(D63="",0,D63),0))*(IFERROR(VLOOKUP(C63,Monsters!$T$4:$AH$15,3,FALSE),0))*(1+0.1*AH62)+(IF(OR(B63&lt;&gt;"Hunt",IFERROR(VLOOKUP(C63,Monsters!$T$4:$AH$15,6,FALSE),0)=0),0,FLOOR((IF(B63="Hunt",(('Rules &amp; Formulas'!B4*N62*('Rules &amp; Formulas'!B5+O62)*IFERROR(VLOOKUP(C63,Monsters!$T$4:$AH$15,10,FALSE),0)*IFERROR(VLOOKUP(C63,Monsters!$T$4:$AH$15,9,FALSE),0))*'Rules &amp; Formulas'!B6)*IF(D63="",0,D63),0))/MAX(1,IFERROR(VLOOKUP(C63,Monsters!$T$4:$AH$15,6,FALSE),0)),1)))*(IFERROR(VLOOKUP(C63,Monsters!$T$4:$AH$15,7,FALSE),0))*0.5*(1+0.1*AH62),0)+IF(AND((E63="OK"),B63="Go AFK"),(IF(B63="Go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AFK",IF(D63="",0,D63),0),Z62/60)*60)),0))*(IFERROR(VLOOKUP(C63,Monsters!$T$4:$AH$15,3,FALSE),0))*(1+0.1*AH62)+(IF(OR(B63&lt;&gt;"Go AFK",IFERROR(VLOOKUP(C63,Monsters!$T$4:$AH$15,6,FALSE),0)=0),0,FLOOR((IF(B63="Go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AFK",IF(D63="",0,D63),0),Z62/60)*60)),0))/MAX(1,IFERROR(VLOOKUP(C63,Monsters!$T$4:$AH$15,6,FALSE),0)),1)))*(IFERROR(VLOOKUP(C63,Monsters!$T$4:$AH$15,7,FALSE),0))*0.5*(1+0.1*AH62),0)+IF(AND((E63="OK"),B63="Fight boss",(IF((((105/'Rules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Formulas'!B12)),IFERROR(VLOOKUP(C63,Monsters!$T$4:$AH$15,3,FALSE),0),0)-IF(AND((E63="OK"),OR(B63="Buy upgrade",B63="Forge/Scrapwork buy"),IFERROR(VLOOKUP(C63,Upgrades!$N$4:$T$47,2,FALSE),0)="gold"),IFERROR(FLOOR(IFERROR(VLOOKUP(C63,Upgrades!$N$4:$T$47,3,FALSE),0)*(IFERROR(VLOOKUP(C63,Upgrades!$N$4:$T$47,4,FALSE),0)^(COUNTIFS($B$3:$B62,"Buy upgrade",$C$3:$C62,C63)+COUNTIFS($B$3:$B62,"Hire hunter",$C$3:$C62,C63)+COUNTIFS($B$3:$B62,"Forge/Scrapwork buy",$C$3:$C62,C63))),1),0),0)-IF(AND((E63="OK"),B63="Hire hunter"),IF(C63="Briar",140,IF(C63="Quill",3650,IF(C63="Moss",4850,IF(C63="Ember",12200,0)))),0))</f>
        <v/>
      </c>
      <c r="I63" s="7">
        <f>IF(AND((E63="OK"),B63="Fight boss",(IF((((105/'Rules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Formulas'!B12)),0,MIN(IF(G62&lt;=1,120,IF(G62=2,280,600)),I62+IF(AND((E63="OK"),B63="Hunt"),((IF(B63="Hunt",(('Rules &amp; Formulas'!B4*N62*('Rules &amp; Formulas'!B5+O62)*IFERROR(VLOOKUP(C63,Monsters!$T$4:$AH$15,10,FALSE),0)*IFERROR(VLOOKUP(C63,Monsters!$T$4:$AH$15,9,FALSE),0))*'Rules &amp; Formulas'!B6)*IF(D63="",0,D63),0))*(IFERROR(VLOOKUP(C63,Monsters!$T$4:$AH$15,4,FALSE),0))+(IF(OR(B63&lt;&gt;"Hunt",IFERROR(VLOOKUP(C63,Monsters!$T$4:$AH$15,6,FALSE),0)=0),0,FLOOR((IF(B63="Hunt",(('Rules &amp; Formulas'!B4*N62*('Rules &amp; Formulas'!B5+O62)*IFERROR(VLOOKUP(C63,Monsters!$T$4:$AH$15,10,FALSE),0)*IFERROR(VLOOKUP(C63,Monsters!$T$4:$AH$15,9,FALSE),0))*'Rules &amp; Formulas'!B6)*IF(D63="",0,D63),0))/MAX(1,IFERROR(VLOOKUP(C63,Monsters!$T$4:$AH$15,6,FALSE),0)),1)))*(IFERROR(VLOOKUP(C63,Monsters!$T$4:$AH$15,7,FALSE),0))),0)+IF(AND((E63="OK"),B63="Go AFK"),((IF(B63="Go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AFK",IF(D63="",0,D63),0),Z62/60)*60)),0))*(IFERROR(VLOOKUP(C63,Monsters!$T$4:$AH$15,4,FALSE),0))+(IF(OR(B63&lt;&gt;"Go AFK",IFERROR(VLOOKUP(C63,Monsters!$T$4:$AH$15,6,FALSE),0)=0),0,FLOOR((IF(B63="Go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AFK",IF(D63="",0,D63),0),Z62/60)*60)),0))/MAX(1,IFERROR(VLOOKUP(C63,Monsters!$T$4:$AH$15,6,FALSE),0)),1)))*(IFERROR(VLOOKUP(C63,Monsters!$T$4:$AH$15,7,FALSE),0))),0)))</f>
        <v/>
      </c>
      <c r="J63" s="7">
        <f>MAX(0,J62+IF(AND((E63="OK"),B63="Hunt"),(IF(B63="Hunt",(('Rules &amp; Formulas'!B4*N62*('Rules &amp; Formulas'!B5+O62)*IFERROR(VLOOKUP(C63,Monsters!$T$4:$AH$15,10,FALSE),0)*IFERROR(VLOOKUP(C63,Monsters!$T$4:$AH$15,9,FALSE),0))*'Rules &amp; Formulas'!B6)*IF(D63="",0,D63),0))*(IFERROR(VLOOKUP(C63,Monsters!$T$4:$AH$15,5,FALSE),0)),0)+IF(AND((E63="OK"),B63="Go AFK"),(IF(B63="Go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AFK",IF(D63="",0,D63),0),Z62/60)*60)),0))*(IFERROR(VLOOKUP(C63,Monsters!$T$4:$AH$15,5,FALSE),0)),0)-IF(AND((E63="OK"),OR(B63="Buy upgrade",B63="Forge/Scrapwork buy"),IFERROR(VLOOKUP(C63,Upgrades!$N$4:$T$47,2,FALSE),0)="scraps"),IFERROR(FLOOR(IFERROR(VLOOKUP(C63,Upgrades!$N$4:$T$47,3,FALSE),0)*(IFERROR(VLOOKUP(C63,Upgrades!$N$4:$T$47,4,FALSE),0)^(COUNTIFS($B$3:$B62,"Buy upgrade",$C$3:$C62,C63)+COUNTIFS($B$3:$B62,"Hire hunter",$C$3:$C62,C63)+COUNTIFS($B$3:$B62,"Forge/Scrapwork buy",$C$3:$C62,C63))),1),0),0))</f>
        <v/>
      </c>
      <c r="K63" s="7">
        <f>MAX(0,K62+IF(AND((E63="OK"),B63="Hunt"),IF(C63="Thornpelt Bear",(IF(B63="Hunt",(('Rules &amp; Formulas'!B4*N62*('Rules &amp; Formulas'!B5+O62)*IFERROR(VLOOKUP(C63,Monsters!$T$4:$AH$15,10,FALSE),0)*IFERROR(VLOOKUP(C63,Monsters!$T$4:$AH$15,9,FALSE),0))*'Rules &amp; Formulas'!B6)*IF(D63="",0,D63),0))*0.12,0),0)+IF(AND((E63="OK"),B63="Go AFK"),IF(C63="Thornpelt Bear",(IF(B63="Go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AFK",IF(D63="",0,D63),0),Z62/60)*60)),0))*0.12,0),0))</f>
        <v/>
      </c>
      <c r="L63" s="7">
        <f>MAX(0,L62+IF(AND((E63="OK"),B63="Hunt"),IF(C63="Dire Thornpelt",(IF(B63="Hunt",(('Rules &amp; Formulas'!B4*N62*('Rules &amp; Formulas'!B5+O62)*IFERROR(VLOOKUP(C63,Monsters!$T$4:$AH$15,10,FALSE),0)*IFERROR(VLOOKUP(C63,Monsters!$T$4:$AH$15,9,FALSE),0))*'Rules &amp; Formulas'!B6)*IF(D63="",0,D63),0))*0.1,0),0)+IF(AND((E63="OK"),B63="Go AFK"),IF(C63="Dire Thornpelt",(IF(B63="Go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AFK",IF(D63="",0,D63),0),Z62/60)*60)),0))*0.1,0),0))</f>
        <v/>
      </c>
      <c r="M63" s="7">
        <f>IF(AND((E63="OK"),B63="Go AFK"),MAX(0,MIN(('Rules &amp; Formulas'!B15+25*AJ62),M62+('Rules &amp; Formulas'!B14+0.4*AJ62)*(MIN(IF(B63="Go AFK",IF(D63="",0,D63),0),Z62/60)*60))-(IF(B63="Go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AFK",IF(D63="",0,D63),0),Z62/60)*60)),0))*(IF((IFERROR(VLOOKUP(C63,Monsters!$T$4:$AH$15,8,FALSE),0))=0,0.35,IFERROR(VLOOKUP(C63,Monsters!$T$4:$AH$15,8,FALSE),0))/(1+0.08*AK62))),MIN(('Rules &amp; Formulas'!B15+25*AJ63),M62))</f>
        <v/>
      </c>
      <c r="N63" s="7">
        <f>(1+0.08+0.12*AA63+0.12*AB63+0.16*AC63)</f>
        <v/>
      </c>
      <c r="O63" s="7">
        <f>((AD63&gt;=1)*1*(1+0.3*AE63))</f>
        <v/>
      </c>
      <c r="P63" s="7">
        <f>IF(OR(B63="Hunt",B63="Go AFK"),(('Rules &amp; Formulas'!B4*N62*('Rules &amp; Formulas'!B5+O62)*IFERROR(VLOOKUP(C63,Monsters!$T$4:$AH$15,10,FALSE),0)*IFERROR(VLOOKUP(C63,Monsters!$T$4:$AH$15,9,FALSE),0))*'Rules &amp; Formulas'!B6),"")</f>
        <v/>
      </c>
      <c r="Q63" s="7">
        <f>IF(OR(B63="Hunt",B63="Go AFK"),('Rules &amp; Formulas'!B4*N62*('Rules &amp; Formulas'!B5+O62)*IFERROR(VLOOKUP(C63,Monsters!$T$4:$AH$15,10,FALSE),0)*IFERROR(VLOOKUP(C63,Monsters!$T$4:$AH$15,9,FALSE),0)),"")</f>
        <v/>
      </c>
      <c r="R63" s="7">
        <f>IF(AND((E63="OK"),B63="Hunt"),IF(B63="Hunt",(('Rules &amp; Formulas'!B4*N62*('Rules &amp; Formulas'!B5+O62)*IFERROR(VLOOKUP(C63,Monsters!$T$4:$AH$15,10,FALSE),0)*IFERROR(VLOOKUP(C63,Monsters!$T$4:$AH$15,9,FALSE),0))*'Rules &amp; Formulas'!B6)*IF(D63="",0,D63),0),IF(AND((E63="OK"),B63="Go AFK"),IF(B63="Go AFK",MIN(IF((IF((IFERROR(VLOOKUP(C63,Monsters!$T$4:$AH$15,8,FALSE),0))=0,0.35,IFERROR(VLOOKUP(C63,Monsters!$T$4:$AH$15,8,FALSE),0))/(1+0.08*AK62))&lt;=0,999999,FLOOR(MIN(('Rules &amp; Formulas'!B15+25*AJ62),M62+('Rules &amp; Formulas'!B14+0.4*AJ62)*(MIN(IF(B63="Go AFK",IF(D63="",0,D63),0),Z62/60)*60))/(IF((IFERROR(VLOOKUP(C63,Monsters!$T$4:$AH$15,8,FALSE),0))=0,0.35,IFERROR(VLOOKUP(C63,Monsters!$T$4:$AH$15,8,FALSE),0))/(1+0.08*AK62)),1)),('Rules &amp; Formulas'!B4*N62*('Rules &amp; Formulas'!B5+O62)*IFERROR(VLOOKUP(C63,Monsters!$T$4:$AH$15,10,FALSE),0)*IFERROR(VLOOKUP(C63,Monsters!$T$4:$AH$15,9,FALSE),0))*(MIN(IF(B63="Go AFK",IF(D63="",0,D63),0),Z62/60)*60)),0),0))</f>
        <v/>
      </c>
      <c r="S63" s="7">
        <f>(105/'Rules &amp; Formulas'!B10)*'Rules &amp; Formulas'!B11</f>
        <v/>
      </c>
      <c r="T63" s="7">
        <f>IF(AD62&gt;=1,(MAX(1,ROUND('Rules &amp; Formulas'!B18*(1+0.3*AE62)*(1+0.4*AF62),0)))*(1000/'Rules &amp; Formulas'!B19)*MIN(0.95,'Rules &amp; Formulas'!B20*SQRT(1+0.55*(AG62&gt;=1))),0)</f>
        <v/>
      </c>
      <c r="U63" s="7">
        <f>S63+T63</f>
        <v/>
      </c>
      <c r="V63" s="7">
        <f>IF(I62&gt;=IF((IFERROR(VLOOKUP(C63,Monsters!$T$4:$AH$15,15,FALSE),0))=0,120,IFERROR(VLOOKUP(C63,Monsters!$T$4:$AH$15,15,FALSE),0)),"YES","no")</f>
        <v/>
      </c>
      <c r="W63" s="7">
        <f>IF(AND(B63="Fight boss",E63="OK"),IF((((105/'Rules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Formulas'!B20*SQRT(1+0.55*(AG62&gt;=1))),0)))),"")</f>
        <v/>
      </c>
      <c r="X63" s="7">
        <f>IF(AND(B63="Fight boss",E63="OK"),IF((IF((((105/'Rules &amp; Formulas'!B10)*'Rules &amp; Formulas'!B11+IF(AD62&gt;=1,(MAX(1,ROUND('Rules &amp; Formulas'!B18*(1+0.3*AE62)*(1+0.4*AF62),0)))*(1000/'Rules &amp; Formulas'!B19)*MIN(0.95,'Rules &amp; Formulas'!B20*SQRT(1+0.55*(AG62&gt;=1))),0)))&lt;=0,9999,(IFERROR(VLOOKUP(C63,Monsters!$T$4:$AH$15,2,FALSE),0))/(((105/'Rules &amp; Formulas'!B10)*'Rules &amp; Formulas'!B11+IF(AD62&gt;=1,(MAX(1,ROUND('Rules &amp; Formulas'!B18*(1+0.3*AE62)*(1+0.4*AF62),0)))*(1000/'Rules &amp; Formulas'!B19)*MIN(0.95,'Rules &amp; Formulas'!B20*SQRT(1+0.55*(AG62&gt;=1))),0))))&lt;='Rules &amp; Formulas'!B12),"WIN","LOSE"),"")</f>
        <v/>
      </c>
      <c r="Y63" s="7">
        <f>IF(B63="Go AFK",MIN(IF(B63="Go AFK",IF(D63="",0,D63),0),Z62/60),"")</f>
        <v/>
      </c>
      <c r="Z63" s="7">
        <f>('Rules &amp; Formulas'!B13+30*AI63)</f>
        <v/>
      </c>
      <c r="AA63">
        <f>COUNTIFS($B$3:$B63,"Buy upgrade",$C$3:$C63,"Idle Power")</f>
        <v/>
      </c>
      <c r="AB63">
        <f>COUNTIFS($B$3:$B63,"Buy upgrade",$C$3:$C63,"Iron Blade")</f>
        <v/>
      </c>
      <c r="AC63">
        <f>COUNTIFS($B$3:$B63,"Buy upgrade",$C$3:$C63,"Steel Blade")</f>
        <v/>
      </c>
      <c r="AD63">
        <f>COUNTIFS($B$3:$B63,"Hire hunter",$C$3:$C63,"Briar")+COUNTIFS($B$3:$B63,"Buy upgrade",$C$3:$C63,"Hire Briar")</f>
        <v/>
      </c>
      <c r="AE63">
        <f>COUNTIFS($B$3:$B63,"Buy upgrade",$C$3:$C63,"Hunter Power")</f>
        <v/>
      </c>
      <c r="AF63">
        <f>COUNTIFS($B$3:$B63,"Buy upgrade",$C$3:$C63,"Bigger Hits")</f>
        <v/>
      </c>
      <c r="AG63">
        <f>COUNTIFS($B$3:$B63,"Buy upgrade",$C$3:$C63,"Swift Walk")</f>
        <v/>
      </c>
      <c r="AH63">
        <f>COUNTIFS($B$3:$B63,"Buy upgrade",$C$3:$C63,"Loot Luck")</f>
        <v/>
      </c>
      <c r="AI63">
        <f>COUNTIFS($B$3:$B63,"Buy upgrade",$C$3:$C63,"Offline Cap")</f>
        <v/>
      </c>
      <c r="AJ63">
        <f>COUNTIFS($B$3:$B63,"Buy upgrade",$C$3:$C63,"Bigger Food Stock")</f>
        <v/>
      </c>
      <c r="AK63">
        <f>COUNTIFS($B$3:$B63,"Buy upgrade",$C$3:$C63,"Food Efficiency")</f>
        <v/>
      </c>
    </row>
    <row r="64">
      <c r="A64" t="n">
        <v>62</v>
      </c>
      <c r="B64" s="6" t="n"/>
      <c r="C64" s="6" t="n"/>
      <c r="D64" s="6" t="n"/>
      <c r="E64" s="7">
        <f>IF(B64="","",IF(OR(B64="Hunt",B64="Go AFK"),IF(C64="","Can't","OK"),IF(B64="Fight boss",IF(I63&lt;IF((IFERROR(VLOOKUP(C64,Monsters!$T$4:$AH$15,15,FALSE),0))=0,120,IFERROR(VLOOKUP(C64,Monsters!$T$4:$AH$15,15,FALSE),0)),"Can't","OK"),IF(B64="Hire hunter",IF(AND(C64="Briar",AD63&gt;=1),"Can't",IF(H63&lt;IF(C64="Briar",140,IF(C64="Quill",3650,IF(C64="Moss",4850,IF(C64="Ember",12200,0)))),"Can't","OK")),IF(OR(B64="Buy upgrade",B64="Forge/Scrapwork buy"),IF(IFERROR(VLOOKUP(C64,Upgrades!$N$4:$T$47,2,FALSE),0)="points","Can't",IF(IFERROR(VLOOKUP(C64,Upgrades!$N$4:$T$47,2,FALSE),0)="gold",IF(H63&lt;IFERROR(FLOOR(IFERROR(VLOOKUP(C64,Upgrades!$N$4:$T$47,3,FALSE),0)*(IFERROR(VLOOKUP(C64,Upgrades!$N$4:$T$47,4,FALSE),0)^(COUNTIFS($B$3:$B63,"Buy upgrade",$C$3:$C63,C64)+COUNTIFS($B$3:$B63,"Hire hunter",$C$3:$C63,C64)+COUNTIFS($B$3:$B63,"Forge/Scrapwork buy",$C$3:$C63,C64))),1),0),"Can't","OK"),IF(IFERROR(VLOOKUP(C64,Upgrades!$N$4:$T$47,2,FALSE),0)="scraps",IF(J63&lt;IFERROR(FLOOR(IFERROR(VLOOKUP(C64,Upgrades!$N$4:$T$47,3,FALSE),0)*(IFERROR(VLOOKUP(C64,Upgrades!$N$4:$T$47,4,FALSE),0)^(COUNTIFS($B$3:$B63,"Buy upgrade",$C$3:$C63,C64)+COUNTIFS($B$3:$B63,"Hire hunter",$C$3:$C63,C64)+COUNTIFS($B$3:$B63,"Forge/Scrapwork buy",$C$3:$C63,C64))),1),0),"Can't","OK"),IF(IFERROR(VLOOKUP(C64,Upgrades!$N$4:$T$47,2,FALSE),0)="mats","Can't","OK")))),"Check")))))</f>
        <v/>
      </c>
      <c r="F64" s="7">
        <f>IF(B64="","",IF(AND(B64="Fight boss",I63&lt;IF((IFERROR(VLOOKUP(C64,Monsters!$T$4:$AH$15,15,FALSE),0))=0,120,IFERROR(VLOOKUP(C64,Monsters!$T$4:$AH$15,15,FALSE),0))),"Can't — need "&amp;TEXT(IF((IFERROR(VLOOKUP(C64,Monsters!$T$4:$AH$15,15,FALSE),0))=0,120,IFERROR(VLOOKUP(C64,Monsters!$T$4:$AH$15,15,FALSE),0))-I63,"0.0")&amp;" more Slayer points on the meter",IF(AND(B64="Hire hunter",C64="Briar",AD63&gt;=1),"Can't — already hired",IF(AND(B64="Hire hunter",H63&lt;IF(C64="Briar",140,IF(C64="Quill",3650,IF(C64="Moss",4850,IF(C64="Ember",12200,0))))),"Can't — need "&amp;TEXT(IF(C64="Briar",140,IF(C64="Quill",3650,IF(C64="Moss",4850,IF(C64="Ember",12200,0))))-H63,"0")&amp;" more gold",IF(AND(OR(B64="Buy upgrade",B64="Forge/Scrapwork buy"),IFERROR(VLOOKUP(C64,Upgrades!$N$4:$T$47,2,FALSE),0)="points"),"Can't — Sp-wallet spends not tracked here",IF(AND(OR(B64="Buy upgrade",B64="Forge/Scrapwork buy"),IFERROR(VLOOKUP(C64,Upgrades!$N$4:$T$47,2,FALSE),0)="gold",H63&lt;IFERROR(FLOOR(IFERROR(VLOOKUP(C64,Upgrades!$N$4:$T$47,3,FALSE),0)*(IFERROR(VLOOKUP(C64,Upgrades!$N$4:$T$47,4,FALSE),0)^(COUNTIFS($B$3:$B63,"Buy upgrade",$C$3:$C63,C64)+COUNTIFS($B$3:$B63,"Hire hunter",$C$3:$C63,C64)+COUNTIFS($B$3:$B63,"Forge/Scrapwork buy",$C$3:$C63,C64))),1),0)),"Can't — need "&amp;TEXT(IFERROR(FLOOR(IFERROR(VLOOKUP(C64,Upgrades!$N$4:$T$47,3,FALSE),0)*(IFERROR(VLOOKUP(C64,Upgrades!$N$4:$T$47,4,FALSE),0)^(COUNTIFS($B$3:$B63,"Buy upgrade",$C$3:$C63,C64)+COUNTIFS($B$3:$B63,"Hire hunter",$C$3:$C63,C64)+COUNTIFS($B$3:$B63,"Forge/Scrapwork buy",$C$3:$C63,C64))),1),0)-H63,"0")&amp;" more gold",IF(AND(OR(B64="Buy upgrade",B64="Forge/Scrapwork buy"),IFERROR(VLOOKUP(C64,Upgrades!$N$4:$T$47,2,FALSE),0)="scraps",J63&lt;IFERROR(FLOOR(IFERROR(VLOOKUP(C64,Upgrades!$N$4:$T$47,3,FALSE),0)*(IFERROR(VLOOKUP(C64,Upgrades!$N$4:$T$47,4,FALSE),0)^(COUNTIFS($B$3:$B63,"Buy upgrade",$C$3:$C63,C64)+COUNTIFS($B$3:$B63,"Hire hunter",$C$3:$C63,C64)+COUNTIFS($B$3:$B63,"Forge/Scrapwork buy",$C$3:$C63,C64))),1),0)),"Can't — need "&amp;TEXT(IFERROR(FLOOR(IFERROR(VLOOKUP(C64,Upgrades!$N$4:$T$47,3,FALSE),0)*(IFERROR(VLOOKUP(C64,Upgrades!$N$4:$T$47,4,FALSE),0)^(COUNTIFS($B$3:$B63,"Buy upgrade",$C$3:$C63,C64)+COUNTIFS($B$3:$B63,"Hire hunter",$C$3:$C63,C64)+COUNTIFS($B$3:$B63,"Forge/Scrapwork buy",$C$3:$C63,C64))),1),0)-J63,"0")&amp;" more scraps",IF(AND(B64="Fight boss",E64="OK",(IF((((105/'Rules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Formulas'!B12)),"WIN — boss down, next Level unlocks",IF(AND(B64="Fight boss",E64="OK"),"LOSE — TTK "&amp;TEXT(IF((((105/'Rules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Formulas'!B20*SQRT(1+0.55*(AG63&gt;=1))),0)))),"0")&amp;"s &gt; patience "&amp;TEXT('Rules &amp; Formulas'!B12,"0")&amp;"s (leave resets HP)",IF(B64="Go AFK","AFK resolved (see AFK counted h)","Applied")))))))))</f>
        <v/>
      </c>
      <c r="G64" s="7">
        <f>IF(AND((E64="OK"),B64="Fight boss",(IF((((105/'Rules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Formulas'!B12),C64="Elder Thornpelt"),2,IF(AND((E64="OK"),B64="Fight boss",(IF((((105/'Rules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Formulas'!B12),C64="Ashfang Alpha"),3,G63))</f>
        <v/>
      </c>
      <c r="H64" s="7">
        <f>MAX(0,H63+IF(AND((E64="OK"),B64="Hunt"),(IF(B64="Hunt",(('Rules &amp; Formulas'!B4*N63*('Rules &amp; Formulas'!B5+O63)*IFERROR(VLOOKUP(C64,Monsters!$T$4:$AH$15,10,FALSE),0)*IFERROR(VLOOKUP(C64,Monsters!$T$4:$AH$15,9,FALSE),0))*'Rules &amp; Formulas'!B6)*IF(D64="",0,D64),0))*(IFERROR(VLOOKUP(C64,Monsters!$T$4:$AH$15,3,FALSE),0))*(1+0.1*AH63)+(IF(OR(B64&lt;&gt;"Hunt",IFERROR(VLOOKUP(C64,Monsters!$T$4:$AH$15,6,FALSE),0)=0),0,FLOOR((IF(B64="Hunt",(('Rules &amp; Formulas'!B4*N63*('Rules &amp; Formulas'!B5+O63)*IFERROR(VLOOKUP(C64,Monsters!$T$4:$AH$15,10,FALSE),0)*IFERROR(VLOOKUP(C64,Monsters!$T$4:$AH$15,9,FALSE),0))*'Rules &amp; Formulas'!B6)*IF(D64="",0,D64),0))/MAX(1,IFERROR(VLOOKUP(C64,Monsters!$T$4:$AH$15,6,FALSE),0)),1)))*(IFERROR(VLOOKUP(C64,Monsters!$T$4:$AH$15,7,FALSE),0))*0.5*(1+0.1*AH63),0)+IF(AND((E64="OK"),B64="Go AFK"),(IF(B64="Go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AFK",IF(D64="",0,D64),0),Z63/60)*60)),0))*(IFERROR(VLOOKUP(C64,Monsters!$T$4:$AH$15,3,FALSE),0))*(1+0.1*AH63)+(IF(OR(B64&lt;&gt;"Go AFK",IFERROR(VLOOKUP(C64,Monsters!$T$4:$AH$15,6,FALSE),0)=0),0,FLOOR((IF(B64="Go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AFK",IF(D64="",0,D64),0),Z63/60)*60)),0))/MAX(1,IFERROR(VLOOKUP(C64,Monsters!$T$4:$AH$15,6,FALSE),0)),1)))*(IFERROR(VLOOKUP(C64,Monsters!$T$4:$AH$15,7,FALSE),0))*0.5*(1+0.1*AH63),0)+IF(AND((E64="OK"),B64="Fight boss",(IF((((105/'Rules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Formulas'!B12)),IFERROR(VLOOKUP(C64,Monsters!$T$4:$AH$15,3,FALSE),0),0)-IF(AND((E64="OK"),OR(B64="Buy upgrade",B64="Forge/Scrapwork buy"),IFERROR(VLOOKUP(C64,Upgrades!$N$4:$T$47,2,FALSE),0)="gold"),IFERROR(FLOOR(IFERROR(VLOOKUP(C64,Upgrades!$N$4:$T$47,3,FALSE),0)*(IFERROR(VLOOKUP(C64,Upgrades!$N$4:$T$47,4,FALSE),0)^(COUNTIFS($B$3:$B63,"Buy upgrade",$C$3:$C63,C64)+COUNTIFS($B$3:$B63,"Hire hunter",$C$3:$C63,C64)+COUNTIFS($B$3:$B63,"Forge/Scrapwork buy",$C$3:$C63,C64))),1),0),0)-IF(AND((E64="OK"),B64="Hire hunter"),IF(C64="Briar",140,IF(C64="Quill",3650,IF(C64="Moss",4850,IF(C64="Ember",12200,0)))),0))</f>
        <v/>
      </c>
      <c r="I64" s="7">
        <f>IF(AND((E64="OK"),B64="Fight boss",(IF((((105/'Rules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Formulas'!B12)),0,MIN(IF(G63&lt;=1,120,IF(G63=2,280,600)),I63+IF(AND((E64="OK"),B64="Hunt"),((IF(B64="Hunt",(('Rules &amp; Formulas'!B4*N63*('Rules &amp; Formulas'!B5+O63)*IFERROR(VLOOKUP(C64,Monsters!$T$4:$AH$15,10,FALSE),0)*IFERROR(VLOOKUP(C64,Monsters!$T$4:$AH$15,9,FALSE),0))*'Rules &amp; Formulas'!B6)*IF(D64="",0,D64),0))*(IFERROR(VLOOKUP(C64,Monsters!$T$4:$AH$15,4,FALSE),0))+(IF(OR(B64&lt;&gt;"Hunt",IFERROR(VLOOKUP(C64,Monsters!$T$4:$AH$15,6,FALSE),0)=0),0,FLOOR((IF(B64="Hunt",(('Rules &amp; Formulas'!B4*N63*('Rules &amp; Formulas'!B5+O63)*IFERROR(VLOOKUP(C64,Monsters!$T$4:$AH$15,10,FALSE),0)*IFERROR(VLOOKUP(C64,Monsters!$T$4:$AH$15,9,FALSE),0))*'Rules &amp; Formulas'!B6)*IF(D64="",0,D64),0))/MAX(1,IFERROR(VLOOKUP(C64,Monsters!$T$4:$AH$15,6,FALSE),0)),1)))*(IFERROR(VLOOKUP(C64,Monsters!$T$4:$AH$15,7,FALSE),0))),0)+IF(AND((E64="OK"),B64="Go AFK"),((IF(B64="Go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AFK",IF(D64="",0,D64),0),Z63/60)*60)),0))*(IFERROR(VLOOKUP(C64,Monsters!$T$4:$AH$15,4,FALSE),0))+(IF(OR(B64&lt;&gt;"Go AFK",IFERROR(VLOOKUP(C64,Monsters!$T$4:$AH$15,6,FALSE),0)=0),0,FLOOR((IF(B64="Go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AFK",IF(D64="",0,D64),0),Z63/60)*60)),0))/MAX(1,IFERROR(VLOOKUP(C64,Monsters!$T$4:$AH$15,6,FALSE),0)),1)))*(IFERROR(VLOOKUP(C64,Monsters!$T$4:$AH$15,7,FALSE),0))),0)))</f>
        <v/>
      </c>
      <c r="J64" s="7">
        <f>MAX(0,J63+IF(AND((E64="OK"),B64="Hunt"),(IF(B64="Hunt",(('Rules &amp; Formulas'!B4*N63*('Rules &amp; Formulas'!B5+O63)*IFERROR(VLOOKUP(C64,Monsters!$T$4:$AH$15,10,FALSE),0)*IFERROR(VLOOKUP(C64,Monsters!$T$4:$AH$15,9,FALSE),0))*'Rules &amp; Formulas'!B6)*IF(D64="",0,D64),0))*(IFERROR(VLOOKUP(C64,Monsters!$T$4:$AH$15,5,FALSE),0)),0)+IF(AND((E64="OK"),B64="Go AFK"),(IF(B64="Go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AFK",IF(D64="",0,D64),0),Z63/60)*60)),0))*(IFERROR(VLOOKUP(C64,Monsters!$T$4:$AH$15,5,FALSE),0)),0)-IF(AND((E64="OK"),OR(B64="Buy upgrade",B64="Forge/Scrapwork buy"),IFERROR(VLOOKUP(C64,Upgrades!$N$4:$T$47,2,FALSE),0)="scraps"),IFERROR(FLOOR(IFERROR(VLOOKUP(C64,Upgrades!$N$4:$T$47,3,FALSE),0)*(IFERROR(VLOOKUP(C64,Upgrades!$N$4:$T$47,4,FALSE),0)^(COUNTIFS($B$3:$B63,"Buy upgrade",$C$3:$C63,C64)+COUNTIFS($B$3:$B63,"Hire hunter",$C$3:$C63,C64)+COUNTIFS($B$3:$B63,"Forge/Scrapwork buy",$C$3:$C63,C64))),1),0),0))</f>
        <v/>
      </c>
      <c r="K64" s="7">
        <f>MAX(0,K63+IF(AND((E64="OK"),B64="Hunt"),IF(C64="Thornpelt Bear",(IF(B64="Hunt",(('Rules &amp; Formulas'!B4*N63*('Rules &amp; Formulas'!B5+O63)*IFERROR(VLOOKUP(C64,Monsters!$T$4:$AH$15,10,FALSE),0)*IFERROR(VLOOKUP(C64,Monsters!$T$4:$AH$15,9,FALSE),0))*'Rules &amp; Formulas'!B6)*IF(D64="",0,D64),0))*0.12,0),0)+IF(AND((E64="OK"),B64="Go AFK"),IF(C64="Thornpelt Bear",(IF(B64="Go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AFK",IF(D64="",0,D64),0),Z63/60)*60)),0))*0.12,0),0))</f>
        <v/>
      </c>
      <c r="L64" s="7">
        <f>MAX(0,L63+IF(AND((E64="OK"),B64="Hunt"),IF(C64="Dire Thornpelt",(IF(B64="Hunt",(('Rules &amp; Formulas'!B4*N63*('Rules &amp; Formulas'!B5+O63)*IFERROR(VLOOKUP(C64,Monsters!$T$4:$AH$15,10,FALSE),0)*IFERROR(VLOOKUP(C64,Monsters!$T$4:$AH$15,9,FALSE),0))*'Rules &amp; Formulas'!B6)*IF(D64="",0,D64),0))*0.1,0),0)+IF(AND((E64="OK"),B64="Go AFK"),IF(C64="Dire Thornpelt",(IF(B64="Go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AFK",IF(D64="",0,D64),0),Z63/60)*60)),0))*0.1,0),0))</f>
        <v/>
      </c>
      <c r="M64" s="7">
        <f>IF(AND((E64="OK"),B64="Go AFK"),MAX(0,MIN(('Rules &amp; Formulas'!B15+25*AJ63),M63+('Rules &amp; Formulas'!B14+0.4*AJ63)*(MIN(IF(B64="Go AFK",IF(D64="",0,D64),0),Z63/60)*60))-(IF(B64="Go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AFK",IF(D64="",0,D64),0),Z63/60)*60)),0))*(IF((IFERROR(VLOOKUP(C64,Monsters!$T$4:$AH$15,8,FALSE),0))=0,0.35,IFERROR(VLOOKUP(C64,Monsters!$T$4:$AH$15,8,FALSE),0))/(1+0.08*AK63))),MIN(('Rules &amp; Formulas'!B15+25*AJ64),M63))</f>
        <v/>
      </c>
      <c r="N64" s="7">
        <f>(1+0.08+0.12*AA64+0.12*AB64+0.16*AC64)</f>
        <v/>
      </c>
      <c r="O64" s="7">
        <f>((AD64&gt;=1)*1*(1+0.3*AE64))</f>
        <v/>
      </c>
      <c r="P64" s="7">
        <f>IF(OR(B64="Hunt",B64="Go AFK"),(('Rules &amp; Formulas'!B4*N63*('Rules &amp; Formulas'!B5+O63)*IFERROR(VLOOKUP(C64,Monsters!$T$4:$AH$15,10,FALSE),0)*IFERROR(VLOOKUP(C64,Monsters!$T$4:$AH$15,9,FALSE),0))*'Rules &amp; Formulas'!B6),"")</f>
        <v/>
      </c>
      <c r="Q64" s="7">
        <f>IF(OR(B64="Hunt",B64="Go AFK"),('Rules &amp; Formulas'!B4*N63*('Rules &amp; Formulas'!B5+O63)*IFERROR(VLOOKUP(C64,Monsters!$T$4:$AH$15,10,FALSE),0)*IFERROR(VLOOKUP(C64,Monsters!$T$4:$AH$15,9,FALSE),0)),"")</f>
        <v/>
      </c>
      <c r="R64" s="7">
        <f>IF(AND((E64="OK"),B64="Hunt"),IF(B64="Hunt",(('Rules &amp; Formulas'!B4*N63*('Rules &amp; Formulas'!B5+O63)*IFERROR(VLOOKUP(C64,Monsters!$T$4:$AH$15,10,FALSE),0)*IFERROR(VLOOKUP(C64,Monsters!$T$4:$AH$15,9,FALSE),0))*'Rules &amp; Formulas'!B6)*IF(D64="",0,D64),0),IF(AND((E64="OK"),B64="Go AFK"),IF(B64="Go AFK",MIN(IF((IF((IFERROR(VLOOKUP(C64,Monsters!$T$4:$AH$15,8,FALSE),0))=0,0.35,IFERROR(VLOOKUP(C64,Monsters!$T$4:$AH$15,8,FALSE),0))/(1+0.08*AK63))&lt;=0,999999,FLOOR(MIN(('Rules &amp; Formulas'!B15+25*AJ63),M63+('Rules &amp; Formulas'!B14+0.4*AJ63)*(MIN(IF(B64="Go AFK",IF(D64="",0,D64),0),Z63/60)*60))/(IF((IFERROR(VLOOKUP(C64,Monsters!$T$4:$AH$15,8,FALSE),0))=0,0.35,IFERROR(VLOOKUP(C64,Monsters!$T$4:$AH$15,8,FALSE),0))/(1+0.08*AK63)),1)),('Rules &amp; Formulas'!B4*N63*('Rules &amp; Formulas'!B5+O63)*IFERROR(VLOOKUP(C64,Monsters!$T$4:$AH$15,10,FALSE),0)*IFERROR(VLOOKUP(C64,Monsters!$T$4:$AH$15,9,FALSE),0))*(MIN(IF(B64="Go AFK",IF(D64="",0,D64),0),Z63/60)*60)),0),0))</f>
        <v/>
      </c>
      <c r="S64" s="7">
        <f>(105/'Rules &amp; Formulas'!B10)*'Rules &amp; Formulas'!B11</f>
        <v/>
      </c>
      <c r="T64" s="7">
        <f>IF(AD63&gt;=1,(MAX(1,ROUND('Rules &amp; Formulas'!B18*(1+0.3*AE63)*(1+0.4*AF63),0)))*(1000/'Rules &amp; Formulas'!B19)*MIN(0.95,'Rules &amp; Formulas'!B20*SQRT(1+0.55*(AG63&gt;=1))),0)</f>
        <v/>
      </c>
      <c r="U64" s="7">
        <f>S64+T64</f>
        <v/>
      </c>
      <c r="V64" s="7">
        <f>IF(I63&gt;=IF((IFERROR(VLOOKUP(C64,Monsters!$T$4:$AH$15,15,FALSE),0))=0,120,IFERROR(VLOOKUP(C64,Monsters!$T$4:$AH$15,15,FALSE),0)),"YES","no")</f>
        <v/>
      </c>
      <c r="W64" s="7">
        <f>IF(AND(B64="Fight boss",E64="OK"),IF((((105/'Rules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Formulas'!B20*SQRT(1+0.55*(AG63&gt;=1))),0)))),"")</f>
        <v/>
      </c>
      <c r="X64" s="7">
        <f>IF(AND(B64="Fight boss",E64="OK"),IF((IF((((105/'Rules &amp; Formulas'!B10)*'Rules &amp; Formulas'!B11+IF(AD63&gt;=1,(MAX(1,ROUND('Rules &amp; Formulas'!B18*(1+0.3*AE63)*(1+0.4*AF63),0)))*(1000/'Rules &amp; Formulas'!B19)*MIN(0.95,'Rules &amp; Formulas'!B20*SQRT(1+0.55*(AG63&gt;=1))),0)))&lt;=0,9999,(IFERROR(VLOOKUP(C64,Monsters!$T$4:$AH$15,2,FALSE),0))/(((105/'Rules &amp; Formulas'!B10)*'Rules &amp; Formulas'!B11+IF(AD63&gt;=1,(MAX(1,ROUND('Rules &amp; Formulas'!B18*(1+0.3*AE63)*(1+0.4*AF63),0)))*(1000/'Rules &amp; Formulas'!B19)*MIN(0.95,'Rules &amp; Formulas'!B20*SQRT(1+0.55*(AG63&gt;=1))),0))))&lt;='Rules &amp; Formulas'!B12),"WIN","LOSE"),"")</f>
        <v/>
      </c>
      <c r="Y64" s="7">
        <f>IF(B64="Go AFK",MIN(IF(B64="Go AFK",IF(D64="",0,D64),0),Z63/60),"")</f>
        <v/>
      </c>
      <c r="Z64" s="7">
        <f>('Rules &amp; Formulas'!B13+30*AI64)</f>
        <v/>
      </c>
      <c r="AA64">
        <f>COUNTIFS($B$3:$B64,"Buy upgrade",$C$3:$C64,"Idle Power")</f>
        <v/>
      </c>
      <c r="AB64">
        <f>COUNTIFS($B$3:$B64,"Buy upgrade",$C$3:$C64,"Iron Blade")</f>
        <v/>
      </c>
      <c r="AC64">
        <f>COUNTIFS($B$3:$B64,"Buy upgrade",$C$3:$C64,"Steel Blade")</f>
        <v/>
      </c>
      <c r="AD64">
        <f>COUNTIFS($B$3:$B64,"Hire hunter",$C$3:$C64,"Briar")+COUNTIFS($B$3:$B64,"Buy upgrade",$C$3:$C64,"Hire Briar")</f>
        <v/>
      </c>
      <c r="AE64">
        <f>COUNTIFS($B$3:$B64,"Buy upgrade",$C$3:$C64,"Hunter Power")</f>
        <v/>
      </c>
      <c r="AF64">
        <f>COUNTIFS($B$3:$B64,"Buy upgrade",$C$3:$C64,"Bigger Hits")</f>
        <v/>
      </c>
      <c r="AG64">
        <f>COUNTIFS($B$3:$B64,"Buy upgrade",$C$3:$C64,"Swift Walk")</f>
        <v/>
      </c>
      <c r="AH64">
        <f>COUNTIFS($B$3:$B64,"Buy upgrade",$C$3:$C64,"Loot Luck")</f>
        <v/>
      </c>
      <c r="AI64">
        <f>COUNTIFS($B$3:$B64,"Buy upgrade",$C$3:$C64,"Offline Cap")</f>
        <v/>
      </c>
      <c r="AJ64">
        <f>COUNTIFS($B$3:$B64,"Buy upgrade",$C$3:$C64,"Bigger Food Stock")</f>
        <v/>
      </c>
      <c r="AK64">
        <f>COUNTIFS($B$3:$B64,"Buy upgrade",$C$3:$C64,"Food Efficiency")</f>
        <v/>
      </c>
    </row>
    <row r="65">
      <c r="A65" t="n">
        <v>63</v>
      </c>
      <c r="B65" s="6" t="n"/>
      <c r="C65" s="6" t="n"/>
      <c r="D65" s="6" t="n"/>
      <c r="E65" s="7">
        <f>IF(B65="","",IF(OR(B65="Hunt",B65="Go AFK"),IF(C65="","Can't","OK"),IF(B65="Fight boss",IF(I64&lt;IF((IFERROR(VLOOKUP(C65,Monsters!$T$4:$AH$15,15,FALSE),0))=0,120,IFERROR(VLOOKUP(C65,Monsters!$T$4:$AH$15,15,FALSE),0)),"Can't","OK"),IF(B65="Hire hunter",IF(AND(C65="Briar",AD64&gt;=1),"Can't",IF(H64&lt;IF(C65="Briar",140,IF(C65="Quill",3650,IF(C65="Moss",4850,IF(C65="Ember",12200,0)))),"Can't","OK")),IF(OR(B65="Buy upgrade",B65="Forge/Scrapwork buy"),IF(IFERROR(VLOOKUP(C65,Upgrades!$N$4:$T$47,2,FALSE),0)="points","Can't",IF(IFERROR(VLOOKUP(C65,Upgrades!$N$4:$T$47,2,FALSE),0)="gold",IF(H64&lt;IFERROR(FLOOR(IFERROR(VLOOKUP(C65,Upgrades!$N$4:$T$47,3,FALSE),0)*(IFERROR(VLOOKUP(C65,Upgrades!$N$4:$T$47,4,FALSE),0)^(COUNTIFS($B$3:$B64,"Buy upgrade",$C$3:$C64,C65)+COUNTIFS($B$3:$B64,"Hire hunter",$C$3:$C64,C65)+COUNTIFS($B$3:$B64,"Forge/Scrapwork buy",$C$3:$C64,C65))),1),0),"Can't","OK"),IF(IFERROR(VLOOKUP(C65,Upgrades!$N$4:$T$47,2,FALSE),0)="scraps",IF(J64&lt;IFERROR(FLOOR(IFERROR(VLOOKUP(C65,Upgrades!$N$4:$T$47,3,FALSE),0)*(IFERROR(VLOOKUP(C65,Upgrades!$N$4:$T$47,4,FALSE),0)^(COUNTIFS($B$3:$B64,"Buy upgrade",$C$3:$C64,C65)+COUNTIFS($B$3:$B64,"Hire hunter",$C$3:$C64,C65)+COUNTIFS($B$3:$B64,"Forge/Scrapwork buy",$C$3:$C64,C65))),1),0),"Can't","OK"),IF(IFERROR(VLOOKUP(C65,Upgrades!$N$4:$T$47,2,FALSE),0)="mats","Can't","OK")))),"Check")))))</f>
        <v/>
      </c>
      <c r="F65" s="7">
        <f>IF(B65="","",IF(AND(B65="Fight boss",I64&lt;IF((IFERROR(VLOOKUP(C65,Monsters!$T$4:$AH$15,15,FALSE),0))=0,120,IFERROR(VLOOKUP(C65,Monsters!$T$4:$AH$15,15,FALSE),0))),"Can't — need "&amp;TEXT(IF((IFERROR(VLOOKUP(C65,Monsters!$T$4:$AH$15,15,FALSE),0))=0,120,IFERROR(VLOOKUP(C65,Monsters!$T$4:$AH$15,15,FALSE),0))-I64,"0.0")&amp;" more Slayer points on the meter",IF(AND(B65="Hire hunter",C65="Briar",AD64&gt;=1),"Can't — already hired",IF(AND(B65="Hire hunter",H64&lt;IF(C65="Briar",140,IF(C65="Quill",3650,IF(C65="Moss",4850,IF(C65="Ember",12200,0))))),"Can't — need "&amp;TEXT(IF(C65="Briar",140,IF(C65="Quill",3650,IF(C65="Moss",4850,IF(C65="Ember",12200,0))))-H64,"0")&amp;" more gold",IF(AND(OR(B65="Buy upgrade",B65="Forge/Scrapwork buy"),IFERROR(VLOOKUP(C65,Upgrades!$N$4:$T$47,2,FALSE),0)="points"),"Can't — Sp-wallet spends not tracked here",IF(AND(OR(B65="Buy upgrade",B65="Forge/Scrapwork buy"),IFERROR(VLOOKUP(C65,Upgrades!$N$4:$T$47,2,FALSE),0)="gold",H64&lt;IFERROR(FLOOR(IFERROR(VLOOKUP(C65,Upgrades!$N$4:$T$47,3,FALSE),0)*(IFERROR(VLOOKUP(C65,Upgrades!$N$4:$T$47,4,FALSE),0)^(COUNTIFS($B$3:$B64,"Buy upgrade",$C$3:$C64,C65)+COUNTIFS($B$3:$B64,"Hire hunter",$C$3:$C64,C65)+COUNTIFS($B$3:$B64,"Forge/Scrapwork buy",$C$3:$C64,C65))),1),0)),"Can't — need "&amp;TEXT(IFERROR(FLOOR(IFERROR(VLOOKUP(C65,Upgrades!$N$4:$T$47,3,FALSE),0)*(IFERROR(VLOOKUP(C65,Upgrades!$N$4:$T$47,4,FALSE),0)^(COUNTIFS($B$3:$B64,"Buy upgrade",$C$3:$C64,C65)+COUNTIFS($B$3:$B64,"Hire hunter",$C$3:$C64,C65)+COUNTIFS($B$3:$B64,"Forge/Scrapwork buy",$C$3:$C64,C65))),1),0)-H64,"0")&amp;" more gold",IF(AND(OR(B65="Buy upgrade",B65="Forge/Scrapwork buy"),IFERROR(VLOOKUP(C65,Upgrades!$N$4:$T$47,2,FALSE),0)="scraps",J64&lt;IFERROR(FLOOR(IFERROR(VLOOKUP(C65,Upgrades!$N$4:$T$47,3,FALSE),0)*(IFERROR(VLOOKUP(C65,Upgrades!$N$4:$T$47,4,FALSE),0)^(COUNTIFS($B$3:$B64,"Buy upgrade",$C$3:$C64,C65)+COUNTIFS($B$3:$B64,"Hire hunter",$C$3:$C64,C65)+COUNTIFS($B$3:$B64,"Forge/Scrapwork buy",$C$3:$C64,C65))),1),0)),"Can't — need "&amp;TEXT(IFERROR(FLOOR(IFERROR(VLOOKUP(C65,Upgrades!$N$4:$T$47,3,FALSE),0)*(IFERROR(VLOOKUP(C65,Upgrades!$N$4:$T$47,4,FALSE),0)^(COUNTIFS($B$3:$B64,"Buy upgrade",$C$3:$C64,C65)+COUNTIFS($B$3:$B64,"Hire hunter",$C$3:$C64,C65)+COUNTIFS($B$3:$B64,"Forge/Scrapwork buy",$C$3:$C64,C65))),1),0)-J64,"0")&amp;" more scraps",IF(AND(B65="Fight boss",E65="OK",(IF((((105/'Rules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Formulas'!B12)),"WIN — boss down, next Level unlocks",IF(AND(B65="Fight boss",E65="OK"),"LOSE — TTK "&amp;TEXT(IF((((105/'Rules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Formulas'!B20*SQRT(1+0.55*(AG64&gt;=1))),0)))),"0")&amp;"s &gt; patience "&amp;TEXT('Rules &amp; Formulas'!B12,"0")&amp;"s (leave resets HP)",IF(B65="Go AFK","AFK resolved (see AFK counted h)","Applied")))))))))</f>
        <v/>
      </c>
      <c r="G65" s="7">
        <f>IF(AND((E65="OK"),B65="Fight boss",(IF((((105/'Rules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Formulas'!B12),C65="Elder Thornpelt"),2,IF(AND((E65="OK"),B65="Fight boss",(IF((((105/'Rules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Formulas'!B12),C65="Ashfang Alpha"),3,G64))</f>
        <v/>
      </c>
      <c r="H65" s="7">
        <f>MAX(0,H64+IF(AND((E65="OK"),B65="Hunt"),(IF(B65="Hunt",(('Rules &amp; Formulas'!B4*N64*('Rules &amp; Formulas'!B5+O64)*IFERROR(VLOOKUP(C65,Monsters!$T$4:$AH$15,10,FALSE),0)*IFERROR(VLOOKUP(C65,Monsters!$T$4:$AH$15,9,FALSE),0))*'Rules &amp; Formulas'!B6)*IF(D65="",0,D65),0))*(IFERROR(VLOOKUP(C65,Monsters!$T$4:$AH$15,3,FALSE),0))*(1+0.1*AH64)+(IF(OR(B65&lt;&gt;"Hunt",IFERROR(VLOOKUP(C65,Monsters!$T$4:$AH$15,6,FALSE),0)=0),0,FLOOR((IF(B65="Hunt",(('Rules &amp; Formulas'!B4*N64*('Rules &amp; Formulas'!B5+O64)*IFERROR(VLOOKUP(C65,Monsters!$T$4:$AH$15,10,FALSE),0)*IFERROR(VLOOKUP(C65,Monsters!$T$4:$AH$15,9,FALSE),0))*'Rules &amp; Formulas'!B6)*IF(D65="",0,D65),0))/MAX(1,IFERROR(VLOOKUP(C65,Monsters!$T$4:$AH$15,6,FALSE),0)),1)))*(IFERROR(VLOOKUP(C65,Monsters!$T$4:$AH$15,7,FALSE),0))*0.5*(1+0.1*AH64),0)+IF(AND((E65="OK"),B65="Go AFK"),(IF(B65="Go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AFK",IF(D65="",0,D65),0),Z64/60)*60)),0))*(IFERROR(VLOOKUP(C65,Monsters!$T$4:$AH$15,3,FALSE),0))*(1+0.1*AH64)+(IF(OR(B65&lt;&gt;"Go AFK",IFERROR(VLOOKUP(C65,Monsters!$T$4:$AH$15,6,FALSE),0)=0),0,FLOOR((IF(B65="Go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AFK",IF(D65="",0,D65),0),Z64/60)*60)),0))/MAX(1,IFERROR(VLOOKUP(C65,Monsters!$T$4:$AH$15,6,FALSE),0)),1)))*(IFERROR(VLOOKUP(C65,Monsters!$T$4:$AH$15,7,FALSE),0))*0.5*(1+0.1*AH64),0)+IF(AND((E65="OK"),B65="Fight boss",(IF((((105/'Rules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Formulas'!B12)),IFERROR(VLOOKUP(C65,Monsters!$T$4:$AH$15,3,FALSE),0),0)-IF(AND((E65="OK"),OR(B65="Buy upgrade",B65="Forge/Scrapwork buy"),IFERROR(VLOOKUP(C65,Upgrades!$N$4:$T$47,2,FALSE),0)="gold"),IFERROR(FLOOR(IFERROR(VLOOKUP(C65,Upgrades!$N$4:$T$47,3,FALSE),0)*(IFERROR(VLOOKUP(C65,Upgrades!$N$4:$T$47,4,FALSE),0)^(COUNTIFS($B$3:$B64,"Buy upgrade",$C$3:$C64,C65)+COUNTIFS($B$3:$B64,"Hire hunter",$C$3:$C64,C65)+COUNTIFS($B$3:$B64,"Forge/Scrapwork buy",$C$3:$C64,C65))),1),0),0)-IF(AND((E65="OK"),B65="Hire hunter"),IF(C65="Briar",140,IF(C65="Quill",3650,IF(C65="Moss",4850,IF(C65="Ember",12200,0)))),0))</f>
        <v/>
      </c>
      <c r="I65" s="7">
        <f>IF(AND((E65="OK"),B65="Fight boss",(IF((((105/'Rules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Formulas'!B12)),0,MIN(IF(G64&lt;=1,120,IF(G64=2,280,600)),I64+IF(AND((E65="OK"),B65="Hunt"),((IF(B65="Hunt",(('Rules &amp; Formulas'!B4*N64*('Rules &amp; Formulas'!B5+O64)*IFERROR(VLOOKUP(C65,Monsters!$T$4:$AH$15,10,FALSE),0)*IFERROR(VLOOKUP(C65,Monsters!$T$4:$AH$15,9,FALSE),0))*'Rules &amp; Formulas'!B6)*IF(D65="",0,D65),0))*(IFERROR(VLOOKUP(C65,Monsters!$T$4:$AH$15,4,FALSE),0))+(IF(OR(B65&lt;&gt;"Hunt",IFERROR(VLOOKUP(C65,Monsters!$T$4:$AH$15,6,FALSE),0)=0),0,FLOOR((IF(B65="Hunt",(('Rules &amp; Formulas'!B4*N64*('Rules &amp; Formulas'!B5+O64)*IFERROR(VLOOKUP(C65,Monsters!$T$4:$AH$15,10,FALSE),0)*IFERROR(VLOOKUP(C65,Monsters!$T$4:$AH$15,9,FALSE),0))*'Rules &amp; Formulas'!B6)*IF(D65="",0,D65),0))/MAX(1,IFERROR(VLOOKUP(C65,Monsters!$T$4:$AH$15,6,FALSE),0)),1)))*(IFERROR(VLOOKUP(C65,Monsters!$T$4:$AH$15,7,FALSE),0))),0)+IF(AND((E65="OK"),B65="Go AFK"),((IF(B65="Go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AFK",IF(D65="",0,D65),0),Z64/60)*60)),0))*(IFERROR(VLOOKUP(C65,Monsters!$T$4:$AH$15,4,FALSE),0))+(IF(OR(B65&lt;&gt;"Go AFK",IFERROR(VLOOKUP(C65,Monsters!$T$4:$AH$15,6,FALSE),0)=0),0,FLOOR((IF(B65="Go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AFK",IF(D65="",0,D65),0),Z64/60)*60)),0))/MAX(1,IFERROR(VLOOKUP(C65,Monsters!$T$4:$AH$15,6,FALSE),0)),1)))*(IFERROR(VLOOKUP(C65,Monsters!$T$4:$AH$15,7,FALSE),0))),0)))</f>
        <v/>
      </c>
      <c r="J65" s="7">
        <f>MAX(0,J64+IF(AND((E65="OK"),B65="Hunt"),(IF(B65="Hunt",(('Rules &amp; Formulas'!B4*N64*('Rules &amp; Formulas'!B5+O64)*IFERROR(VLOOKUP(C65,Monsters!$T$4:$AH$15,10,FALSE),0)*IFERROR(VLOOKUP(C65,Monsters!$T$4:$AH$15,9,FALSE),0))*'Rules &amp; Formulas'!B6)*IF(D65="",0,D65),0))*(IFERROR(VLOOKUP(C65,Monsters!$T$4:$AH$15,5,FALSE),0)),0)+IF(AND((E65="OK"),B65="Go AFK"),(IF(B65="Go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AFK",IF(D65="",0,D65),0),Z64/60)*60)),0))*(IFERROR(VLOOKUP(C65,Monsters!$T$4:$AH$15,5,FALSE),0)),0)-IF(AND((E65="OK"),OR(B65="Buy upgrade",B65="Forge/Scrapwork buy"),IFERROR(VLOOKUP(C65,Upgrades!$N$4:$T$47,2,FALSE),0)="scraps"),IFERROR(FLOOR(IFERROR(VLOOKUP(C65,Upgrades!$N$4:$T$47,3,FALSE),0)*(IFERROR(VLOOKUP(C65,Upgrades!$N$4:$T$47,4,FALSE),0)^(COUNTIFS($B$3:$B64,"Buy upgrade",$C$3:$C64,C65)+COUNTIFS($B$3:$B64,"Hire hunter",$C$3:$C64,C65)+COUNTIFS($B$3:$B64,"Forge/Scrapwork buy",$C$3:$C64,C65))),1),0),0))</f>
        <v/>
      </c>
      <c r="K65" s="7">
        <f>MAX(0,K64+IF(AND((E65="OK"),B65="Hunt"),IF(C65="Thornpelt Bear",(IF(B65="Hunt",(('Rules &amp; Formulas'!B4*N64*('Rules &amp; Formulas'!B5+O64)*IFERROR(VLOOKUP(C65,Monsters!$T$4:$AH$15,10,FALSE),0)*IFERROR(VLOOKUP(C65,Monsters!$T$4:$AH$15,9,FALSE),0))*'Rules &amp; Formulas'!B6)*IF(D65="",0,D65),0))*0.12,0),0)+IF(AND((E65="OK"),B65="Go AFK"),IF(C65="Thornpelt Bear",(IF(B65="Go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AFK",IF(D65="",0,D65),0),Z64/60)*60)),0))*0.12,0),0))</f>
        <v/>
      </c>
      <c r="L65" s="7">
        <f>MAX(0,L64+IF(AND((E65="OK"),B65="Hunt"),IF(C65="Dire Thornpelt",(IF(B65="Hunt",(('Rules &amp; Formulas'!B4*N64*('Rules &amp; Formulas'!B5+O64)*IFERROR(VLOOKUP(C65,Monsters!$T$4:$AH$15,10,FALSE),0)*IFERROR(VLOOKUP(C65,Monsters!$T$4:$AH$15,9,FALSE),0))*'Rules &amp; Formulas'!B6)*IF(D65="",0,D65),0))*0.1,0),0)+IF(AND((E65="OK"),B65="Go AFK"),IF(C65="Dire Thornpelt",(IF(B65="Go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AFK",IF(D65="",0,D65),0),Z64/60)*60)),0))*0.1,0),0))</f>
        <v/>
      </c>
      <c r="M65" s="7">
        <f>IF(AND((E65="OK"),B65="Go AFK"),MAX(0,MIN(('Rules &amp; Formulas'!B15+25*AJ64),M64+('Rules &amp; Formulas'!B14+0.4*AJ64)*(MIN(IF(B65="Go AFK",IF(D65="",0,D65),0),Z64/60)*60))-(IF(B65="Go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AFK",IF(D65="",0,D65),0),Z64/60)*60)),0))*(IF((IFERROR(VLOOKUP(C65,Monsters!$T$4:$AH$15,8,FALSE),0))=0,0.35,IFERROR(VLOOKUP(C65,Monsters!$T$4:$AH$15,8,FALSE),0))/(1+0.08*AK64))),MIN(('Rules &amp; Formulas'!B15+25*AJ65),M64))</f>
        <v/>
      </c>
      <c r="N65" s="7">
        <f>(1+0.08+0.12*AA65+0.12*AB65+0.16*AC65)</f>
        <v/>
      </c>
      <c r="O65" s="7">
        <f>((AD65&gt;=1)*1*(1+0.3*AE65))</f>
        <v/>
      </c>
      <c r="P65" s="7">
        <f>IF(OR(B65="Hunt",B65="Go AFK"),(('Rules &amp; Formulas'!B4*N64*('Rules &amp; Formulas'!B5+O64)*IFERROR(VLOOKUP(C65,Monsters!$T$4:$AH$15,10,FALSE),0)*IFERROR(VLOOKUP(C65,Monsters!$T$4:$AH$15,9,FALSE),0))*'Rules &amp; Formulas'!B6),"")</f>
        <v/>
      </c>
      <c r="Q65" s="7">
        <f>IF(OR(B65="Hunt",B65="Go AFK"),('Rules &amp; Formulas'!B4*N64*('Rules &amp; Formulas'!B5+O64)*IFERROR(VLOOKUP(C65,Monsters!$T$4:$AH$15,10,FALSE),0)*IFERROR(VLOOKUP(C65,Monsters!$T$4:$AH$15,9,FALSE),0)),"")</f>
        <v/>
      </c>
      <c r="R65" s="7">
        <f>IF(AND((E65="OK"),B65="Hunt"),IF(B65="Hunt",(('Rules &amp; Formulas'!B4*N64*('Rules &amp; Formulas'!B5+O64)*IFERROR(VLOOKUP(C65,Monsters!$T$4:$AH$15,10,FALSE),0)*IFERROR(VLOOKUP(C65,Monsters!$T$4:$AH$15,9,FALSE),0))*'Rules &amp; Formulas'!B6)*IF(D65="",0,D65),0),IF(AND((E65="OK"),B65="Go AFK"),IF(B65="Go AFK",MIN(IF((IF((IFERROR(VLOOKUP(C65,Monsters!$T$4:$AH$15,8,FALSE),0))=0,0.35,IFERROR(VLOOKUP(C65,Monsters!$T$4:$AH$15,8,FALSE),0))/(1+0.08*AK64))&lt;=0,999999,FLOOR(MIN(('Rules &amp; Formulas'!B15+25*AJ64),M64+('Rules &amp; Formulas'!B14+0.4*AJ64)*(MIN(IF(B65="Go AFK",IF(D65="",0,D65),0),Z64/60)*60))/(IF((IFERROR(VLOOKUP(C65,Monsters!$T$4:$AH$15,8,FALSE),0))=0,0.35,IFERROR(VLOOKUP(C65,Monsters!$T$4:$AH$15,8,FALSE),0))/(1+0.08*AK64)),1)),('Rules &amp; Formulas'!B4*N64*('Rules &amp; Formulas'!B5+O64)*IFERROR(VLOOKUP(C65,Monsters!$T$4:$AH$15,10,FALSE),0)*IFERROR(VLOOKUP(C65,Monsters!$T$4:$AH$15,9,FALSE),0))*(MIN(IF(B65="Go AFK",IF(D65="",0,D65),0),Z64/60)*60)),0),0))</f>
        <v/>
      </c>
      <c r="S65" s="7">
        <f>(105/'Rules &amp; Formulas'!B10)*'Rules &amp; Formulas'!B11</f>
        <v/>
      </c>
      <c r="T65" s="7">
        <f>IF(AD64&gt;=1,(MAX(1,ROUND('Rules &amp; Formulas'!B18*(1+0.3*AE64)*(1+0.4*AF64),0)))*(1000/'Rules &amp; Formulas'!B19)*MIN(0.95,'Rules &amp; Formulas'!B20*SQRT(1+0.55*(AG64&gt;=1))),0)</f>
        <v/>
      </c>
      <c r="U65" s="7">
        <f>S65+T65</f>
        <v/>
      </c>
      <c r="V65" s="7">
        <f>IF(I64&gt;=IF((IFERROR(VLOOKUP(C65,Monsters!$T$4:$AH$15,15,FALSE),0))=0,120,IFERROR(VLOOKUP(C65,Monsters!$T$4:$AH$15,15,FALSE),0)),"YES","no")</f>
        <v/>
      </c>
      <c r="W65" s="7">
        <f>IF(AND(B65="Fight boss",E65="OK"),IF((((105/'Rules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Formulas'!B20*SQRT(1+0.55*(AG64&gt;=1))),0)))),"")</f>
        <v/>
      </c>
      <c r="X65" s="7">
        <f>IF(AND(B65="Fight boss",E65="OK"),IF((IF((((105/'Rules &amp; Formulas'!B10)*'Rules &amp; Formulas'!B11+IF(AD64&gt;=1,(MAX(1,ROUND('Rules &amp; Formulas'!B18*(1+0.3*AE64)*(1+0.4*AF64),0)))*(1000/'Rules &amp; Formulas'!B19)*MIN(0.95,'Rules &amp; Formulas'!B20*SQRT(1+0.55*(AG64&gt;=1))),0)))&lt;=0,9999,(IFERROR(VLOOKUP(C65,Monsters!$T$4:$AH$15,2,FALSE),0))/(((105/'Rules &amp; Formulas'!B10)*'Rules &amp; Formulas'!B11+IF(AD64&gt;=1,(MAX(1,ROUND('Rules &amp; Formulas'!B18*(1+0.3*AE64)*(1+0.4*AF64),0)))*(1000/'Rules &amp; Formulas'!B19)*MIN(0.95,'Rules &amp; Formulas'!B20*SQRT(1+0.55*(AG64&gt;=1))),0))))&lt;='Rules &amp; Formulas'!B12),"WIN","LOSE"),"")</f>
        <v/>
      </c>
      <c r="Y65" s="7">
        <f>IF(B65="Go AFK",MIN(IF(B65="Go AFK",IF(D65="",0,D65),0),Z64/60),"")</f>
        <v/>
      </c>
      <c r="Z65" s="7">
        <f>('Rules &amp; Formulas'!B13+30*AI65)</f>
        <v/>
      </c>
      <c r="AA65">
        <f>COUNTIFS($B$3:$B65,"Buy upgrade",$C$3:$C65,"Idle Power")</f>
        <v/>
      </c>
      <c r="AB65">
        <f>COUNTIFS($B$3:$B65,"Buy upgrade",$C$3:$C65,"Iron Blade")</f>
        <v/>
      </c>
      <c r="AC65">
        <f>COUNTIFS($B$3:$B65,"Buy upgrade",$C$3:$C65,"Steel Blade")</f>
        <v/>
      </c>
      <c r="AD65">
        <f>COUNTIFS($B$3:$B65,"Hire hunter",$C$3:$C65,"Briar")+COUNTIFS($B$3:$B65,"Buy upgrade",$C$3:$C65,"Hire Briar")</f>
        <v/>
      </c>
      <c r="AE65">
        <f>COUNTIFS($B$3:$B65,"Buy upgrade",$C$3:$C65,"Hunter Power")</f>
        <v/>
      </c>
      <c r="AF65">
        <f>COUNTIFS($B$3:$B65,"Buy upgrade",$C$3:$C65,"Bigger Hits")</f>
        <v/>
      </c>
      <c r="AG65">
        <f>COUNTIFS($B$3:$B65,"Buy upgrade",$C$3:$C65,"Swift Walk")</f>
        <v/>
      </c>
      <c r="AH65">
        <f>COUNTIFS($B$3:$B65,"Buy upgrade",$C$3:$C65,"Loot Luck")</f>
        <v/>
      </c>
      <c r="AI65">
        <f>COUNTIFS($B$3:$B65,"Buy upgrade",$C$3:$C65,"Offline Cap")</f>
        <v/>
      </c>
      <c r="AJ65">
        <f>COUNTIFS($B$3:$B65,"Buy upgrade",$C$3:$C65,"Bigger Food Stock")</f>
        <v/>
      </c>
      <c r="AK65">
        <f>COUNTIFS($B$3:$B65,"Buy upgrade",$C$3:$C65,"Food Efficiency")</f>
        <v/>
      </c>
    </row>
    <row r="66">
      <c r="A66" t="n">
        <v>64</v>
      </c>
      <c r="B66" s="6" t="n"/>
      <c r="C66" s="6" t="n"/>
      <c r="D66" s="6" t="n"/>
      <c r="E66" s="7">
        <f>IF(B66="","",IF(OR(B66="Hunt",B66="Go AFK"),IF(C66="","Can't","OK"),IF(B66="Fight boss",IF(I65&lt;IF((IFERROR(VLOOKUP(C66,Monsters!$T$4:$AH$15,15,FALSE),0))=0,120,IFERROR(VLOOKUP(C66,Monsters!$T$4:$AH$15,15,FALSE),0)),"Can't","OK"),IF(B66="Hire hunter",IF(AND(C66="Briar",AD65&gt;=1),"Can't",IF(H65&lt;IF(C66="Briar",140,IF(C66="Quill",3650,IF(C66="Moss",4850,IF(C66="Ember",12200,0)))),"Can't","OK")),IF(OR(B66="Buy upgrade",B66="Forge/Scrapwork buy"),IF(IFERROR(VLOOKUP(C66,Upgrades!$N$4:$T$47,2,FALSE),0)="points","Can't",IF(IFERROR(VLOOKUP(C66,Upgrades!$N$4:$T$47,2,FALSE),0)="gold",IF(H65&lt;IFERROR(FLOOR(IFERROR(VLOOKUP(C66,Upgrades!$N$4:$T$47,3,FALSE),0)*(IFERROR(VLOOKUP(C66,Upgrades!$N$4:$T$47,4,FALSE),0)^(COUNTIFS($B$3:$B65,"Buy upgrade",$C$3:$C65,C66)+COUNTIFS($B$3:$B65,"Hire hunter",$C$3:$C65,C66)+COUNTIFS($B$3:$B65,"Forge/Scrapwork buy",$C$3:$C65,C66))),1),0),"Can't","OK"),IF(IFERROR(VLOOKUP(C66,Upgrades!$N$4:$T$47,2,FALSE),0)="scraps",IF(J65&lt;IFERROR(FLOOR(IFERROR(VLOOKUP(C66,Upgrades!$N$4:$T$47,3,FALSE),0)*(IFERROR(VLOOKUP(C66,Upgrades!$N$4:$T$47,4,FALSE),0)^(COUNTIFS($B$3:$B65,"Buy upgrade",$C$3:$C65,C66)+COUNTIFS($B$3:$B65,"Hire hunter",$C$3:$C65,C66)+COUNTIFS($B$3:$B65,"Forge/Scrapwork buy",$C$3:$C65,C66))),1),0),"Can't","OK"),IF(IFERROR(VLOOKUP(C66,Upgrades!$N$4:$T$47,2,FALSE),0)="mats","Can't","OK")))),"Check")))))</f>
        <v/>
      </c>
      <c r="F66" s="7">
        <f>IF(B66="","",IF(AND(B66="Fight boss",I65&lt;IF((IFERROR(VLOOKUP(C66,Monsters!$T$4:$AH$15,15,FALSE),0))=0,120,IFERROR(VLOOKUP(C66,Monsters!$T$4:$AH$15,15,FALSE),0))),"Can't — need "&amp;TEXT(IF((IFERROR(VLOOKUP(C66,Monsters!$T$4:$AH$15,15,FALSE),0))=0,120,IFERROR(VLOOKUP(C66,Monsters!$T$4:$AH$15,15,FALSE),0))-I65,"0.0")&amp;" more Slayer points on the meter",IF(AND(B66="Hire hunter",C66="Briar",AD65&gt;=1),"Can't — already hired",IF(AND(B66="Hire hunter",H65&lt;IF(C66="Briar",140,IF(C66="Quill",3650,IF(C66="Moss",4850,IF(C66="Ember",12200,0))))),"Can't — need "&amp;TEXT(IF(C66="Briar",140,IF(C66="Quill",3650,IF(C66="Moss",4850,IF(C66="Ember",12200,0))))-H65,"0")&amp;" more gold",IF(AND(OR(B66="Buy upgrade",B66="Forge/Scrapwork buy"),IFERROR(VLOOKUP(C66,Upgrades!$N$4:$T$47,2,FALSE),0)="points"),"Can't — Sp-wallet spends not tracked here",IF(AND(OR(B66="Buy upgrade",B66="Forge/Scrapwork buy"),IFERROR(VLOOKUP(C66,Upgrades!$N$4:$T$47,2,FALSE),0)="gold",H65&lt;IFERROR(FLOOR(IFERROR(VLOOKUP(C66,Upgrades!$N$4:$T$47,3,FALSE),0)*(IFERROR(VLOOKUP(C66,Upgrades!$N$4:$T$47,4,FALSE),0)^(COUNTIFS($B$3:$B65,"Buy upgrade",$C$3:$C65,C66)+COUNTIFS($B$3:$B65,"Hire hunter",$C$3:$C65,C66)+COUNTIFS($B$3:$B65,"Forge/Scrapwork buy",$C$3:$C65,C66))),1),0)),"Can't — need "&amp;TEXT(IFERROR(FLOOR(IFERROR(VLOOKUP(C66,Upgrades!$N$4:$T$47,3,FALSE),0)*(IFERROR(VLOOKUP(C66,Upgrades!$N$4:$T$47,4,FALSE),0)^(COUNTIFS($B$3:$B65,"Buy upgrade",$C$3:$C65,C66)+COUNTIFS($B$3:$B65,"Hire hunter",$C$3:$C65,C66)+COUNTIFS($B$3:$B65,"Forge/Scrapwork buy",$C$3:$C65,C66))),1),0)-H65,"0")&amp;" more gold",IF(AND(OR(B66="Buy upgrade",B66="Forge/Scrapwork buy"),IFERROR(VLOOKUP(C66,Upgrades!$N$4:$T$47,2,FALSE),0)="scraps",J65&lt;IFERROR(FLOOR(IFERROR(VLOOKUP(C66,Upgrades!$N$4:$T$47,3,FALSE),0)*(IFERROR(VLOOKUP(C66,Upgrades!$N$4:$T$47,4,FALSE),0)^(COUNTIFS($B$3:$B65,"Buy upgrade",$C$3:$C65,C66)+COUNTIFS($B$3:$B65,"Hire hunter",$C$3:$C65,C66)+COUNTIFS($B$3:$B65,"Forge/Scrapwork buy",$C$3:$C65,C66))),1),0)),"Can't — need "&amp;TEXT(IFERROR(FLOOR(IFERROR(VLOOKUP(C66,Upgrades!$N$4:$T$47,3,FALSE),0)*(IFERROR(VLOOKUP(C66,Upgrades!$N$4:$T$47,4,FALSE),0)^(COUNTIFS($B$3:$B65,"Buy upgrade",$C$3:$C65,C66)+COUNTIFS($B$3:$B65,"Hire hunter",$C$3:$C65,C66)+COUNTIFS($B$3:$B65,"Forge/Scrapwork buy",$C$3:$C65,C66))),1),0)-J65,"0")&amp;" more scraps",IF(AND(B66="Fight boss",E66="OK",(IF((((105/'Rules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Formulas'!B12)),"WIN — boss down, next Level unlocks",IF(AND(B66="Fight boss",E66="OK"),"LOSE — TTK "&amp;TEXT(IF((((105/'Rules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Formulas'!B20*SQRT(1+0.55*(AG65&gt;=1))),0)))),"0")&amp;"s &gt; patience "&amp;TEXT('Rules &amp; Formulas'!B12,"0")&amp;"s (leave resets HP)",IF(B66="Go AFK","AFK resolved (see AFK counted h)","Applied")))))))))</f>
        <v/>
      </c>
      <c r="G66" s="7">
        <f>IF(AND((E66="OK"),B66="Fight boss",(IF((((105/'Rules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Formulas'!B12),C66="Elder Thornpelt"),2,IF(AND((E66="OK"),B66="Fight boss",(IF((((105/'Rules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Formulas'!B12),C66="Ashfang Alpha"),3,G65))</f>
        <v/>
      </c>
      <c r="H66" s="7">
        <f>MAX(0,H65+IF(AND((E66="OK"),B66="Hunt"),(IF(B66="Hunt",(('Rules &amp; Formulas'!B4*N65*('Rules &amp; Formulas'!B5+O65)*IFERROR(VLOOKUP(C66,Monsters!$T$4:$AH$15,10,FALSE),0)*IFERROR(VLOOKUP(C66,Monsters!$T$4:$AH$15,9,FALSE),0))*'Rules &amp; Formulas'!B6)*IF(D66="",0,D66),0))*(IFERROR(VLOOKUP(C66,Monsters!$T$4:$AH$15,3,FALSE),0))*(1+0.1*AH65)+(IF(OR(B66&lt;&gt;"Hunt",IFERROR(VLOOKUP(C66,Monsters!$T$4:$AH$15,6,FALSE),0)=0),0,FLOOR((IF(B66="Hunt",(('Rules &amp; Formulas'!B4*N65*('Rules &amp; Formulas'!B5+O65)*IFERROR(VLOOKUP(C66,Monsters!$T$4:$AH$15,10,FALSE),0)*IFERROR(VLOOKUP(C66,Monsters!$T$4:$AH$15,9,FALSE),0))*'Rules &amp; Formulas'!B6)*IF(D66="",0,D66),0))/MAX(1,IFERROR(VLOOKUP(C66,Monsters!$T$4:$AH$15,6,FALSE),0)),1)))*(IFERROR(VLOOKUP(C66,Monsters!$T$4:$AH$15,7,FALSE),0))*0.5*(1+0.1*AH65),0)+IF(AND((E66="OK"),B66="Go AFK"),(IF(B66="Go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AFK",IF(D66="",0,D66),0),Z65/60)*60)),0))*(IFERROR(VLOOKUP(C66,Monsters!$T$4:$AH$15,3,FALSE),0))*(1+0.1*AH65)+(IF(OR(B66&lt;&gt;"Go AFK",IFERROR(VLOOKUP(C66,Monsters!$T$4:$AH$15,6,FALSE),0)=0),0,FLOOR((IF(B66="Go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AFK",IF(D66="",0,D66),0),Z65/60)*60)),0))/MAX(1,IFERROR(VLOOKUP(C66,Monsters!$T$4:$AH$15,6,FALSE),0)),1)))*(IFERROR(VLOOKUP(C66,Monsters!$T$4:$AH$15,7,FALSE),0))*0.5*(1+0.1*AH65),0)+IF(AND((E66="OK"),B66="Fight boss",(IF((((105/'Rules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Formulas'!B12)),IFERROR(VLOOKUP(C66,Monsters!$T$4:$AH$15,3,FALSE),0),0)-IF(AND((E66="OK"),OR(B66="Buy upgrade",B66="Forge/Scrapwork buy"),IFERROR(VLOOKUP(C66,Upgrades!$N$4:$T$47,2,FALSE),0)="gold"),IFERROR(FLOOR(IFERROR(VLOOKUP(C66,Upgrades!$N$4:$T$47,3,FALSE),0)*(IFERROR(VLOOKUP(C66,Upgrades!$N$4:$T$47,4,FALSE),0)^(COUNTIFS($B$3:$B65,"Buy upgrade",$C$3:$C65,C66)+COUNTIFS($B$3:$B65,"Hire hunter",$C$3:$C65,C66)+COUNTIFS($B$3:$B65,"Forge/Scrapwork buy",$C$3:$C65,C66))),1),0),0)-IF(AND((E66="OK"),B66="Hire hunter"),IF(C66="Briar",140,IF(C66="Quill",3650,IF(C66="Moss",4850,IF(C66="Ember",12200,0)))),0))</f>
        <v/>
      </c>
      <c r="I66" s="7">
        <f>IF(AND((E66="OK"),B66="Fight boss",(IF((((105/'Rules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Formulas'!B12)),0,MIN(IF(G65&lt;=1,120,IF(G65=2,280,600)),I65+IF(AND((E66="OK"),B66="Hunt"),((IF(B66="Hunt",(('Rules &amp; Formulas'!B4*N65*('Rules &amp; Formulas'!B5+O65)*IFERROR(VLOOKUP(C66,Monsters!$T$4:$AH$15,10,FALSE),0)*IFERROR(VLOOKUP(C66,Monsters!$T$4:$AH$15,9,FALSE),0))*'Rules &amp; Formulas'!B6)*IF(D66="",0,D66),0))*(IFERROR(VLOOKUP(C66,Monsters!$T$4:$AH$15,4,FALSE),0))+(IF(OR(B66&lt;&gt;"Hunt",IFERROR(VLOOKUP(C66,Monsters!$T$4:$AH$15,6,FALSE),0)=0),0,FLOOR((IF(B66="Hunt",(('Rules &amp; Formulas'!B4*N65*('Rules &amp; Formulas'!B5+O65)*IFERROR(VLOOKUP(C66,Monsters!$T$4:$AH$15,10,FALSE),0)*IFERROR(VLOOKUP(C66,Monsters!$T$4:$AH$15,9,FALSE),0))*'Rules &amp; Formulas'!B6)*IF(D66="",0,D66),0))/MAX(1,IFERROR(VLOOKUP(C66,Monsters!$T$4:$AH$15,6,FALSE),0)),1)))*(IFERROR(VLOOKUP(C66,Monsters!$T$4:$AH$15,7,FALSE),0))),0)+IF(AND((E66="OK"),B66="Go AFK"),((IF(B66="Go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AFK",IF(D66="",0,D66),0),Z65/60)*60)),0))*(IFERROR(VLOOKUP(C66,Monsters!$T$4:$AH$15,4,FALSE),0))+(IF(OR(B66&lt;&gt;"Go AFK",IFERROR(VLOOKUP(C66,Monsters!$T$4:$AH$15,6,FALSE),0)=0),0,FLOOR((IF(B66="Go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AFK",IF(D66="",0,D66),0),Z65/60)*60)),0))/MAX(1,IFERROR(VLOOKUP(C66,Monsters!$T$4:$AH$15,6,FALSE),0)),1)))*(IFERROR(VLOOKUP(C66,Monsters!$T$4:$AH$15,7,FALSE),0))),0)))</f>
        <v/>
      </c>
      <c r="J66" s="7">
        <f>MAX(0,J65+IF(AND((E66="OK"),B66="Hunt"),(IF(B66="Hunt",(('Rules &amp; Formulas'!B4*N65*('Rules &amp; Formulas'!B5+O65)*IFERROR(VLOOKUP(C66,Monsters!$T$4:$AH$15,10,FALSE),0)*IFERROR(VLOOKUP(C66,Monsters!$T$4:$AH$15,9,FALSE),0))*'Rules &amp; Formulas'!B6)*IF(D66="",0,D66),0))*(IFERROR(VLOOKUP(C66,Monsters!$T$4:$AH$15,5,FALSE),0)),0)+IF(AND((E66="OK"),B66="Go AFK"),(IF(B66="Go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AFK",IF(D66="",0,D66),0),Z65/60)*60)),0))*(IFERROR(VLOOKUP(C66,Monsters!$T$4:$AH$15,5,FALSE),0)),0)-IF(AND((E66="OK"),OR(B66="Buy upgrade",B66="Forge/Scrapwork buy"),IFERROR(VLOOKUP(C66,Upgrades!$N$4:$T$47,2,FALSE),0)="scraps"),IFERROR(FLOOR(IFERROR(VLOOKUP(C66,Upgrades!$N$4:$T$47,3,FALSE),0)*(IFERROR(VLOOKUP(C66,Upgrades!$N$4:$T$47,4,FALSE),0)^(COUNTIFS($B$3:$B65,"Buy upgrade",$C$3:$C65,C66)+COUNTIFS($B$3:$B65,"Hire hunter",$C$3:$C65,C66)+COUNTIFS($B$3:$B65,"Forge/Scrapwork buy",$C$3:$C65,C66))),1),0),0))</f>
        <v/>
      </c>
      <c r="K66" s="7">
        <f>MAX(0,K65+IF(AND((E66="OK"),B66="Hunt"),IF(C66="Thornpelt Bear",(IF(B66="Hunt",(('Rules &amp; Formulas'!B4*N65*('Rules &amp; Formulas'!B5+O65)*IFERROR(VLOOKUP(C66,Monsters!$T$4:$AH$15,10,FALSE),0)*IFERROR(VLOOKUP(C66,Monsters!$T$4:$AH$15,9,FALSE),0))*'Rules &amp; Formulas'!B6)*IF(D66="",0,D66),0))*0.12,0),0)+IF(AND((E66="OK"),B66="Go AFK"),IF(C66="Thornpelt Bear",(IF(B66="Go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AFK",IF(D66="",0,D66),0),Z65/60)*60)),0))*0.12,0),0))</f>
        <v/>
      </c>
      <c r="L66" s="7">
        <f>MAX(0,L65+IF(AND((E66="OK"),B66="Hunt"),IF(C66="Dire Thornpelt",(IF(B66="Hunt",(('Rules &amp; Formulas'!B4*N65*('Rules &amp; Formulas'!B5+O65)*IFERROR(VLOOKUP(C66,Monsters!$T$4:$AH$15,10,FALSE),0)*IFERROR(VLOOKUP(C66,Monsters!$T$4:$AH$15,9,FALSE),0))*'Rules &amp; Formulas'!B6)*IF(D66="",0,D66),0))*0.1,0),0)+IF(AND((E66="OK"),B66="Go AFK"),IF(C66="Dire Thornpelt",(IF(B66="Go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AFK",IF(D66="",0,D66),0),Z65/60)*60)),0))*0.1,0),0))</f>
        <v/>
      </c>
      <c r="M66" s="7">
        <f>IF(AND((E66="OK"),B66="Go AFK"),MAX(0,MIN(('Rules &amp; Formulas'!B15+25*AJ65),M65+('Rules &amp; Formulas'!B14+0.4*AJ65)*(MIN(IF(B66="Go AFK",IF(D66="",0,D66),0),Z65/60)*60))-(IF(B66="Go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AFK",IF(D66="",0,D66),0),Z65/60)*60)),0))*(IF((IFERROR(VLOOKUP(C66,Monsters!$T$4:$AH$15,8,FALSE),0))=0,0.35,IFERROR(VLOOKUP(C66,Monsters!$T$4:$AH$15,8,FALSE),0))/(1+0.08*AK65))),MIN(('Rules &amp; Formulas'!B15+25*AJ66),M65))</f>
        <v/>
      </c>
      <c r="N66" s="7">
        <f>(1+0.08+0.12*AA66+0.12*AB66+0.16*AC66)</f>
        <v/>
      </c>
      <c r="O66" s="7">
        <f>((AD66&gt;=1)*1*(1+0.3*AE66))</f>
        <v/>
      </c>
      <c r="P66" s="7">
        <f>IF(OR(B66="Hunt",B66="Go AFK"),(('Rules &amp; Formulas'!B4*N65*('Rules &amp; Formulas'!B5+O65)*IFERROR(VLOOKUP(C66,Monsters!$T$4:$AH$15,10,FALSE),0)*IFERROR(VLOOKUP(C66,Monsters!$T$4:$AH$15,9,FALSE),0))*'Rules &amp; Formulas'!B6),"")</f>
        <v/>
      </c>
      <c r="Q66" s="7">
        <f>IF(OR(B66="Hunt",B66="Go AFK"),('Rules &amp; Formulas'!B4*N65*('Rules &amp; Formulas'!B5+O65)*IFERROR(VLOOKUP(C66,Monsters!$T$4:$AH$15,10,FALSE),0)*IFERROR(VLOOKUP(C66,Monsters!$T$4:$AH$15,9,FALSE),0)),"")</f>
        <v/>
      </c>
      <c r="R66" s="7">
        <f>IF(AND((E66="OK"),B66="Hunt"),IF(B66="Hunt",(('Rules &amp; Formulas'!B4*N65*('Rules &amp; Formulas'!B5+O65)*IFERROR(VLOOKUP(C66,Monsters!$T$4:$AH$15,10,FALSE),0)*IFERROR(VLOOKUP(C66,Monsters!$T$4:$AH$15,9,FALSE),0))*'Rules &amp; Formulas'!B6)*IF(D66="",0,D66),0),IF(AND((E66="OK"),B66="Go AFK"),IF(B66="Go AFK",MIN(IF((IF((IFERROR(VLOOKUP(C66,Monsters!$T$4:$AH$15,8,FALSE),0))=0,0.35,IFERROR(VLOOKUP(C66,Monsters!$T$4:$AH$15,8,FALSE),0))/(1+0.08*AK65))&lt;=0,999999,FLOOR(MIN(('Rules &amp; Formulas'!B15+25*AJ65),M65+('Rules &amp; Formulas'!B14+0.4*AJ65)*(MIN(IF(B66="Go AFK",IF(D66="",0,D66),0),Z65/60)*60))/(IF((IFERROR(VLOOKUP(C66,Monsters!$T$4:$AH$15,8,FALSE),0))=0,0.35,IFERROR(VLOOKUP(C66,Monsters!$T$4:$AH$15,8,FALSE),0))/(1+0.08*AK65)),1)),('Rules &amp; Formulas'!B4*N65*('Rules &amp; Formulas'!B5+O65)*IFERROR(VLOOKUP(C66,Monsters!$T$4:$AH$15,10,FALSE),0)*IFERROR(VLOOKUP(C66,Monsters!$T$4:$AH$15,9,FALSE),0))*(MIN(IF(B66="Go AFK",IF(D66="",0,D66),0),Z65/60)*60)),0),0))</f>
        <v/>
      </c>
      <c r="S66" s="7">
        <f>(105/'Rules &amp; Formulas'!B10)*'Rules &amp; Formulas'!B11</f>
        <v/>
      </c>
      <c r="T66" s="7">
        <f>IF(AD65&gt;=1,(MAX(1,ROUND('Rules &amp; Formulas'!B18*(1+0.3*AE65)*(1+0.4*AF65),0)))*(1000/'Rules &amp; Formulas'!B19)*MIN(0.95,'Rules &amp; Formulas'!B20*SQRT(1+0.55*(AG65&gt;=1))),0)</f>
        <v/>
      </c>
      <c r="U66" s="7">
        <f>S66+T66</f>
        <v/>
      </c>
      <c r="V66" s="7">
        <f>IF(I65&gt;=IF((IFERROR(VLOOKUP(C66,Monsters!$T$4:$AH$15,15,FALSE),0))=0,120,IFERROR(VLOOKUP(C66,Monsters!$T$4:$AH$15,15,FALSE),0)),"YES","no")</f>
        <v/>
      </c>
      <c r="W66" s="7">
        <f>IF(AND(B66="Fight boss",E66="OK"),IF((((105/'Rules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Formulas'!B20*SQRT(1+0.55*(AG65&gt;=1))),0)))),"")</f>
        <v/>
      </c>
      <c r="X66" s="7">
        <f>IF(AND(B66="Fight boss",E66="OK"),IF((IF((((105/'Rules &amp; Formulas'!B10)*'Rules &amp; Formulas'!B11+IF(AD65&gt;=1,(MAX(1,ROUND('Rules &amp; Formulas'!B18*(1+0.3*AE65)*(1+0.4*AF65),0)))*(1000/'Rules &amp; Formulas'!B19)*MIN(0.95,'Rules &amp; Formulas'!B20*SQRT(1+0.55*(AG65&gt;=1))),0)))&lt;=0,9999,(IFERROR(VLOOKUP(C66,Monsters!$T$4:$AH$15,2,FALSE),0))/(((105/'Rules &amp; Formulas'!B10)*'Rules &amp; Formulas'!B11+IF(AD65&gt;=1,(MAX(1,ROUND('Rules &amp; Formulas'!B18*(1+0.3*AE65)*(1+0.4*AF65),0)))*(1000/'Rules &amp; Formulas'!B19)*MIN(0.95,'Rules &amp; Formulas'!B20*SQRT(1+0.55*(AG65&gt;=1))),0))))&lt;='Rules &amp; Formulas'!B12),"WIN","LOSE"),"")</f>
        <v/>
      </c>
      <c r="Y66" s="7">
        <f>IF(B66="Go AFK",MIN(IF(B66="Go AFK",IF(D66="",0,D66),0),Z65/60),"")</f>
        <v/>
      </c>
      <c r="Z66" s="7">
        <f>('Rules &amp; Formulas'!B13+30*AI66)</f>
        <v/>
      </c>
      <c r="AA66">
        <f>COUNTIFS($B$3:$B66,"Buy upgrade",$C$3:$C66,"Idle Power")</f>
        <v/>
      </c>
      <c r="AB66">
        <f>COUNTIFS($B$3:$B66,"Buy upgrade",$C$3:$C66,"Iron Blade")</f>
        <v/>
      </c>
      <c r="AC66">
        <f>COUNTIFS($B$3:$B66,"Buy upgrade",$C$3:$C66,"Steel Blade")</f>
        <v/>
      </c>
      <c r="AD66">
        <f>COUNTIFS($B$3:$B66,"Hire hunter",$C$3:$C66,"Briar")+COUNTIFS($B$3:$B66,"Buy upgrade",$C$3:$C66,"Hire Briar")</f>
        <v/>
      </c>
      <c r="AE66">
        <f>COUNTIFS($B$3:$B66,"Buy upgrade",$C$3:$C66,"Hunter Power")</f>
        <v/>
      </c>
      <c r="AF66">
        <f>COUNTIFS($B$3:$B66,"Buy upgrade",$C$3:$C66,"Bigger Hits")</f>
        <v/>
      </c>
      <c r="AG66">
        <f>COUNTIFS($B$3:$B66,"Buy upgrade",$C$3:$C66,"Swift Walk")</f>
        <v/>
      </c>
      <c r="AH66">
        <f>COUNTIFS($B$3:$B66,"Buy upgrade",$C$3:$C66,"Loot Luck")</f>
        <v/>
      </c>
      <c r="AI66">
        <f>COUNTIFS($B$3:$B66,"Buy upgrade",$C$3:$C66,"Offline Cap")</f>
        <v/>
      </c>
      <c r="AJ66">
        <f>COUNTIFS($B$3:$B66,"Buy upgrade",$C$3:$C66,"Bigger Food Stock")</f>
        <v/>
      </c>
      <c r="AK66">
        <f>COUNTIFS($B$3:$B66,"Buy upgrade",$C$3:$C66,"Food Efficiency")</f>
        <v/>
      </c>
    </row>
    <row r="67">
      <c r="A67" t="n">
        <v>65</v>
      </c>
      <c r="B67" s="6" t="n"/>
      <c r="C67" s="6" t="n"/>
      <c r="D67" s="6" t="n"/>
      <c r="E67" s="7">
        <f>IF(B67="","",IF(OR(B67="Hunt",B67="Go AFK"),IF(C67="","Can't","OK"),IF(B67="Fight boss",IF(I66&lt;IF((IFERROR(VLOOKUP(C67,Monsters!$T$4:$AH$15,15,FALSE),0))=0,120,IFERROR(VLOOKUP(C67,Monsters!$T$4:$AH$15,15,FALSE),0)),"Can't","OK"),IF(B67="Hire hunter",IF(AND(C67="Briar",AD66&gt;=1),"Can't",IF(H66&lt;IF(C67="Briar",140,IF(C67="Quill",3650,IF(C67="Moss",4850,IF(C67="Ember",12200,0)))),"Can't","OK")),IF(OR(B67="Buy upgrade",B67="Forge/Scrapwork buy"),IF(IFERROR(VLOOKUP(C67,Upgrades!$N$4:$T$47,2,FALSE),0)="points","Can't",IF(IFERROR(VLOOKUP(C67,Upgrades!$N$4:$T$47,2,FALSE),0)="gold",IF(H66&lt;IFERROR(FLOOR(IFERROR(VLOOKUP(C67,Upgrades!$N$4:$T$47,3,FALSE),0)*(IFERROR(VLOOKUP(C67,Upgrades!$N$4:$T$47,4,FALSE),0)^(COUNTIFS($B$3:$B66,"Buy upgrade",$C$3:$C66,C67)+COUNTIFS($B$3:$B66,"Hire hunter",$C$3:$C66,C67)+COUNTIFS($B$3:$B66,"Forge/Scrapwork buy",$C$3:$C66,C67))),1),0),"Can't","OK"),IF(IFERROR(VLOOKUP(C67,Upgrades!$N$4:$T$47,2,FALSE),0)="scraps",IF(J66&lt;IFERROR(FLOOR(IFERROR(VLOOKUP(C67,Upgrades!$N$4:$T$47,3,FALSE),0)*(IFERROR(VLOOKUP(C67,Upgrades!$N$4:$T$47,4,FALSE),0)^(COUNTIFS($B$3:$B66,"Buy upgrade",$C$3:$C66,C67)+COUNTIFS($B$3:$B66,"Hire hunter",$C$3:$C66,C67)+COUNTIFS($B$3:$B66,"Forge/Scrapwork buy",$C$3:$C66,C67))),1),0),"Can't","OK"),IF(IFERROR(VLOOKUP(C67,Upgrades!$N$4:$T$47,2,FALSE),0)="mats","Can't","OK")))),"Check")))))</f>
        <v/>
      </c>
      <c r="F67" s="7">
        <f>IF(B67="","",IF(AND(B67="Fight boss",I66&lt;IF((IFERROR(VLOOKUP(C67,Monsters!$T$4:$AH$15,15,FALSE),0))=0,120,IFERROR(VLOOKUP(C67,Monsters!$T$4:$AH$15,15,FALSE),0))),"Can't — need "&amp;TEXT(IF((IFERROR(VLOOKUP(C67,Monsters!$T$4:$AH$15,15,FALSE),0))=0,120,IFERROR(VLOOKUP(C67,Monsters!$T$4:$AH$15,15,FALSE),0))-I66,"0.0")&amp;" more Slayer points on the meter",IF(AND(B67="Hire hunter",C67="Briar",AD66&gt;=1),"Can't — already hired",IF(AND(B67="Hire hunter",H66&lt;IF(C67="Briar",140,IF(C67="Quill",3650,IF(C67="Moss",4850,IF(C67="Ember",12200,0))))),"Can't — need "&amp;TEXT(IF(C67="Briar",140,IF(C67="Quill",3650,IF(C67="Moss",4850,IF(C67="Ember",12200,0))))-H66,"0")&amp;" more gold",IF(AND(OR(B67="Buy upgrade",B67="Forge/Scrapwork buy"),IFERROR(VLOOKUP(C67,Upgrades!$N$4:$T$47,2,FALSE),0)="points"),"Can't — Sp-wallet spends not tracked here",IF(AND(OR(B67="Buy upgrade",B67="Forge/Scrapwork buy"),IFERROR(VLOOKUP(C67,Upgrades!$N$4:$T$47,2,FALSE),0)="gold",H66&lt;IFERROR(FLOOR(IFERROR(VLOOKUP(C67,Upgrades!$N$4:$T$47,3,FALSE),0)*(IFERROR(VLOOKUP(C67,Upgrades!$N$4:$T$47,4,FALSE),0)^(COUNTIFS($B$3:$B66,"Buy upgrade",$C$3:$C66,C67)+COUNTIFS($B$3:$B66,"Hire hunter",$C$3:$C66,C67)+COUNTIFS($B$3:$B66,"Forge/Scrapwork buy",$C$3:$C66,C67))),1),0)),"Can't — need "&amp;TEXT(IFERROR(FLOOR(IFERROR(VLOOKUP(C67,Upgrades!$N$4:$T$47,3,FALSE),0)*(IFERROR(VLOOKUP(C67,Upgrades!$N$4:$T$47,4,FALSE),0)^(COUNTIFS($B$3:$B66,"Buy upgrade",$C$3:$C66,C67)+COUNTIFS($B$3:$B66,"Hire hunter",$C$3:$C66,C67)+COUNTIFS($B$3:$B66,"Forge/Scrapwork buy",$C$3:$C66,C67))),1),0)-H66,"0")&amp;" more gold",IF(AND(OR(B67="Buy upgrade",B67="Forge/Scrapwork buy"),IFERROR(VLOOKUP(C67,Upgrades!$N$4:$T$47,2,FALSE),0)="scraps",J66&lt;IFERROR(FLOOR(IFERROR(VLOOKUP(C67,Upgrades!$N$4:$T$47,3,FALSE),0)*(IFERROR(VLOOKUP(C67,Upgrades!$N$4:$T$47,4,FALSE),0)^(COUNTIFS($B$3:$B66,"Buy upgrade",$C$3:$C66,C67)+COUNTIFS($B$3:$B66,"Hire hunter",$C$3:$C66,C67)+COUNTIFS($B$3:$B66,"Forge/Scrapwork buy",$C$3:$C66,C67))),1),0)),"Can't — need "&amp;TEXT(IFERROR(FLOOR(IFERROR(VLOOKUP(C67,Upgrades!$N$4:$T$47,3,FALSE),0)*(IFERROR(VLOOKUP(C67,Upgrades!$N$4:$T$47,4,FALSE),0)^(COUNTIFS($B$3:$B66,"Buy upgrade",$C$3:$C66,C67)+COUNTIFS($B$3:$B66,"Hire hunter",$C$3:$C66,C67)+COUNTIFS($B$3:$B66,"Forge/Scrapwork buy",$C$3:$C66,C67))),1),0)-J66,"0")&amp;" more scraps",IF(AND(B67="Fight boss",E67="OK",(IF((((105/'Rules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Formulas'!B12)),"WIN — boss down, next Level unlocks",IF(AND(B67="Fight boss",E67="OK"),"LOSE — TTK "&amp;TEXT(IF((((105/'Rules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Formulas'!B20*SQRT(1+0.55*(AG66&gt;=1))),0)))),"0")&amp;"s &gt; patience "&amp;TEXT('Rules &amp; Formulas'!B12,"0")&amp;"s (leave resets HP)",IF(B67="Go AFK","AFK resolved (see AFK counted h)","Applied")))))))))</f>
        <v/>
      </c>
      <c r="G67" s="7">
        <f>IF(AND((E67="OK"),B67="Fight boss",(IF((((105/'Rules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Formulas'!B12),C67="Elder Thornpelt"),2,IF(AND((E67="OK"),B67="Fight boss",(IF((((105/'Rules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Formulas'!B12),C67="Ashfang Alpha"),3,G66))</f>
        <v/>
      </c>
      <c r="H67" s="7">
        <f>MAX(0,H66+IF(AND((E67="OK"),B67="Hunt"),(IF(B67="Hunt",(('Rules &amp; Formulas'!B4*N66*('Rules &amp; Formulas'!B5+O66)*IFERROR(VLOOKUP(C67,Monsters!$T$4:$AH$15,10,FALSE),0)*IFERROR(VLOOKUP(C67,Monsters!$T$4:$AH$15,9,FALSE),0))*'Rules &amp; Formulas'!B6)*IF(D67="",0,D67),0))*(IFERROR(VLOOKUP(C67,Monsters!$T$4:$AH$15,3,FALSE),0))*(1+0.1*AH66)+(IF(OR(B67&lt;&gt;"Hunt",IFERROR(VLOOKUP(C67,Monsters!$T$4:$AH$15,6,FALSE),0)=0),0,FLOOR((IF(B67="Hunt",(('Rules &amp; Formulas'!B4*N66*('Rules &amp; Formulas'!B5+O66)*IFERROR(VLOOKUP(C67,Monsters!$T$4:$AH$15,10,FALSE),0)*IFERROR(VLOOKUP(C67,Monsters!$T$4:$AH$15,9,FALSE),0))*'Rules &amp; Formulas'!B6)*IF(D67="",0,D67),0))/MAX(1,IFERROR(VLOOKUP(C67,Monsters!$T$4:$AH$15,6,FALSE),0)),1)))*(IFERROR(VLOOKUP(C67,Monsters!$T$4:$AH$15,7,FALSE),0))*0.5*(1+0.1*AH66),0)+IF(AND((E67="OK"),B67="Go AFK"),(IF(B67="Go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AFK",IF(D67="",0,D67),0),Z66/60)*60)),0))*(IFERROR(VLOOKUP(C67,Monsters!$T$4:$AH$15,3,FALSE),0))*(1+0.1*AH66)+(IF(OR(B67&lt;&gt;"Go AFK",IFERROR(VLOOKUP(C67,Monsters!$T$4:$AH$15,6,FALSE),0)=0),0,FLOOR((IF(B67="Go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AFK",IF(D67="",0,D67),0),Z66/60)*60)),0))/MAX(1,IFERROR(VLOOKUP(C67,Monsters!$T$4:$AH$15,6,FALSE),0)),1)))*(IFERROR(VLOOKUP(C67,Monsters!$T$4:$AH$15,7,FALSE),0))*0.5*(1+0.1*AH66),0)+IF(AND((E67="OK"),B67="Fight boss",(IF((((105/'Rules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Formulas'!B12)),IFERROR(VLOOKUP(C67,Monsters!$T$4:$AH$15,3,FALSE),0),0)-IF(AND((E67="OK"),OR(B67="Buy upgrade",B67="Forge/Scrapwork buy"),IFERROR(VLOOKUP(C67,Upgrades!$N$4:$T$47,2,FALSE),0)="gold"),IFERROR(FLOOR(IFERROR(VLOOKUP(C67,Upgrades!$N$4:$T$47,3,FALSE),0)*(IFERROR(VLOOKUP(C67,Upgrades!$N$4:$T$47,4,FALSE),0)^(COUNTIFS($B$3:$B66,"Buy upgrade",$C$3:$C66,C67)+COUNTIFS($B$3:$B66,"Hire hunter",$C$3:$C66,C67)+COUNTIFS($B$3:$B66,"Forge/Scrapwork buy",$C$3:$C66,C67))),1),0),0)-IF(AND((E67="OK"),B67="Hire hunter"),IF(C67="Briar",140,IF(C67="Quill",3650,IF(C67="Moss",4850,IF(C67="Ember",12200,0)))),0))</f>
        <v/>
      </c>
      <c r="I67" s="7">
        <f>IF(AND((E67="OK"),B67="Fight boss",(IF((((105/'Rules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Formulas'!B12)),0,MIN(IF(G66&lt;=1,120,IF(G66=2,280,600)),I66+IF(AND((E67="OK"),B67="Hunt"),((IF(B67="Hunt",(('Rules &amp; Formulas'!B4*N66*('Rules &amp; Formulas'!B5+O66)*IFERROR(VLOOKUP(C67,Monsters!$T$4:$AH$15,10,FALSE),0)*IFERROR(VLOOKUP(C67,Monsters!$T$4:$AH$15,9,FALSE),0))*'Rules &amp; Formulas'!B6)*IF(D67="",0,D67),0))*(IFERROR(VLOOKUP(C67,Monsters!$T$4:$AH$15,4,FALSE),0))+(IF(OR(B67&lt;&gt;"Hunt",IFERROR(VLOOKUP(C67,Monsters!$T$4:$AH$15,6,FALSE),0)=0),0,FLOOR((IF(B67="Hunt",(('Rules &amp; Formulas'!B4*N66*('Rules &amp; Formulas'!B5+O66)*IFERROR(VLOOKUP(C67,Monsters!$T$4:$AH$15,10,FALSE),0)*IFERROR(VLOOKUP(C67,Monsters!$T$4:$AH$15,9,FALSE),0))*'Rules &amp; Formulas'!B6)*IF(D67="",0,D67),0))/MAX(1,IFERROR(VLOOKUP(C67,Monsters!$T$4:$AH$15,6,FALSE),0)),1)))*(IFERROR(VLOOKUP(C67,Monsters!$T$4:$AH$15,7,FALSE),0))),0)+IF(AND((E67="OK"),B67="Go AFK"),((IF(B67="Go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AFK",IF(D67="",0,D67),0),Z66/60)*60)),0))*(IFERROR(VLOOKUP(C67,Monsters!$T$4:$AH$15,4,FALSE),0))+(IF(OR(B67&lt;&gt;"Go AFK",IFERROR(VLOOKUP(C67,Monsters!$T$4:$AH$15,6,FALSE),0)=0),0,FLOOR((IF(B67="Go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AFK",IF(D67="",0,D67),0),Z66/60)*60)),0))/MAX(1,IFERROR(VLOOKUP(C67,Monsters!$T$4:$AH$15,6,FALSE),0)),1)))*(IFERROR(VLOOKUP(C67,Monsters!$T$4:$AH$15,7,FALSE),0))),0)))</f>
        <v/>
      </c>
      <c r="J67" s="7">
        <f>MAX(0,J66+IF(AND((E67="OK"),B67="Hunt"),(IF(B67="Hunt",(('Rules &amp; Formulas'!B4*N66*('Rules &amp; Formulas'!B5+O66)*IFERROR(VLOOKUP(C67,Monsters!$T$4:$AH$15,10,FALSE),0)*IFERROR(VLOOKUP(C67,Monsters!$T$4:$AH$15,9,FALSE),0))*'Rules &amp; Formulas'!B6)*IF(D67="",0,D67),0))*(IFERROR(VLOOKUP(C67,Monsters!$T$4:$AH$15,5,FALSE),0)),0)+IF(AND((E67="OK"),B67="Go AFK"),(IF(B67="Go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AFK",IF(D67="",0,D67),0),Z66/60)*60)),0))*(IFERROR(VLOOKUP(C67,Monsters!$T$4:$AH$15,5,FALSE),0)),0)-IF(AND((E67="OK"),OR(B67="Buy upgrade",B67="Forge/Scrapwork buy"),IFERROR(VLOOKUP(C67,Upgrades!$N$4:$T$47,2,FALSE),0)="scraps"),IFERROR(FLOOR(IFERROR(VLOOKUP(C67,Upgrades!$N$4:$T$47,3,FALSE),0)*(IFERROR(VLOOKUP(C67,Upgrades!$N$4:$T$47,4,FALSE),0)^(COUNTIFS($B$3:$B66,"Buy upgrade",$C$3:$C66,C67)+COUNTIFS($B$3:$B66,"Hire hunter",$C$3:$C66,C67)+COUNTIFS($B$3:$B66,"Forge/Scrapwork buy",$C$3:$C66,C67))),1),0),0))</f>
        <v/>
      </c>
      <c r="K67" s="7">
        <f>MAX(0,K66+IF(AND((E67="OK"),B67="Hunt"),IF(C67="Thornpelt Bear",(IF(B67="Hunt",(('Rules &amp; Formulas'!B4*N66*('Rules &amp; Formulas'!B5+O66)*IFERROR(VLOOKUP(C67,Monsters!$T$4:$AH$15,10,FALSE),0)*IFERROR(VLOOKUP(C67,Monsters!$T$4:$AH$15,9,FALSE),0))*'Rules &amp; Formulas'!B6)*IF(D67="",0,D67),0))*0.12,0),0)+IF(AND((E67="OK"),B67="Go AFK"),IF(C67="Thornpelt Bear",(IF(B67="Go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AFK",IF(D67="",0,D67),0),Z66/60)*60)),0))*0.12,0),0))</f>
        <v/>
      </c>
      <c r="L67" s="7">
        <f>MAX(0,L66+IF(AND((E67="OK"),B67="Hunt"),IF(C67="Dire Thornpelt",(IF(B67="Hunt",(('Rules &amp; Formulas'!B4*N66*('Rules &amp; Formulas'!B5+O66)*IFERROR(VLOOKUP(C67,Monsters!$T$4:$AH$15,10,FALSE),0)*IFERROR(VLOOKUP(C67,Monsters!$T$4:$AH$15,9,FALSE),0))*'Rules &amp; Formulas'!B6)*IF(D67="",0,D67),0))*0.1,0),0)+IF(AND((E67="OK"),B67="Go AFK"),IF(C67="Dire Thornpelt",(IF(B67="Go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AFK",IF(D67="",0,D67),0),Z66/60)*60)),0))*0.1,0),0))</f>
        <v/>
      </c>
      <c r="M67" s="7">
        <f>IF(AND((E67="OK"),B67="Go AFK"),MAX(0,MIN(('Rules &amp; Formulas'!B15+25*AJ66),M66+('Rules &amp; Formulas'!B14+0.4*AJ66)*(MIN(IF(B67="Go AFK",IF(D67="",0,D67),0),Z66/60)*60))-(IF(B67="Go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AFK",IF(D67="",0,D67),0),Z66/60)*60)),0))*(IF((IFERROR(VLOOKUP(C67,Monsters!$T$4:$AH$15,8,FALSE),0))=0,0.35,IFERROR(VLOOKUP(C67,Monsters!$T$4:$AH$15,8,FALSE),0))/(1+0.08*AK66))),MIN(('Rules &amp; Formulas'!B15+25*AJ67),M66))</f>
        <v/>
      </c>
      <c r="N67" s="7">
        <f>(1+0.08+0.12*AA67+0.12*AB67+0.16*AC67)</f>
        <v/>
      </c>
      <c r="O67" s="7">
        <f>((AD67&gt;=1)*1*(1+0.3*AE67))</f>
        <v/>
      </c>
      <c r="P67" s="7">
        <f>IF(OR(B67="Hunt",B67="Go AFK"),(('Rules &amp; Formulas'!B4*N66*('Rules &amp; Formulas'!B5+O66)*IFERROR(VLOOKUP(C67,Monsters!$T$4:$AH$15,10,FALSE),0)*IFERROR(VLOOKUP(C67,Monsters!$T$4:$AH$15,9,FALSE),0))*'Rules &amp; Formulas'!B6),"")</f>
        <v/>
      </c>
      <c r="Q67" s="7">
        <f>IF(OR(B67="Hunt",B67="Go AFK"),('Rules &amp; Formulas'!B4*N66*('Rules &amp; Formulas'!B5+O66)*IFERROR(VLOOKUP(C67,Monsters!$T$4:$AH$15,10,FALSE),0)*IFERROR(VLOOKUP(C67,Monsters!$T$4:$AH$15,9,FALSE),0)),"")</f>
        <v/>
      </c>
      <c r="R67" s="7">
        <f>IF(AND((E67="OK"),B67="Hunt"),IF(B67="Hunt",(('Rules &amp; Formulas'!B4*N66*('Rules &amp; Formulas'!B5+O66)*IFERROR(VLOOKUP(C67,Monsters!$T$4:$AH$15,10,FALSE),0)*IFERROR(VLOOKUP(C67,Monsters!$T$4:$AH$15,9,FALSE),0))*'Rules &amp; Formulas'!B6)*IF(D67="",0,D67),0),IF(AND((E67="OK"),B67="Go AFK"),IF(B67="Go AFK",MIN(IF((IF((IFERROR(VLOOKUP(C67,Monsters!$T$4:$AH$15,8,FALSE),0))=0,0.35,IFERROR(VLOOKUP(C67,Monsters!$T$4:$AH$15,8,FALSE),0))/(1+0.08*AK66))&lt;=0,999999,FLOOR(MIN(('Rules &amp; Formulas'!B15+25*AJ66),M66+('Rules &amp; Formulas'!B14+0.4*AJ66)*(MIN(IF(B67="Go AFK",IF(D67="",0,D67),0),Z66/60)*60))/(IF((IFERROR(VLOOKUP(C67,Monsters!$T$4:$AH$15,8,FALSE),0))=0,0.35,IFERROR(VLOOKUP(C67,Monsters!$T$4:$AH$15,8,FALSE),0))/(1+0.08*AK66)),1)),('Rules &amp; Formulas'!B4*N66*('Rules &amp; Formulas'!B5+O66)*IFERROR(VLOOKUP(C67,Monsters!$T$4:$AH$15,10,FALSE),0)*IFERROR(VLOOKUP(C67,Monsters!$T$4:$AH$15,9,FALSE),0))*(MIN(IF(B67="Go AFK",IF(D67="",0,D67),0),Z66/60)*60)),0),0))</f>
        <v/>
      </c>
      <c r="S67" s="7">
        <f>(105/'Rules &amp; Formulas'!B10)*'Rules &amp; Formulas'!B11</f>
        <v/>
      </c>
      <c r="T67" s="7">
        <f>IF(AD66&gt;=1,(MAX(1,ROUND('Rules &amp; Formulas'!B18*(1+0.3*AE66)*(1+0.4*AF66),0)))*(1000/'Rules &amp; Formulas'!B19)*MIN(0.95,'Rules &amp; Formulas'!B20*SQRT(1+0.55*(AG66&gt;=1))),0)</f>
        <v/>
      </c>
      <c r="U67" s="7">
        <f>S67+T67</f>
        <v/>
      </c>
      <c r="V67" s="7">
        <f>IF(I66&gt;=IF((IFERROR(VLOOKUP(C67,Monsters!$T$4:$AH$15,15,FALSE),0))=0,120,IFERROR(VLOOKUP(C67,Monsters!$T$4:$AH$15,15,FALSE),0)),"YES","no")</f>
        <v/>
      </c>
      <c r="W67" s="7">
        <f>IF(AND(B67="Fight boss",E67="OK"),IF((((105/'Rules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Formulas'!B20*SQRT(1+0.55*(AG66&gt;=1))),0)))),"")</f>
        <v/>
      </c>
      <c r="X67" s="7">
        <f>IF(AND(B67="Fight boss",E67="OK"),IF((IF((((105/'Rules &amp; Formulas'!B10)*'Rules &amp; Formulas'!B11+IF(AD66&gt;=1,(MAX(1,ROUND('Rules &amp; Formulas'!B18*(1+0.3*AE66)*(1+0.4*AF66),0)))*(1000/'Rules &amp; Formulas'!B19)*MIN(0.95,'Rules &amp; Formulas'!B20*SQRT(1+0.55*(AG66&gt;=1))),0)))&lt;=0,9999,(IFERROR(VLOOKUP(C67,Monsters!$T$4:$AH$15,2,FALSE),0))/(((105/'Rules &amp; Formulas'!B10)*'Rules &amp; Formulas'!B11+IF(AD66&gt;=1,(MAX(1,ROUND('Rules &amp; Formulas'!B18*(1+0.3*AE66)*(1+0.4*AF66),0)))*(1000/'Rules &amp; Formulas'!B19)*MIN(0.95,'Rules &amp; Formulas'!B20*SQRT(1+0.55*(AG66&gt;=1))),0))))&lt;='Rules &amp; Formulas'!B12),"WIN","LOSE"),"")</f>
        <v/>
      </c>
      <c r="Y67" s="7">
        <f>IF(B67="Go AFK",MIN(IF(B67="Go AFK",IF(D67="",0,D67),0),Z66/60),"")</f>
        <v/>
      </c>
      <c r="Z67" s="7">
        <f>('Rules &amp; Formulas'!B13+30*AI67)</f>
        <v/>
      </c>
      <c r="AA67">
        <f>COUNTIFS($B$3:$B67,"Buy upgrade",$C$3:$C67,"Idle Power")</f>
        <v/>
      </c>
      <c r="AB67">
        <f>COUNTIFS($B$3:$B67,"Buy upgrade",$C$3:$C67,"Iron Blade")</f>
        <v/>
      </c>
      <c r="AC67">
        <f>COUNTIFS($B$3:$B67,"Buy upgrade",$C$3:$C67,"Steel Blade")</f>
        <v/>
      </c>
      <c r="AD67">
        <f>COUNTIFS($B$3:$B67,"Hire hunter",$C$3:$C67,"Briar")+COUNTIFS($B$3:$B67,"Buy upgrade",$C$3:$C67,"Hire Briar")</f>
        <v/>
      </c>
      <c r="AE67">
        <f>COUNTIFS($B$3:$B67,"Buy upgrade",$C$3:$C67,"Hunter Power")</f>
        <v/>
      </c>
      <c r="AF67">
        <f>COUNTIFS($B$3:$B67,"Buy upgrade",$C$3:$C67,"Bigger Hits")</f>
        <v/>
      </c>
      <c r="AG67">
        <f>COUNTIFS($B$3:$B67,"Buy upgrade",$C$3:$C67,"Swift Walk")</f>
        <v/>
      </c>
      <c r="AH67">
        <f>COUNTIFS($B$3:$B67,"Buy upgrade",$C$3:$C67,"Loot Luck")</f>
        <v/>
      </c>
      <c r="AI67">
        <f>COUNTIFS($B$3:$B67,"Buy upgrade",$C$3:$C67,"Offline Cap")</f>
        <v/>
      </c>
      <c r="AJ67">
        <f>COUNTIFS($B$3:$B67,"Buy upgrade",$C$3:$C67,"Bigger Food Stock")</f>
        <v/>
      </c>
      <c r="AK67">
        <f>COUNTIFS($B$3:$B67,"Buy upgrade",$C$3:$C67,"Food Efficiency")</f>
        <v/>
      </c>
    </row>
    <row r="68">
      <c r="A68" t="n">
        <v>66</v>
      </c>
      <c r="B68" s="6" t="n"/>
      <c r="C68" s="6" t="n"/>
      <c r="D68" s="6" t="n"/>
      <c r="E68" s="7">
        <f>IF(B68="","",IF(OR(B68="Hunt",B68="Go AFK"),IF(C68="","Can't","OK"),IF(B68="Fight boss",IF(I67&lt;IF((IFERROR(VLOOKUP(C68,Monsters!$T$4:$AH$15,15,FALSE),0))=0,120,IFERROR(VLOOKUP(C68,Monsters!$T$4:$AH$15,15,FALSE),0)),"Can't","OK"),IF(B68="Hire hunter",IF(AND(C68="Briar",AD67&gt;=1),"Can't",IF(H67&lt;IF(C68="Briar",140,IF(C68="Quill",3650,IF(C68="Moss",4850,IF(C68="Ember",12200,0)))),"Can't","OK")),IF(OR(B68="Buy upgrade",B68="Forge/Scrapwork buy"),IF(IFERROR(VLOOKUP(C68,Upgrades!$N$4:$T$47,2,FALSE),0)="points","Can't",IF(IFERROR(VLOOKUP(C68,Upgrades!$N$4:$T$47,2,FALSE),0)="gold",IF(H67&lt;IFERROR(FLOOR(IFERROR(VLOOKUP(C68,Upgrades!$N$4:$T$47,3,FALSE),0)*(IFERROR(VLOOKUP(C68,Upgrades!$N$4:$T$47,4,FALSE),0)^(COUNTIFS($B$3:$B67,"Buy upgrade",$C$3:$C67,C68)+COUNTIFS($B$3:$B67,"Hire hunter",$C$3:$C67,C68)+COUNTIFS($B$3:$B67,"Forge/Scrapwork buy",$C$3:$C67,C68))),1),0),"Can't","OK"),IF(IFERROR(VLOOKUP(C68,Upgrades!$N$4:$T$47,2,FALSE),0)="scraps",IF(J67&lt;IFERROR(FLOOR(IFERROR(VLOOKUP(C68,Upgrades!$N$4:$T$47,3,FALSE),0)*(IFERROR(VLOOKUP(C68,Upgrades!$N$4:$T$47,4,FALSE),0)^(COUNTIFS($B$3:$B67,"Buy upgrade",$C$3:$C67,C68)+COUNTIFS($B$3:$B67,"Hire hunter",$C$3:$C67,C68)+COUNTIFS($B$3:$B67,"Forge/Scrapwork buy",$C$3:$C67,C68))),1),0),"Can't","OK"),IF(IFERROR(VLOOKUP(C68,Upgrades!$N$4:$T$47,2,FALSE),0)="mats","Can't","OK")))),"Check")))))</f>
        <v/>
      </c>
      <c r="F68" s="7">
        <f>IF(B68="","",IF(AND(B68="Fight boss",I67&lt;IF((IFERROR(VLOOKUP(C68,Monsters!$T$4:$AH$15,15,FALSE),0))=0,120,IFERROR(VLOOKUP(C68,Monsters!$T$4:$AH$15,15,FALSE),0))),"Can't — need "&amp;TEXT(IF((IFERROR(VLOOKUP(C68,Monsters!$T$4:$AH$15,15,FALSE),0))=0,120,IFERROR(VLOOKUP(C68,Monsters!$T$4:$AH$15,15,FALSE),0))-I67,"0.0")&amp;" more Slayer points on the meter",IF(AND(B68="Hire hunter",C68="Briar",AD67&gt;=1),"Can't — already hired",IF(AND(B68="Hire hunter",H67&lt;IF(C68="Briar",140,IF(C68="Quill",3650,IF(C68="Moss",4850,IF(C68="Ember",12200,0))))),"Can't — need "&amp;TEXT(IF(C68="Briar",140,IF(C68="Quill",3650,IF(C68="Moss",4850,IF(C68="Ember",12200,0))))-H67,"0")&amp;" more gold",IF(AND(OR(B68="Buy upgrade",B68="Forge/Scrapwork buy"),IFERROR(VLOOKUP(C68,Upgrades!$N$4:$T$47,2,FALSE),0)="points"),"Can't — Sp-wallet spends not tracked here",IF(AND(OR(B68="Buy upgrade",B68="Forge/Scrapwork buy"),IFERROR(VLOOKUP(C68,Upgrades!$N$4:$T$47,2,FALSE),0)="gold",H67&lt;IFERROR(FLOOR(IFERROR(VLOOKUP(C68,Upgrades!$N$4:$T$47,3,FALSE),0)*(IFERROR(VLOOKUP(C68,Upgrades!$N$4:$T$47,4,FALSE),0)^(COUNTIFS($B$3:$B67,"Buy upgrade",$C$3:$C67,C68)+COUNTIFS($B$3:$B67,"Hire hunter",$C$3:$C67,C68)+COUNTIFS($B$3:$B67,"Forge/Scrapwork buy",$C$3:$C67,C68))),1),0)),"Can't — need "&amp;TEXT(IFERROR(FLOOR(IFERROR(VLOOKUP(C68,Upgrades!$N$4:$T$47,3,FALSE),0)*(IFERROR(VLOOKUP(C68,Upgrades!$N$4:$T$47,4,FALSE),0)^(COUNTIFS($B$3:$B67,"Buy upgrade",$C$3:$C67,C68)+COUNTIFS($B$3:$B67,"Hire hunter",$C$3:$C67,C68)+COUNTIFS($B$3:$B67,"Forge/Scrapwork buy",$C$3:$C67,C68))),1),0)-H67,"0")&amp;" more gold",IF(AND(OR(B68="Buy upgrade",B68="Forge/Scrapwork buy"),IFERROR(VLOOKUP(C68,Upgrades!$N$4:$T$47,2,FALSE),0)="scraps",J67&lt;IFERROR(FLOOR(IFERROR(VLOOKUP(C68,Upgrades!$N$4:$T$47,3,FALSE),0)*(IFERROR(VLOOKUP(C68,Upgrades!$N$4:$T$47,4,FALSE),0)^(COUNTIFS($B$3:$B67,"Buy upgrade",$C$3:$C67,C68)+COUNTIFS($B$3:$B67,"Hire hunter",$C$3:$C67,C68)+COUNTIFS($B$3:$B67,"Forge/Scrapwork buy",$C$3:$C67,C68))),1),0)),"Can't — need "&amp;TEXT(IFERROR(FLOOR(IFERROR(VLOOKUP(C68,Upgrades!$N$4:$T$47,3,FALSE),0)*(IFERROR(VLOOKUP(C68,Upgrades!$N$4:$T$47,4,FALSE),0)^(COUNTIFS($B$3:$B67,"Buy upgrade",$C$3:$C67,C68)+COUNTIFS($B$3:$B67,"Hire hunter",$C$3:$C67,C68)+COUNTIFS($B$3:$B67,"Forge/Scrapwork buy",$C$3:$C67,C68))),1),0)-J67,"0")&amp;" more scraps",IF(AND(B68="Fight boss",E68="OK",(IF((((105/'Rules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Formulas'!B12)),"WIN — boss down, next Level unlocks",IF(AND(B68="Fight boss",E68="OK"),"LOSE — TTK "&amp;TEXT(IF((((105/'Rules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Formulas'!B20*SQRT(1+0.55*(AG67&gt;=1))),0)))),"0")&amp;"s &gt; patience "&amp;TEXT('Rules &amp; Formulas'!B12,"0")&amp;"s (leave resets HP)",IF(B68="Go AFK","AFK resolved (see AFK counted h)","Applied")))))))))</f>
        <v/>
      </c>
      <c r="G68" s="7">
        <f>IF(AND((E68="OK"),B68="Fight boss",(IF((((105/'Rules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Formulas'!B12),C68="Elder Thornpelt"),2,IF(AND((E68="OK"),B68="Fight boss",(IF((((105/'Rules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Formulas'!B12),C68="Ashfang Alpha"),3,G67))</f>
        <v/>
      </c>
      <c r="H68" s="7">
        <f>MAX(0,H67+IF(AND((E68="OK"),B68="Hunt"),(IF(B68="Hunt",(('Rules &amp; Formulas'!B4*N67*('Rules &amp; Formulas'!B5+O67)*IFERROR(VLOOKUP(C68,Monsters!$T$4:$AH$15,10,FALSE),0)*IFERROR(VLOOKUP(C68,Monsters!$T$4:$AH$15,9,FALSE),0))*'Rules &amp; Formulas'!B6)*IF(D68="",0,D68),0))*(IFERROR(VLOOKUP(C68,Monsters!$T$4:$AH$15,3,FALSE),0))*(1+0.1*AH67)+(IF(OR(B68&lt;&gt;"Hunt",IFERROR(VLOOKUP(C68,Monsters!$T$4:$AH$15,6,FALSE),0)=0),0,FLOOR((IF(B68="Hunt",(('Rules &amp; Formulas'!B4*N67*('Rules &amp; Formulas'!B5+O67)*IFERROR(VLOOKUP(C68,Monsters!$T$4:$AH$15,10,FALSE),0)*IFERROR(VLOOKUP(C68,Monsters!$T$4:$AH$15,9,FALSE),0))*'Rules &amp; Formulas'!B6)*IF(D68="",0,D68),0))/MAX(1,IFERROR(VLOOKUP(C68,Monsters!$T$4:$AH$15,6,FALSE),0)),1)))*(IFERROR(VLOOKUP(C68,Monsters!$T$4:$AH$15,7,FALSE),0))*0.5*(1+0.1*AH67),0)+IF(AND((E68="OK"),B68="Go AFK"),(IF(B68="Go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AFK",IF(D68="",0,D68),0),Z67/60)*60)),0))*(IFERROR(VLOOKUP(C68,Monsters!$T$4:$AH$15,3,FALSE),0))*(1+0.1*AH67)+(IF(OR(B68&lt;&gt;"Go AFK",IFERROR(VLOOKUP(C68,Monsters!$T$4:$AH$15,6,FALSE),0)=0),0,FLOOR((IF(B68="Go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AFK",IF(D68="",0,D68),0),Z67/60)*60)),0))/MAX(1,IFERROR(VLOOKUP(C68,Monsters!$T$4:$AH$15,6,FALSE),0)),1)))*(IFERROR(VLOOKUP(C68,Monsters!$T$4:$AH$15,7,FALSE),0))*0.5*(1+0.1*AH67),0)+IF(AND((E68="OK"),B68="Fight boss",(IF((((105/'Rules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Formulas'!B12)),IFERROR(VLOOKUP(C68,Monsters!$T$4:$AH$15,3,FALSE),0),0)-IF(AND((E68="OK"),OR(B68="Buy upgrade",B68="Forge/Scrapwork buy"),IFERROR(VLOOKUP(C68,Upgrades!$N$4:$T$47,2,FALSE),0)="gold"),IFERROR(FLOOR(IFERROR(VLOOKUP(C68,Upgrades!$N$4:$T$47,3,FALSE),0)*(IFERROR(VLOOKUP(C68,Upgrades!$N$4:$T$47,4,FALSE),0)^(COUNTIFS($B$3:$B67,"Buy upgrade",$C$3:$C67,C68)+COUNTIFS($B$3:$B67,"Hire hunter",$C$3:$C67,C68)+COUNTIFS($B$3:$B67,"Forge/Scrapwork buy",$C$3:$C67,C68))),1),0),0)-IF(AND((E68="OK"),B68="Hire hunter"),IF(C68="Briar",140,IF(C68="Quill",3650,IF(C68="Moss",4850,IF(C68="Ember",12200,0)))),0))</f>
        <v/>
      </c>
      <c r="I68" s="7">
        <f>IF(AND((E68="OK"),B68="Fight boss",(IF((((105/'Rules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Formulas'!B12)),0,MIN(IF(G67&lt;=1,120,IF(G67=2,280,600)),I67+IF(AND((E68="OK"),B68="Hunt"),((IF(B68="Hunt",(('Rules &amp; Formulas'!B4*N67*('Rules &amp; Formulas'!B5+O67)*IFERROR(VLOOKUP(C68,Monsters!$T$4:$AH$15,10,FALSE),0)*IFERROR(VLOOKUP(C68,Monsters!$T$4:$AH$15,9,FALSE),0))*'Rules &amp; Formulas'!B6)*IF(D68="",0,D68),0))*(IFERROR(VLOOKUP(C68,Monsters!$T$4:$AH$15,4,FALSE),0))+(IF(OR(B68&lt;&gt;"Hunt",IFERROR(VLOOKUP(C68,Monsters!$T$4:$AH$15,6,FALSE),0)=0),0,FLOOR((IF(B68="Hunt",(('Rules &amp; Formulas'!B4*N67*('Rules &amp; Formulas'!B5+O67)*IFERROR(VLOOKUP(C68,Monsters!$T$4:$AH$15,10,FALSE),0)*IFERROR(VLOOKUP(C68,Monsters!$T$4:$AH$15,9,FALSE),0))*'Rules &amp; Formulas'!B6)*IF(D68="",0,D68),0))/MAX(1,IFERROR(VLOOKUP(C68,Monsters!$T$4:$AH$15,6,FALSE),0)),1)))*(IFERROR(VLOOKUP(C68,Monsters!$T$4:$AH$15,7,FALSE),0))),0)+IF(AND((E68="OK"),B68="Go AFK"),((IF(B68="Go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AFK",IF(D68="",0,D68),0),Z67/60)*60)),0))*(IFERROR(VLOOKUP(C68,Monsters!$T$4:$AH$15,4,FALSE),0))+(IF(OR(B68&lt;&gt;"Go AFK",IFERROR(VLOOKUP(C68,Monsters!$T$4:$AH$15,6,FALSE),0)=0),0,FLOOR((IF(B68="Go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AFK",IF(D68="",0,D68),0),Z67/60)*60)),0))/MAX(1,IFERROR(VLOOKUP(C68,Monsters!$T$4:$AH$15,6,FALSE),0)),1)))*(IFERROR(VLOOKUP(C68,Monsters!$T$4:$AH$15,7,FALSE),0))),0)))</f>
        <v/>
      </c>
      <c r="J68" s="7">
        <f>MAX(0,J67+IF(AND((E68="OK"),B68="Hunt"),(IF(B68="Hunt",(('Rules &amp; Formulas'!B4*N67*('Rules &amp; Formulas'!B5+O67)*IFERROR(VLOOKUP(C68,Monsters!$T$4:$AH$15,10,FALSE),0)*IFERROR(VLOOKUP(C68,Monsters!$T$4:$AH$15,9,FALSE),0))*'Rules &amp; Formulas'!B6)*IF(D68="",0,D68),0))*(IFERROR(VLOOKUP(C68,Monsters!$T$4:$AH$15,5,FALSE),0)),0)+IF(AND((E68="OK"),B68="Go AFK"),(IF(B68="Go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AFK",IF(D68="",0,D68),0),Z67/60)*60)),0))*(IFERROR(VLOOKUP(C68,Monsters!$T$4:$AH$15,5,FALSE),0)),0)-IF(AND((E68="OK"),OR(B68="Buy upgrade",B68="Forge/Scrapwork buy"),IFERROR(VLOOKUP(C68,Upgrades!$N$4:$T$47,2,FALSE),0)="scraps"),IFERROR(FLOOR(IFERROR(VLOOKUP(C68,Upgrades!$N$4:$T$47,3,FALSE),0)*(IFERROR(VLOOKUP(C68,Upgrades!$N$4:$T$47,4,FALSE),0)^(COUNTIFS($B$3:$B67,"Buy upgrade",$C$3:$C67,C68)+COUNTIFS($B$3:$B67,"Hire hunter",$C$3:$C67,C68)+COUNTIFS($B$3:$B67,"Forge/Scrapwork buy",$C$3:$C67,C68))),1),0),0))</f>
        <v/>
      </c>
      <c r="K68" s="7">
        <f>MAX(0,K67+IF(AND((E68="OK"),B68="Hunt"),IF(C68="Thornpelt Bear",(IF(B68="Hunt",(('Rules &amp; Formulas'!B4*N67*('Rules &amp; Formulas'!B5+O67)*IFERROR(VLOOKUP(C68,Monsters!$T$4:$AH$15,10,FALSE),0)*IFERROR(VLOOKUP(C68,Monsters!$T$4:$AH$15,9,FALSE),0))*'Rules &amp; Formulas'!B6)*IF(D68="",0,D68),0))*0.12,0),0)+IF(AND((E68="OK"),B68="Go AFK"),IF(C68="Thornpelt Bear",(IF(B68="Go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AFK",IF(D68="",0,D68),0),Z67/60)*60)),0))*0.12,0),0))</f>
        <v/>
      </c>
      <c r="L68" s="7">
        <f>MAX(0,L67+IF(AND((E68="OK"),B68="Hunt"),IF(C68="Dire Thornpelt",(IF(B68="Hunt",(('Rules &amp; Formulas'!B4*N67*('Rules &amp; Formulas'!B5+O67)*IFERROR(VLOOKUP(C68,Monsters!$T$4:$AH$15,10,FALSE),0)*IFERROR(VLOOKUP(C68,Monsters!$T$4:$AH$15,9,FALSE),0))*'Rules &amp; Formulas'!B6)*IF(D68="",0,D68),0))*0.1,0),0)+IF(AND((E68="OK"),B68="Go AFK"),IF(C68="Dire Thornpelt",(IF(B68="Go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AFK",IF(D68="",0,D68),0),Z67/60)*60)),0))*0.1,0),0))</f>
        <v/>
      </c>
      <c r="M68" s="7">
        <f>IF(AND((E68="OK"),B68="Go AFK"),MAX(0,MIN(('Rules &amp; Formulas'!B15+25*AJ67),M67+('Rules &amp; Formulas'!B14+0.4*AJ67)*(MIN(IF(B68="Go AFK",IF(D68="",0,D68),0),Z67/60)*60))-(IF(B68="Go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AFK",IF(D68="",0,D68),0),Z67/60)*60)),0))*(IF((IFERROR(VLOOKUP(C68,Monsters!$T$4:$AH$15,8,FALSE),0))=0,0.35,IFERROR(VLOOKUP(C68,Monsters!$T$4:$AH$15,8,FALSE),0))/(1+0.08*AK67))),MIN(('Rules &amp; Formulas'!B15+25*AJ68),M67))</f>
        <v/>
      </c>
      <c r="N68" s="7">
        <f>(1+0.08+0.12*AA68+0.12*AB68+0.16*AC68)</f>
        <v/>
      </c>
      <c r="O68" s="7">
        <f>((AD68&gt;=1)*1*(1+0.3*AE68))</f>
        <v/>
      </c>
      <c r="P68" s="7">
        <f>IF(OR(B68="Hunt",B68="Go AFK"),(('Rules &amp; Formulas'!B4*N67*('Rules &amp; Formulas'!B5+O67)*IFERROR(VLOOKUP(C68,Monsters!$T$4:$AH$15,10,FALSE),0)*IFERROR(VLOOKUP(C68,Monsters!$T$4:$AH$15,9,FALSE),0))*'Rules &amp; Formulas'!B6),"")</f>
        <v/>
      </c>
      <c r="Q68" s="7">
        <f>IF(OR(B68="Hunt",B68="Go AFK"),('Rules &amp; Formulas'!B4*N67*('Rules &amp; Formulas'!B5+O67)*IFERROR(VLOOKUP(C68,Monsters!$T$4:$AH$15,10,FALSE),0)*IFERROR(VLOOKUP(C68,Monsters!$T$4:$AH$15,9,FALSE),0)),"")</f>
        <v/>
      </c>
      <c r="R68" s="7">
        <f>IF(AND((E68="OK"),B68="Hunt"),IF(B68="Hunt",(('Rules &amp; Formulas'!B4*N67*('Rules &amp; Formulas'!B5+O67)*IFERROR(VLOOKUP(C68,Monsters!$T$4:$AH$15,10,FALSE),0)*IFERROR(VLOOKUP(C68,Monsters!$T$4:$AH$15,9,FALSE),0))*'Rules &amp; Formulas'!B6)*IF(D68="",0,D68),0),IF(AND((E68="OK"),B68="Go AFK"),IF(B68="Go AFK",MIN(IF((IF((IFERROR(VLOOKUP(C68,Monsters!$T$4:$AH$15,8,FALSE),0))=0,0.35,IFERROR(VLOOKUP(C68,Monsters!$T$4:$AH$15,8,FALSE),0))/(1+0.08*AK67))&lt;=0,999999,FLOOR(MIN(('Rules &amp; Formulas'!B15+25*AJ67),M67+('Rules &amp; Formulas'!B14+0.4*AJ67)*(MIN(IF(B68="Go AFK",IF(D68="",0,D68),0),Z67/60)*60))/(IF((IFERROR(VLOOKUP(C68,Monsters!$T$4:$AH$15,8,FALSE),0))=0,0.35,IFERROR(VLOOKUP(C68,Monsters!$T$4:$AH$15,8,FALSE),0))/(1+0.08*AK67)),1)),('Rules &amp; Formulas'!B4*N67*('Rules &amp; Formulas'!B5+O67)*IFERROR(VLOOKUP(C68,Monsters!$T$4:$AH$15,10,FALSE),0)*IFERROR(VLOOKUP(C68,Monsters!$T$4:$AH$15,9,FALSE),0))*(MIN(IF(B68="Go AFK",IF(D68="",0,D68),0),Z67/60)*60)),0),0))</f>
        <v/>
      </c>
      <c r="S68" s="7">
        <f>(105/'Rules &amp; Formulas'!B10)*'Rules &amp; Formulas'!B11</f>
        <v/>
      </c>
      <c r="T68" s="7">
        <f>IF(AD67&gt;=1,(MAX(1,ROUND('Rules &amp; Formulas'!B18*(1+0.3*AE67)*(1+0.4*AF67),0)))*(1000/'Rules &amp; Formulas'!B19)*MIN(0.95,'Rules &amp; Formulas'!B20*SQRT(1+0.55*(AG67&gt;=1))),0)</f>
        <v/>
      </c>
      <c r="U68" s="7">
        <f>S68+T68</f>
        <v/>
      </c>
      <c r="V68" s="7">
        <f>IF(I67&gt;=IF((IFERROR(VLOOKUP(C68,Monsters!$T$4:$AH$15,15,FALSE),0))=0,120,IFERROR(VLOOKUP(C68,Monsters!$T$4:$AH$15,15,FALSE),0)),"YES","no")</f>
        <v/>
      </c>
      <c r="W68" s="7">
        <f>IF(AND(B68="Fight boss",E68="OK"),IF((((105/'Rules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Formulas'!B20*SQRT(1+0.55*(AG67&gt;=1))),0)))),"")</f>
        <v/>
      </c>
      <c r="X68" s="7">
        <f>IF(AND(B68="Fight boss",E68="OK"),IF((IF((((105/'Rules &amp; Formulas'!B10)*'Rules &amp; Formulas'!B11+IF(AD67&gt;=1,(MAX(1,ROUND('Rules &amp; Formulas'!B18*(1+0.3*AE67)*(1+0.4*AF67),0)))*(1000/'Rules &amp; Formulas'!B19)*MIN(0.95,'Rules &amp; Formulas'!B20*SQRT(1+0.55*(AG67&gt;=1))),0)))&lt;=0,9999,(IFERROR(VLOOKUP(C68,Monsters!$T$4:$AH$15,2,FALSE),0))/(((105/'Rules &amp; Formulas'!B10)*'Rules &amp; Formulas'!B11+IF(AD67&gt;=1,(MAX(1,ROUND('Rules &amp; Formulas'!B18*(1+0.3*AE67)*(1+0.4*AF67),0)))*(1000/'Rules &amp; Formulas'!B19)*MIN(0.95,'Rules &amp; Formulas'!B20*SQRT(1+0.55*(AG67&gt;=1))),0))))&lt;='Rules &amp; Formulas'!B12),"WIN","LOSE"),"")</f>
        <v/>
      </c>
      <c r="Y68" s="7">
        <f>IF(B68="Go AFK",MIN(IF(B68="Go AFK",IF(D68="",0,D68),0),Z67/60),"")</f>
        <v/>
      </c>
      <c r="Z68" s="7">
        <f>('Rules &amp; Formulas'!B13+30*AI68)</f>
        <v/>
      </c>
      <c r="AA68">
        <f>COUNTIFS($B$3:$B68,"Buy upgrade",$C$3:$C68,"Idle Power")</f>
        <v/>
      </c>
      <c r="AB68">
        <f>COUNTIFS($B$3:$B68,"Buy upgrade",$C$3:$C68,"Iron Blade")</f>
        <v/>
      </c>
      <c r="AC68">
        <f>COUNTIFS($B$3:$B68,"Buy upgrade",$C$3:$C68,"Steel Blade")</f>
        <v/>
      </c>
      <c r="AD68">
        <f>COUNTIFS($B$3:$B68,"Hire hunter",$C$3:$C68,"Briar")+COUNTIFS($B$3:$B68,"Buy upgrade",$C$3:$C68,"Hire Briar")</f>
        <v/>
      </c>
      <c r="AE68">
        <f>COUNTIFS($B$3:$B68,"Buy upgrade",$C$3:$C68,"Hunter Power")</f>
        <v/>
      </c>
      <c r="AF68">
        <f>COUNTIFS($B$3:$B68,"Buy upgrade",$C$3:$C68,"Bigger Hits")</f>
        <v/>
      </c>
      <c r="AG68">
        <f>COUNTIFS($B$3:$B68,"Buy upgrade",$C$3:$C68,"Swift Walk")</f>
        <v/>
      </c>
      <c r="AH68">
        <f>COUNTIFS($B$3:$B68,"Buy upgrade",$C$3:$C68,"Loot Luck")</f>
        <v/>
      </c>
      <c r="AI68">
        <f>COUNTIFS($B$3:$B68,"Buy upgrade",$C$3:$C68,"Offline Cap")</f>
        <v/>
      </c>
      <c r="AJ68">
        <f>COUNTIFS($B$3:$B68,"Buy upgrade",$C$3:$C68,"Bigger Food Stock")</f>
        <v/>
      </c>
      <c r="AK68">
        <f>COUNTIFS($B$3:$B68,"Buy upgrade",$C$3:$C68,"Food Efficiency")</f>
        <v/>
      </c>
    </row>
    <row r="69">
      <c r="A69" t="n">
        <v>67</v>
      </c>
      <c r="B69" s="6" t="n"/>
      <c r="C69" s="6" t="n"/>
      <c r="D69" s="6" t="n"/>
      <c r="E69" s="7">
        <f>IF(B69="","",IF(OR(B69="Hunt",B69="Go AFK"),IF(C69="","Can't","OK"),IF(B69="Fight boss",IF(I68&lt;IF((IFERROR(VLOOKUP(C69,Monsters!$T$4:$AH$15,15,FALSE),0))=0,120,IFERROR(VLOOKUP(C69,Monsters!$T$4:$AH$15,15,FALSE),0)),"Can't","OK"),IF(B69="Hire hunter",IF(AND(C69="Briar",AD68&gt;=1),"Can't",IF(H68&lt;IF(C69="Briar",140,IF(C69="Quill",3650,IF(C69="Moss",4850,IF(C69="Ember",12200,0)))),"Can't","OK")),IF(OR(B69="Buy upgrade",B69="Forge/Scrapwork buy"),IF(IFERROR(VLOOKUP(C69,Upgrades!$N$4:$T$47,2,FALSE),0)="points","Can't",IF(IFERROR(VLOOKUP(C69,Upgrades!$N$4:$T$47,2,FALSE),0)="gold",IF(H68&lt;IFERROR(FLOOR(IFERROR(VLOOKUP(C69,Upgrades!$N$4:$T$47,3,FALSE),0)*(IFERROR(VLOOKUP(C69,Upgrades!$N$4:$T$47,4,FALSE),0)^(COUNTIFS($B$3:$B68,"Buy upgrade",$C$3:$C68,C69)+COUNTIFS($B$3:$B68,"Hire hunter",$C$3:$C68,C69)+COUNTIFS($B$3:$B68,"Forge/Scrapwork buy",$C$3:$C68,C69))),1),0),"Can't","OK"),IF(IFERROR(VLOOKUP(C69,Upgrades!$N$4:$T$47,2,FALSE),0)="scraps",IF(J68&lt;IFERROR(FLOOR(IFERROR(VLOOKUP(C69,Upgrades!$N$4:$T$47,3,FALSE),0)*(IFERROR(VLOOKUP(C69,Upgrades!$N$4:$T$47,4,FALSE),0)^(COUNTIFS($B$3:$B68,"Buy upgrade",$C$3:$C68,C69)+COUNTIFS($B$3:$B68,"Hire hunter",$C$3:$C68,C69)+COUNTIFS($B$3:$B68,"Forge/Scrapwork buy",$C$3:$C68,C69))),1),0),"Can't","OK"),IF(IFERROR(VLOOKUP(C69,Upgrades!$N$4:$T$47,2,FALSE),0)="mats","Can't","OK")))),"Check")))))</f>
        <v/>
      </c>
      <c r="F69" s="7">
        <f>IF(B69="","",IF(AND(B69="Fight boss",I68&lt;IF((IFERROR(VLOOKUP(C69,Monsters!$T$4:$AH$15,15,FALSE),0))=0,120,IFERROR(VLOOKUP(C69,Monsters!$T$4:$AH$15,15,FALSE),0))),"Can't — need "&amp;TEXT(IF((IFERROR(VLOOKUP(C69,Monsters!$T$4:$AH$15,15,FALSE),0))=0,120,IFERROR(VLOOKUP(C69,Monsters!$T$4:$AH$15,15,FALSE),0))-I68,"0.0")&amp;" more Slayer points on the meter",IF(AND(B69="Hire hunter",C69="Briar",AD68&gt;=1),"Can't — already hired",IF(AND(B69="Hire hunter",H68&lt;IF(C69="Briar",140,IF(C69="Quill",3650,IF(C69="Moss",4850,IF(C69="Ember",12200,0))))),"Can't — need "&amp;TEXT(IF(C69="Briar",140,IF(C69="Quill",3650,IF(C69="Moss",4850,IF(C69="Ember",12200,0))))-H68,"0")&amp;" more gold",IF(AND(OR(B69="Buy upgrade",B69="Forge/Scrapwork buy"),IFERROR(VLOOKUP(C69,Upgrades!$N$4:$T$47,2,FALSE),0)="points"),"Can't — Sp-wallet spends not tracked here",IF(AND(OR(B69="Buy upgrade",B69="Forge/Scrapwork buy"),IFERROR(VLOOKUP(C69,Upgrades!$N$4:$T$47,2,FALSE),0)="gold",H68&lt;IFERROR(FLOOR(IFERROR(VLOOKUP(C69,Upgrades!$N$4:$T$47,3,FALSE),0)*(IFERROR(VLOOKUP(C69,Upgrades!$N$4:$T$47,4,FALSE),0)^(COUNTIFS($B$3:$B68,"Buy upgrade",$C$3:$C68,C69)+COUNTIFS($B$3:$B68,"Hire hunter",$C$3:$C68,C69)+COUNTIFS($B$3:$B68,"Forge/Scrapwork buy",$C$3:$C68,C69))),1),0)),"Can't — need "&amp;TEXT(IFERROR(FLOOR(IFERROR(VLOOKUP(C69,Upgrades!$N$4:$T$47,3,FALSE),0)*(IFERROR(VLOOKUP(C69,Upgrades!$N$4:$T$47,4,FALSE),0)^(COUNTIFS($B$3:$B68,"Buy upgrade",$C$3:$C68,C69)+COUNTIFS($B$3:$B68,"Hire hunter",$C$3:$C68,C69)+COUNTIFS($B$3:$B68,"Forge/Scrapwork buy",$C$3:$C68,C69))),1),0)-H68,"0")&amp;" more gold",IF(AND(OR(B69="Buy upgrade",B69="Forge/Scrapwork buy"),IFERROR(VLOOKUP(C69,Upgrades!$N$4:$T$47,2,FALSE),0)="scraps",J68&lt;IFERROR(FLOOR(IFERROR(VLOOKUP(C69,Upgrades!$N$4:$T$47,3,FALSE),0)*(IFERROR(VLOOKUP(C69,Upgrades!$N$4:$T$47,4,FALSE),0)^(COUNTIFS($B$3:$B68,"Buy upgrade",$C$3:$C68,C69)+COUNTIFS($B$3:$B68,"Hire hunter",$C$3:$C68,C69)+COUNTIFS($B$3:$B68,"Forge/Scrapwork buy",$C$3:$C68,C69))),1),0)),"Can't — need "&amp;TEXT(IFERROR(FLOOR(IFERROR(VLOOKUP(C69,Upgrades!$N$4:$T$47,3,FALSE),0)*(IFERROR(VLOOKUP(C69,Upgrades!$N$4:$T$47,4,FALSE),0)^(COUNTIFS($B$3:$B68,"Buy upgrade",$C$3:$C68,C69)+COUNTIFS($B$3:$B68,"Hire hunter",$C$3:$C68,C69)+COUNTIFS($B$3:$B68,"Forge/Scrapwork buy",$C$3:$C68,C69))),1),0)-J68,"0")&amp;" more scraps",IF(AND(B69="Fight boss",E69="OK",(IF((((105/'Rules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Formulas'!B12)),"WIN — boss down, next Level unlocks",IF(AND(B69="Fight boss",E69="OK"),"LOSE — TTK "&amp;TEXT(IF((((105/'Rules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Formulas'!B20*SQRT(1+0.55*(AG68&gt;=1))),0)))),"0")&amp;"s &gt; patience "&amp;TEXT('Rules &amp; Formulas'!B12,"0")&amp;"s (leave resets HP)",IF(B69="Go AFK","AFK resolved (see AFK counted h)","Applied")))))))))</f>
        <v/>
      </c>
      <c r="G69" s="7">
        <f>IF(AND((E69="OK"),B69="Fight boss",(IF((((105/'Rules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Formulas'!B12),C69="Elder Thornpelt"),2,IF(AND((E69="OK"),B69="Fight boss",(IF((((105/'Rules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Formulas'!B12),C69="Ashfang Alpha"),3,G68))</f>
        <v/>
      </c>
      <c r="H69" s="7">
        <f>MAX(0,H68+IF(AND((E69="OK"),B69="Hunt"),(IF(B69="Hunt",(('Rules &amp; Formulas'!B4*N68*('Rules &amp; Formulas'!B5+O68)*IFERROR(VLOOKUP(C69,Monsters!$T$4:$AH$15,10,FALSE),0)*IFERROR(VLOOKUP(C69,Monsters!$T$4:$AH$15,9,FALSE),0))*'Rules &amp; Formulas'!B6)*IF(D69="",0,D69),0))*(IFERROR(VLOOKUP(C69,Monsters!$T$4:$AH$15,3,FALSE),0))*(1+0.1*AH68)+(IF(OR(B69&lt;&gt;"Hunt",IFERROR(VLOOKUP(C69,Monsters!$T$4:$AH$15,6,FALSE),0)=0),0,FLOOR((IF(B69="Hunt",(('Rules &amp; Formulas'!B4*N68*('Rules &amp; Formulas'!B5+O68)*IFERROR(VLOOKUP(C69,Monsters!$T$4:$AH$15,10,FALSE),0)*IFERROR(VLOOKUP(C69,Monsters!$T$4:$AH$15,9,FALSE),0))*'Rules &amp; Formulas'!B6)*IF(D69="",0,D69),0))/MAX(1,IFERROR(VLOOKUP(C69,Monsters!$T$4:$AH$15,6,FALSE),0)),1)))*(IFERROR(VLOOKUP(C69,Monsters!$T$4:$AH$15,7,FALSE),0))*0.5*(1+0.1*AH68),0)+IF(AND((E69="OK"),B69="Go AFK"),(IF(B69="Go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AFK",IF(D69="",0,D69),0),Z68/60)*60)),0))*(IFERROR(VLOOKUP(C69,Monsters!$T$4:$AH$15,3,FALSE),0))*(1+0.1*AH68)+(IF(OR(B69&lt;&gt;"Go AFK",IFERROR(VLOOKUP(C69,Monsters!$T$4:$AH$15,6,FALSE),0)=0),0,FLOOR((IF(B69="Go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AFK",IF(D69="",0,D69),0),Z68/60)*60)),0))/MAX(1,IFERROR(VLOOKUP(C69,Monsters!$T$4:$AH$15,6,FALSE),0)),1)))*(IFERROR(VLOOKUP(C69,Monsters!$T$4:$AH$15,7,FALSE),0))*0.5*(1+0.1*AH68),0)+IF(AND((E69="OK"),B69="Fight boss",(IF((((105/'Rules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Formulas'!B12)),IFERROR(VLOOKUP(C69,Monsters!$T$4:$AH$15,3,FALSE),0),0)-IF(AND((E69="OK"),OR(B69="Buy upgrade",B69="Forge/Scrapwork buy"),IFERROR(VLOOKUP(C69,Upgrades!$N$4:$T$47,2,FALSE),0)="gold"),IFERROR(FLOOR(IFERROR(VLOOKUP(C69,Upgrades!$N$4:$T$47,3,FALSE),0)*(IFERROR(VLOOKUP(C69,Upgrades!$N$4:$T$47,4,FALSE),0)^(COUNTIFS($B$3:$B68,"Buy upgrade",$C$3:$C68,C69)+COUNTIFS($B$3:$B68,"Hire hunter",$C$3:$C68,C69)+COUNTIFS($B$3:$B68,"Forge/Scrapwork buy",$C$3:$C68,C69))),1),0),0)-IF(AND((E69="OK"),B69="Hire hunter"),IF(C69="Briar",140,IF(C69="Quill",3650,IF(C69="Moss",4850,IF(C69="Ember",12200,0)))),0))</f>
        <v/>
      </c>
      <c r="I69" s="7">
        <f>IF(AND((E69="OK"),B69="Fight boss",(IF((((105/'Rules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Formulas'!B12)),0,MIN(IF(G68&lt;=1,120,IF(G68=2,280,600)),I68+IF(AND((E69="OK"),B69="Hunt"),((IF(B69="Hunt",(('Rules &amp; Formulas'!B4*N68*('Rules &amp; Formulas'!B5+O68)*IFERROR(VLOOKUP(C69,Monsters!$T$4:$AH$15,10,FALSE),0)*IFERROR(VLOOKUP(C69,Monsters!$T$4:$AH$15,9,FALSE),0))*'Rules &amp; Formulas'!B6)*IF(D69="",0,D69),0))*(IFERROR(VLOOKUP(C69,Monsters!$T$4:$AH$15,4,FALSE),0))+(IF(OR(B69&lt;&gt;"Hunt",IFERROR(VLOOKUP(C69,Monsters!$T$4:$AH$15,6,FALSE),0)=0),0,FLOOR((IF(B69="Hunt",(('Rules &amp; Formulas'!B4*N68*('Rules &amp; Formulas'!B5+O68)*IFERROR(VLOOKUP(C69,Monsters!$T$4:$AH$15,10,FALSE),0)*IFERROR(VLOOKUP(C69,Monsters!$T$4:$AH$15,9,FALSE),0))*'Rules &amp; Formulas'!B6)*IF(D69="",0,D69),0))/MAX(1,IFERROR(VLOOKUP(C69,Monsters!$T$4:$AH$15,6,FALSE),0)),1)))*(IFERROR(VLOOKUP(C69,Monsters!$T$4:$AH$15,7,FALSE),0))),0)+IF(AND((E69="OK"),B69="Go AFK"),((IF(B69="Go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AFK",IF(D69="",0,D69),0),Z68/60)*60)),0))*(IFERROR(VLOOKUP(C69,Monsters!$T$4:$AH$15,4,FALSE),0))+(IF(OR(B69&lt;&gt;"Go AFK",IFERROR(VLOOKUP(C69,Monsters!$T$4:$AH$15,6,FALSE),0)=0),0,FLOOR((IF(B69="Go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AFK",IF(D69="",0,D69),0),Z68/60)*60)),0))/MAX(1,IFERROR(VLOOKUP(C69,Monsters!$T$4:$AH$15,6,FALSE),0)),1)))*(IFERROR(VLOOKUP(C69,Monsters!$T$4:$AH$15,7,FALSE),0))),0)))</f>
        <v/>
      </c>
      <c r="J69" s="7">
        <f>MAX(0,J68+IF(AND((E69="OK"),B69="Hunt"),(IF(B69="Hunt",(('Rules &amp; Formulas'!B4*N68*('Rules &amp; Formulas'!B5+O68)*IFERROR(VLOOKUP(C69,Monsters!$T$4:$AH$15,10,FALSE),0)*IFERROR(VLOOKUP(C69,Monsters!$T$4:$AH$15,9,FALSE),0))*'Rules &amp; Formulas'!B6)*IF(D69="",0,D69),0))*(IFERROR(VLOOKUP(C69,Monsters!$T$4:$AH$15,5,FALSE),0)),0)+IF(AND((E69="OK"),B69="Go AFK"),(IF(B69="Go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AFK",IF(D69="",0,D69),0),Z68/60)*60)),0))*(IFERROR(VLOOKUP(C69,Monsters!$T$4:$AH$15,5,FALSE),0)),0)-IF(AND((E69="OK"),OR(B69="Buy upgrade",B69="Forge/Scrapwork buy"),IFERROR(VLOOKUP(C69,Upgrades!$N$4:$T$47,2,FALSE),0)="scraps"),IFERROR(FLOOR(IFERROR(VLOOKUP(C69,Upgrades!$N$4:$T$47,3,FALSE),0)*(IFERROR(VLOOKUP(C69,Upgrades!$N$4:$T$47,4,FALSE),0)^(COUNTIFS($B$3:$B68,"Buy upgrade",$C$3:$C68,C69)+COUNTIFS($B$3:$B68,"Hire hunter",$C$3:$C68,C69)+COUNTIFS($B$3:$B68,"Forge/Scrapwork buy",$C$3:$C68,C69))),1),0),0))</f>
        <v/>
      </c>
      <c r="K69" s="7">
        <f>MAX(0,K68+IF(AND((E69="OK"),B69="Hunt"),IF(C69="Thornpelt Bear",(IF(B69="Hunt",(('Rules &amp; Formulas'!B4*N68*('Rules &amp; Formulas'!B5+O68)*IFERROR(VLOOKUP(C69,Monsters!$T$4:$AH$15,10,FALSE),0)*IFERROR(VLOOKUP(C69,Monsters!$T$4:$AH$15,9,FALSE),0))*'Rules &amp; Formulas'!B6)*IF(D69="",0,D69),0))*0.12,0),0)+IF(AND((E69="OK"),B69="Go AFK"),IF(C69="Thornpelt Bear",(IF(B69="Go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AFK",IF(D69="",0,D69),0),Z68/60)*60)),0))*0.12,0),0))</f>
        <v/>
      </c>
      <c r="L69" s="7">
        <f>MAX(0,L68+IF(AND((E69="OK"),B69="Hunt"),IF(C69="Dire Thornpelt",(IF(B69="Hunt",(('Rules &amp; Formulas'!B4*N68*('Rules &amp; Formulas'!B5+O68)*IFERROR(VLOOKUP(C69,Monsters!$T$4:$AH$15,10,FALSE),0)*IFERROR(VLOOKUP(C69,Monsters!$T$4:$AH$15,9,FALSE),0))*'Rules &amp; Formulas'!B6)*IF(D69="",0,D69),0))*0.1,0),0)+IF(AND((E69="OK"),B69="Go AFK"),IF(C69="Dire Thornpelt",(IF(B69="Go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AFK",IF(D69="",0,D69),0),Z68/60)*60)),0))*0.1,0),0))</f>
        <v/>
      </c>
      <c r="M69" s="7">
        <f>IF(AND((E69="OK"),B69="Go AFK"),MAX(0,MIN(('Rules &amp; Formulas'!B15+25*AJ68),M68+('Rules &amp; Formulas'!B14+0.4*AJ68)*(MIN(IF(B69="Go AFK",IF(D69="",0,D69),0),Z68/60)*60))-(IF(B69="Go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AFK",IF(D69="",0,D69),0),Z68/60)*60)),0))*(IF((IFERROR(VLOOKUP(C69,Monsters!$T$4:$AH$15,8,FALSE),0))=0,0.35,IFERROR(VLOOKUP(C69,Monsters!$T$4:$AH$15,8,FALSE),0))/(1+0.08*AK68))),MIN(('Rules &amp; Formulas'!B15+25*AJ69),M68))</f>
        <v/>
      </c>
      <c r="N69" s="7">
        <f>(1+0.08+0.12*AA69+0.12*AB69+0.16*AC69)</f>
        <v/>
      </c>
      <c r="O69" s="7">
        <f>((AD69&gt;=1)*1*(1+0.3*AE69))</f>
        <v/>
      </c>
      <c r="P69" s="7">
        <f>IF(OR(B69="Hunt",B69="Go AFK"),(('Rules &amp; Formulas'!B4*N68*('Rules &amp; Formulas'!B5+O68)*IFERROR(VLOOKUP(C69,Monsters!$T$4:$AH$15,10,FALSE),0)*IFERROR(VLOOKUP(C69,Monsters!$T$4:$AH$15,9,FALSE),0))*'Rules &amp; Formulas'!B6),"")</f>
        <v/>
      </c>
      <c r="Q69" s="7">
        <f>IF(OR(B69="Hunt",B69="Go AFK"),('Rules &amp; Formulas'!B4*N68*('Rules &amp; Formulas'!B5+O68)*IFERROR(VLOOKUP(C69,Monsters!$T$4:$AH$15,10,FALSE),0)*IFERROR(VLOOKUP(C69,Monsters!$T$4:$AH$15,9,FALSE),0)),"")</f>
        <v/>
      </c>
      <c r="R69" s="7">
        <f>IF(AND((E69="OK"),B69="Hunt"),IF(B69="Hunt",(('Rules &amp; Formulas'!B4*N68*('Rules &amp; Formulas'!B5+O68)*IFERROR(VLOOKUP(C69,Monsters!$T$4:$AH$15,10,FALSE),0)*IFERROR(VLOOKUP(C69,Monsters!$T$4:$AH$15,9,FALSE),0))*'Rules &amp; Formulas'!B6)*IF(D69="",0,D69),0),IF(AND((E69="OK"),B69="Go AFK"),IF(B69="Go AFK",MIN(IF((IF((IFERROR(VLOOKUP(C69,Monsters!$T$4:$AH$15,8,FALSE),0))=0,0.35,IFERROR(VLOOKUP(C69,Monsters!$T$4:$AH$15,8,FALSE),0))/(1+0.08*AK68))&lt;=0,999999,FLOOR(MIN(('Rules &amp; Formulas'!B15+25*AJ68),M68+('Rules &amp; Formulas'!B14+0.4*AJ68)*(MIN(IF(B69="Go AFK",IF(D69="",0,D69),0),Z68/60)*60))/(IF((IFERROR(VLOOKUP(C69,Monsters!$T$4:$AH$15,8,FALSE),0))=0,0.35,IFERROR(VLOOKUP(C69,Monsters!$T$4:$AH$15,8,FALSE),0))/(1+0.08*AK68)),1)),('Rules &amp; Formulas'!B4*N68*('Rules &amp; Formulas'!B5+O68)*IFERROR(VLOOKUP(C69,Monsters!$T$4:$AH$15,10,FALSE),0)*IFERROR(VLOOKUP(C69,Monsters!$T$4:$AH$15,9,FALSE),0))*(MIN(IF(B69="Go AFK",IF(D69="",0,D69),0),Z68/60)*60)),0),0))</f>
        <v/>
      </c>
      <c r="S69" s="7">
        <f>(105/'Rules &amp; Formulas'!B10)*'Rules &amp; Formulas'!B11</f>
        <v/>
      </c>
      <c r="T69" s="7">
        <f>IF(AD68&gt;=1,(MAX(1,ROUND('Rules &amp; Formulas'!B18*(1+0.3*AE68)*(1+0.4*AF68),0)))*(1000/'Rules &amp; Formulas'!B19)*MIN(0.95,'Rules &amp; Formulas'!B20*SQRT(1+0.55*(AG68&gt;=1))),0)</f>
        <v/>
      </c>
      <c r="U69" s="7">
        <f>S69+T69</f>
        <v/>
      </c>
      <c r="V69" s="7">
        <f>IF(I68&gt;=IF((IFERROR(VLOOKUP(C69,Monsters!$T$4:$AH$15,15,FALSE),0))=0,120,IFERROR(VLOOKUP(C69,Monsters!$T$4:$AH$15,15,FALSE),0)),"YES","no")</f>
        <v/>
      </c>
      <c r="W69" s="7">
        <f>IF(AND(B69="Fight boss",E69="OK"),IF((((105/'Rules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Formulas'!B20*SQRT(1+0.55*(AG68&gt;=1))),0)))),"")</f>
        <v/>
      </c>
      <c r="X69" s="7">
        <f>IF(AND(B69="Fight boss",E69="OK"),IF((IF((((105/'Rules &amp; Formulas'!B10)*'Rules &amp; Formulas'!B11+IF(AD68&gt;=1,(MAX(1,ROUND('Rules &amp; Formulas'!B18*(1+0.3*AE68)*(1+0.4*AF68),0)))*(1000/'Rules &amp; Formulas'!B19)*MIN(0.95,'Rules &amp; Formulas'!B20*SQRT(1+0.55*(AG68&gt;=1))),0)))&lt;=0,9999,(IFERROR(VLOOKUP(C69,Monsters!$T$4:$AH$15,2,FALSE),0))/(((105/'Rules &amp; Formulas'!B10)*'Rules &amp; Formulas'!B11+IF(AD68&gt;=1,(MAX(1,ROUND('Rules &amp; Formulas'!B18*(1+0.3*AE68)*(1+0.4*AF68),0)))*(1000/'Rules &amp; Formulas'!B19)*MIN(0.95,'Rules &amp; Formulas'!B20*SQRT(1+0.55*(AG68&gt;=1))),0))))&lt;='Rules &amp; Formulas'!B12),"WIN","LOSE"),"")</f>
        <v/>
      </c>
      <c r="Y69" s="7">
        <f>IF(B69="Go AFK",MIN(IF(B69="Go AFK",IF(D69="",0,D69),0),Z68/60),"")</f>
        <v/>
      </c>
      <c r="Z69" s="7">
        <f>('Rules &amp; Formulas'!B13+30*AI69)</f>
        <v/>
      </c>
      <c r="AA69">
        <f>COUNTIFS($B$3:$B69,"Buy upgrade",$C$3:$C69,"Idle Power")</f>
        <v/>
      </c>
      <c r="AB69">
        <f>COUNTIFS($B$3:$B69,"Buy upgrade",$C$3:$C69,"Iron Blade")</f>
        <v/>
      </c>
      <c r="AC69">
        <f>COUNTIFS($B$3:$B69,"Buy upgrade",$C$3:$C69,"Steel Blade")</f>
        <v/>
      </c>
      <c r="AD69">
        <f>COUNTIFS($B$3:$B69,"Hire hunter",$C$3:$C69,"Briar")+COUNTIFS($B$3:$B69,"Buy upgrade",$C$3:$C69,"Hire Briar")</f>
        <v/>
      </c>
      <c r="AE69">
        <f>COUNTIFS($B$3:$B69,"Buy upgrade",$C$3:$C69,"Hunter Power")</f>
        <v/>
      </c>
      <c r="AF69">
        <f>COUNTIFS($B$3:$B69,"Buy upgrade",$C$3:$C69,"Bigger Hits")</f>
        <v/>
      </c>
      <c r="AG69">
        <f>COUNTIFS($B$3:$B69,"Buy upgrade",$C$3:$C69,"Swift Walk")</f>
        <v/>
      </c>
      <c r="AH69">
        <f>COUNTIFS($B$3:$B69,"Buy upgrade",$C$3:$C69,"Loot Luck")</f>
        <v/>
      </c>
      <c r="AI69">
        <f>COUNTIFS($B$3:$B69,"Buy upgrade",$C$3:$C69,"Offline Cap")</f>
        <v/>
      </c>
      <c r="AJ69">
        <f>COUNTIFS($B$3:$B69,"Buy upgrade",$C$3:$C69,"Bigger Food Stock")</f>
        <v/>
      </c>
      <c r="AK69">
        <f>COUNTIFS($B$3:$B69,"Buy upgrade",$C$3:$C69,"Food Efficiency")</f>
        <v/>
      </c>
    </row>
    <row r="70">
      <c r="A70" t="n">
        <v>68</v>
      </c>
      <c r="B70" s="6" t="n"/>
      <c r="C70" s="6" t="n"/>
      <c r="D70" s="6" t="n"/>
      <c r="E70" s="7">
        <f>IF(B70="","",IF(OR(B70="Hunt",B70="Go AFK"),IF(C70="","Can't","OK"),IF(B70="Fight boss",IF(I69&lt;IF((IFERROR(VLOOKUP(C70,Monsters!$T$4:$AH$15,15,FALSE),0))=0,120,IFERROR(VLOOKUP(C70,Monsters!$T$4:$AH$15,15,FALSE),0)),"Can't","OK"),IF(B70="Hire hunter",IF(AND(C70="Briar",AD69&gt;=1),"Can't",IF(H69&lt;IF(C70="Briar",140,IF(C70="Quill",3650,IF(C70="Moss",4850,IF(C70="Ember",12200,0)))),"Can't","OK")),IF(OR(B70="Buy upgrade",B70="Forge/Scrapwork buy"),IF(IFERROR(VLOOKUP(C70,Upgrades!$N$4:$T$47,2,FALSE),0)="points","Can't",IF(IFERROR(VLOOKUP(C70,Upgrades!$N$4:$T$47,2,FALSE),0)="gold",IF(H69&lt;IFERROR(FLOOR(IFERROR(VLOOKUP(C70,Upgrades!$N$4:$T$47,3,FALSE),0)*(IFERROR(VLOOKUP(C70,Upgrades!$N$4:$T$47,4,FALSE),0)^(COUNTIFS($B$3:$B69,"Buy upgrade",$C$3:$C69,C70)+COUNTIFS($B$3:$B69,"Hire hunter",$C$3:$C69,C70)+COUNTIFS($B$3:$B69,"Forge/Scrapwork buy",$C$3:$C69,C70))),1),0),"Can't","OK"),IF(IFERROR(VLOOKUP(C70,Upgrades!$N$4:$T$47,2,FALSE),0)="scraps",IF(J69&lt;IFERROR(FLOOR(IFERROR(VLOOKUP(C70,Upgrades!$N$4:$T$47,3,FALSE),0)*(IFERROR(VLOOKUP(C70,Upgrades!$N$4:$T$47,4,FALSE),0)^(COUNTIFS($B$3:$B69,"Buy upgrade",$C$3:$C69,C70)+COUNTIFS($B$3:$B69,"Hire hunter",$C$3:$C69,C70)+COUNTIFS($B$3:$B69,"Forge/Scrapwork buy",$C$3:$C69,C70))),1),0),"Can't","OK"),IF(IFERROR(VLOOKUP(C70,Upgrades!$N$4:$T$47,2,FALSE),0)="mats","Can't","OK")))),"Check")))))</f>
        <v/>
      </c>
      <c r="F70" s="7">
        <f>IF(B70="","",IF(AND(B70="Fight boss",I69&lt;IF((IFERROR(VLOOKUP(C70,Monsters!$T$4:$AH$15,15,FALSE),0))=0,120,IFERROR(VLOOKUP(C70,Monsters!$T$4:$AH$15,15,FALSE),0))),"Can't — need "&amp;TEXT(IF((IFERROR(VLOOKUP(C70,Monsters!$T$4:$AH$15,15,FALSE),0))=0,120,IFERROR(VLOOKUP(C70,Monsters!$T$4:$AH$15,15,FALSE),0))-I69,"0.0")&amp;" more Slayer points on the meter",IF(AND(B70="Hire hunter",C70="Briar",AD69&gt;=1),"Can't — already hired",IF(AND(B70="Hire hunter",H69&lt;IF(C70="Briar",140,IF(C70="Quill",3650,IF(C70="Moss",4850,IF(C70="Ember",12200,0))))),"Can't — need "&amp;TEXT(IF(C70="Briar",140,IF(C70="Quill",3650,IF(C70="Moss",4850,IF(C70="Ember",12200,0))))-H69,"0")&amp;" more gold",IF(AND(OR(B70="Buy upgrade",B70="Forge/Scrapwork buy"),IFERROR(VLOOKUP(C70,Upgrades!$N$4:$T$47,2,FALSE),0)="points"),"Can't — Sp-wallet spends not tracked here",IF(AND(OR(B70="Buy upgrade",B70="Forge/Scrapwork buy"),IFERROR(VLOOKUP(C70,Upgrades!$N$4:$T$47,2,FALSE),0)="gold",H69&lt;IFERROR(FLOOR(IFERROR(VLOOKUP(C70,Upgrades!$N$4:$T$47,3,FALSE),0)*(IFERROR(VLOOKUP(C70,Upgrades!$N$4:$T$47,4,FALSE),0)^(COUNTIFS($B$3:$B69,"Buy upgrade",$C$3:$C69,C70)+COUNTIFS($B$3:$B69,"Hire hunter",$C$3:$C69,C70)+COUNTIFS($B$3:$B69,"Forge/Scrapwork buy",$C$3:$C69,C70))),1),0)),"Can't — need "&amp;TEXT(IFERROR(FLOOR(IFERROR(VLOOKUP(C70,Upgrades!$N$4:$T$47,3,FALSE),0)*(IFERROR(VLOOKUP(C70,Upgrades!$N$4:$T$47,4,FALSE),0)^(COUNTIFS($B$3:$B69,"Buy upgrade",$C$3:$C69,C70)+COUNTIFS($B$3:$B69,"Hire hunter",$C$3:$C69,C70)+COUNTIFS($B$3:$B69,"Forge/Scrapwork buy",$C$3:$C69,C70))),1),0)-H69,"0")&amp;" more gold",IF(AND(OR(B70="Buy upgrade",B70="Forge/Scrapwork buy"),IFERROR(VLOOKUP(C70,Upgrades!$N$4:$T$47,2,FALSE),0)="scraps",J69&lt;IFERROR(FLOOR(IFERROR(VLOOKUP(C70,Upgrades!$N$4:$T$47,3,FALSE),0)*(IFERROR(VLOOKUP(C70,Upgrades!$N$4:$T$47,4,FALSE),0)^(COUNTIFS($B$3:$B69,"Buy upgrade",$C$3:$C69,C70)+COUNTIFS($B$3:$B69,"Hire hunter",$C$3:$C69,C70)+COUNTIFS($B$3:$B69,"Forge/Scrapwork buy",$C$3:$C69,C70))),1),0)),"Can't — need "&amp;TEXT(IFERROR(FLOOR(IFERROR(VLOOKUP(C70,Upgrades!$N$4:$T$47,3,FALSE),0)*(IFERROR(VLOOKUP(C70,Upgrades!$N$4:$T$47,4,FALSE),0)^(COUNTIFS($B$3:$B69,"Buy upgrade",$C$3:$C69,C70)+COUNTIFS($B$3:$B69,"Hire hunter",$C$3:$C69,C70)+COUNTIFS($B$3:$B69,"Forge/Scrapwork buy",$C$3:$C69,C70))),1),0)-J69,"0")&amp;" more scraps",IF(AND(B70="Fight boss",E70="OK",(IF((((105/'Rules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Formulas'!B12)),"WIN — boss down, next Level unlocks",IF(AND(B70="Fight boss",E70="OK"),"LOSE — TTK "&amp;TEXT(IF((((105/'Rules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Formulas'!B20*SQRT(1+0.55*(AG69&gt;=1))),0)))),"0")&amp;"s &gt; patience "&amp;TEXT('Rules &amp; Formulas'!B12,"0")&amp;"s (leave resets HP)",IF(B70="Go AFK","AFK resolved (see AFK counted h)","Applied")))))))))</f>
        <v/>
      </c>
      <c r="G70" s="7">
        <f>IF(AND((E70="OK"),B70="Fight boss",(IF((((105/'Rules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Formulas'!B12),C70="Elder Thornpelt"),2,IF(AND((E70="OK"),B70="Fight boss",(IF((((105/'Rules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Formulas'!B12),C70="Ashfang Alpha"),3,G69))</f>
        <v/>
      </c>
      <c r="H70" s="7">
        <f>MAX(0,H69+IF(AND((E70="OK"),B70="Hunt"),(IF(B70="Hunt",(('Rules &amp; Formulas'!B4*N69*('Rules &amp; Formulas'!B5+O69)*IFERROR(VLOOKUP(C70,Monsters!$T$4:$AH$15,10,FALSE),0)*IFERROR(VLOOKUP(C70,Monsters!$T$4:$AH$15,9,FALSE),0))*'Rules &amp; Formulas'!B6)*IF(D70="",0,D70),0))*(IFERROR(VLOOKUP(C70,Monsters!$T$4:$AH$15,3,FALSE),0))*(1+0.1*AH69)+(IF(OR(B70&lt;&gt;"Hunt",IFERROR(VLOOKUP(C70,Monsters!$T$4:$AH$15,6,FALSE),0)=0),0,FLOOR((IF(B70="Hunt",(('Rules &amp; Formulas'!B4*N69*('Rules &amp; Formulas'!B5+O69)*IFERROR(VLOOKUP(C70,Monsters!$T$4:$AH$15,10,FALSE),0)*IFERROR(VLOOKUP(C70,Monsters!$T$4:$AH$15,9,FALSE),0))*'Rules &amp; Formulas'!B6)*IF(D70="",0,D70),0))/MAX(1,IFERROR(VLOOKUP(C70,Monsters!$T$4:$AH$15,6,FALSE),0)),1)))*(IFERROR(VLOOKUP(C70,Monsters!$T$4:$AH$15,7,FALSE),0))*0.5*(1+0.1*AH69),0)+IF(AND((E70="OK"),B70="Go AFK"),(IF(B70="Go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AFK",IF(D70="",0,D70),0),Z69/60)*60)),0))*(IFERROR(VLOOKUP(C70,Monsters!$T$4:$AH$15,3,FALSE),0))*(1+0.1*AH69)+(IF(OR(B70&lt;&gt;"Go AFK",IFERROR(VLOOKUP(C70,Monsters!$T$4:$AH$15,6,FALSE),0)=0),0,FLOOR((IF(B70="Go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AFK",IF(D70="",0,D70),0),Z69/60)*60)),0))/MAX(1,IFERROR(VLOOKUP(C70,Monsters!$T$4:$AH$15,6,FALSE),0)),1)))*(IFERROR(VLOOKUP(C70,Monsters!$T$4:$AH$15,7,FALSE),0))*0.5*(1+0.1*AH69),0)+IF(AND((E70="OK"),B70="Fight boss",(IF((((105/'Rules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Formulas'!B12)),IFERROR(VLOOKUP(C70,Monsters!$T$4:$AH$15,3,FALSE),0),0)-IF(AND((E70="OK"),OR(B70="Buy upgrade",B70="Forge/Scrapwork buy"),IFERROR(VLOOKUP(C70,Upgrades!$N$4:$T$47,2,FALSE),0)="gold"),IFERROR(FLOOR(IFERROR(VLOOKUP(C70,Upgrades!$N$4:$T$47,3,FALSE),0)*(IFERROR(VLOOKUP(C70,Upgrades!$N$4:$T$47,4,FALSE),0)^(COUNTIFS($B$3:$B69,"Buy upgrade",$C$3:$C69,C70)+COUNTIFS($B$3:$B69,"Hire hunter",$C$3:$C69,C70)+COUNTIFS($B$3:$B69,"Forge/Scrapwork buy",$C$3:$C69,C70))),1),0),0)-IF(AND((E70="OK"),B70="Hire hunter"),IF(C70="Briar",140,IF(C70="Quill",3650,IF(C70="Moss",4850,IF(C70="Ember",12200,0)))),0))</f>
        <v/>
      </c>
      <c r="I70" s="7">
        <f>IF(AND((E70="OK"),B70="Fight boss",(IF((((105/'Rules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Formulas'!B12)),0,MIN(IF(G69&lt;=1,120,IF(G69=2,280,600)),I69+IF(AND((E70="OK"),B70="Hunt"),((IF(B70="Hunt",(('Rules &amp; Formulas'!B4*N69*('Rules &amp; Formulas'!B5+O69)*IFERROR(VLOOKUP(C70,Monsters!$T$4:$AH$15,10,FALSE),0)*IFERROR(VLOOKUP(C70,Monsters!$T$4:$AH$15,9,FALSE),0))*'Rules &amp; Formulas'!B6)*IF(D70="",0,D70),0))*(IFERROR(VLOOKUP(C70,Monsters!$T$4:$AH$15,4,FALSE),0))+(IF(OR(B70&lt;&gt;"Hunt",IFERROR(VLOOKUP(C70,Monsters!$T$4:$AH$15,6,FALSE),0)=0),0,FLOOR((IF(B70="Hunt",(('Rules &amp; Formulas'!B4*N69*('Rules &amp; Formulas'!B5+O69)*IFERROR(VLOOKUP(C70,Monsters!$T$4:$AH$15,10,FALSE),0)*IFERROR(VLOOKUP(C70,Monsters!$T$4:$AH$15,9,FALSE),0))*'Rules &amp; Formulas'!B6)*IF(D70="",0,D70),0))/MAX(1,IFERROR(VLOOKUP(C70,Monsters!$T$4:$AH$15,6,FALSE),0)),1)))*(IFERROR(VLOOKUP(C70,Monsters!$T$4:$AH$15,7,FALSE),0))),0)+IF(AND((E70="OK"),B70="Go AFK"),((IF(B70="Go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AFK",IF(D70="",0,D70),0),Z69/60)*60)),0))*(IFERROR(VLOOKUP(C70,Monsters!$T$4:$AH$15,4,FALSE),0))+(IF(OR(B70&lt;&gt;"Go AFK",IFERROR(VLOOKUP(C70,Monsters!$T$4:$AH$15,6,FALSE),0)=0),0,FLOOR((IF(B70="Go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AFK",IF(D70="",0,D70),0),Z69/60)*60)),0))/MAX(1,IFERROR(VLOOKUP(C70,Monsters!$T$4:$AH$15,6,FALSE),0)),1)))*(IFERROR(VLOOKUP(C70,Monsters!$T$4:$AH$15,7,FALSE),0))),0)))</f>
        <v/>
      </c>
      <c r="J70" s="7">
        <f>MAX(0,J69+IF(AND((E70="OK"),B70="Hunt"),(IF(B70="Hunt",(('Rules &amp; Formulas'!B4*N69*('Rules &amp; Formulas'!B5+O69)*IFERROR(VLOOKUP(C70,Monsters!$T$4:$AH$15,10,FALSE),0)*IFERROR(VLOOKUP(C70,Monsters!$T$4:$AH$15,9,FALSE),0))*'Rules &amp; Formulas'!B6)*IF(D70="",0,D70),0))*(IFERROR(VLOOKUP(C70,Monsters!$T$4:$AH$15,5,FALSE),0)),0)+IF(AND((E70="OK"),B70="Go AFK"),(IF(B70="Go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AFK",IF(D70="",0,D70),0),Z69/60)*60)),0))*(IFERROR(VLOOKUP(C70,Monsters!$T$4:$AH$15,5,FALSE),0)),0)-IF(AND((E70="OK"),OR(B70="Buy upgrade",B70="Forge/Scrapwork buy"),IFERROR(VLOOKUP(C70,Upgrades!$N$4:$T$47,2,FALSE),0)="scraps"),IFERROR(FLOOR(IFERROR(VLOOKUP(C70,Upgrades!$N$4:$T$47,3,FALSE),0)*(IFERROR(VLOOKUP(C70,Upgrades!$N$4:$T$47,4,FALSE),0)^(COUNTIFS($B$3:$B69,"Buy upgrade",$C$3:$C69,C70)+COUNTIFS($B$3:$B69,"Hire hunter",$C$3:$C69,C70)+COUNTIFS($B$3:$B69,"Forge/Scrapwork buy",$C$3:$C69,C70))),1),0),0))</f>
        <v/>
      </c>
      <c r="K70" s="7">
        <f>MAX(0,K69+IF(AND((E70="OK"),B70="Hunt"),IF(C70="Thornpelt Bear",(IF(B70="Hunt",(('Rules &amp; Formulas'!B4*N69*('Rules &amp; Formulas'!B5+O69)*IFERROR(VLOOKUP(C70,Monsters!$T$4:$AH$15,10,FALSE),0)*IFERROR(VLOOKUP(C70,Monsters!$T$4:$AH$15,9,FALSE),0))*'Rules &amp; Formulas'!B6)*IF(D70="",0,D70),0))*0.12,0),0)+IF(AND((E70="OK"),B70="Go AFK"),IF(C70="Thornpelt Bear",(IF(B70="Go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AFK",IF(D70="",0,D70),0),Z69/60)*60)),0))*0.12,0),0))</f>
        <v/>
      </c>
      <c r="L70" s="7">
        <f>MAX(0,L69+IF(AND((E70="OK"),B70="Hunt"),IF(C70="Dire Thornpelt",(IF(B70="Hunt",(('Rules &amp; Formulas'!B4*N69*('Rules &amp; Formulas'!B5+O69)*IFERROR(VLOOKUP(C70,Monsters!$T$4:$AH$15,10,FALSE),0)*IFERROR(VLOOKUP(C70,Monsters!$T$4:$AH$15,9,FALSE),0))*'Rules &amp; Formulas'!B6)*IF(D70="",0,D70),0))*0.1,0),0)+IF(AND((E70="OK"),B70="Go AFK"),IF(C70="Dire Thornpelt",(IF(B70="Go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AFK",IF(D70="",0,D70),0),Z69/60)*60)),0))*0.1,0),0))</f>
        <v/>
      </c>
      <c r="M70" s="7">
        <f>IF(AND((E70="OK"),B70="Go AFK"),MAX(0,MIN(('Rules &amp; Formulas'!B15+25*AJ69),M69+('Rules &amp; Formulas'!B14+0.4*AJ69)*(MIN(IF(B70="Go AFK",IF(D70="",0,D70),0),Z69/60)*60))-(IF(B70="Go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AFK",IF(D70="",0,D70),0),Z69/60)*60)),0))*(IF((IFERROR(VLOOKUP(C70,Monsters!$T$4:$AH$15,8,FALSE),0))=0,0.35,IFERROR(VLOOKUP(C70,Monsters!$T$4:$AH$15,8,FALSE),0))/(1+0.08*AK69))),MIN(('Rules &amp; Formulas'!B15+25*AJ70),M69))</f>
        <v/>
      </c>
      <c r="N70" s="7">
        <f>(1+0.08+0.12*AA70+0.12*AB70+0.16*AC70)</f>
        <v/>
      </c>
      <c r="O70" s="7">
        <f>((AD70&gt;=1)*1*(1+0.3*AE70))</f>
        <v/>
      </c>
      <c r="P70" s="7">
        <f>IF(OR(B70="Hunt",B70="Go AFK"),(('Rules &amp; Formulas'!B4*N69*('Rules &amp; Formulas'!B5+O69)*IFERROR(VLOOKUP(C70,Monsters!$T$4:$AH$15,10,FALSE),0)*IFERROR(VLOOKUP(C70,Monsters!$T$4:$AH$15,9,FALSE),0))*'Rules &amp; Formulas'!B6),"")</f>
        <v/>
      </c>
      <c r="Q70" s="7">
        <f>IF(OR(B70="Hunt",B70="Go AFK"),('Rules &amp; Formulas'!B4*N69*('Rules &amp; Formulas'!B5+O69)*IFERROR(VLOOKUP(C70,Monsters!$T$4:$AH$15,10,FALSE),0)*IFERROR(VLOOKUP(C70,Monsters!$T$4:$AH$15,9,FALSE),0)),"")</f>
        <v/>
      </c>
      <c r="R70" s="7">
        <f>IF(AND((E70="OK"),B70="Hunt"),IF(B70="Hunt",(('Rules &amp; Formulas'!B4*N69*('Rules &amp; Formulas'!B5+O69)*IFERROR(VLOOKUP(C70,Monsters!$T$4:$AH$15,10,FALSE),0)*IFERROR(VLOOKUP(C70,Monsters!$T$4:$AH$15,9,FALSE),0))*'Rules &amp; Formulas'!B6)*IF(D70="",0,D70),0),IF(AND((E70="OK"),B70="Go AFK"),IF(B70="Go AFK",MIN(IF((IF((IFERROR(VLOOKUP(C70,Monsters!$T$4:$AH$15,8,FALSE),0))=0,0.35,IFERROR(VLOOKUP(C70,Monsters!$T$4:$AH$15,8,FALSE),0))/(1+0.08*AK69))&lt;=0,999999,FLOOR(MIN(('Rules &amp; Formulas'!B15+25*AJ69),M69+('Rules &amp; Formulas'!B14+0.4*AJ69)*(MIN(IF(B70="Go AFK",IF(D70="",0,D70),0),Z69/60)*60))/(IF((IFERROR(VLOOKUP(C70,Monsters!$T$4:$AH$15,8,FALSE),0))=0,0.35,IFERROR(VLOOKUP(C70,Monsters!$T$4:$AH$15,8,FALSE),0))/(1+0.08*AK69)),1)),('Rules &amp; Formulas'!B4*N69*('Rules &amp; Formulas'!B5+O69)*IFERROR(VLOOKUP(C70,Monsters!$T$4:$AH$15,10,FALSE),0)*IFERROR(VLOOKUP(C70,Monsters!$T$4:$AH$15,9,FALSE),0))*(MIN(IF(B70="Go AFK",IF(D70="",0,D70),0),Z69/60)*60)),0),0))</f>
        <v/>
      </c>
      <c r="S70" s="7">
        <f>(105/'Rules &amp; Formulas'!B10)*'Rules &amp; Formulas'!B11</f>
        <v/>
      </c>
      <c r="T70" s="7">
        <f>IF(AD69&gt;=1,(MAX(1,ROUND('Rules &amp; Formulas'!B18*(1+0.3*AE69)*(1+0.4*AF69),0)))*(1000/'Rules &amp; Formulas'!B19)*MIN(0.95,'Rules &amp; Formulas'!B20*SQRT(1+0.55*(AG69&gt;=1))),0)</f>
        <v/>
      </c>
      <c r="U70" s="7">
        <f>S70+T70</f>
        <v/>
      </c>
      <c r="V70" s="7">
        <f>IF(I69&gt;=IF((IFERROR(VLOOKUP(C70,Monsters!$T$4:$AH$15,15,FALSE),0))=0,120,IFERROR(VLOOKUP(C70,Monsters!$T$4:$AH$15,15,FALSE),0)),"YES","no")</f>
        <v/>
      </c>
      <c r="W70" s="7">
        <f>IF(AND(B70="Fight boss",E70="OK"),IF((((105/'Rules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Formulas'!B20*SQRT(1+0.55*(AG69&gt;=1))),0)))),"")</f>
        <v/>
      </c>
      <c r="X70" s="7">
        <f>IF(AND(B70="Fight boss",E70="OK"),IF((IF((((105/'Rules &amp; Formulas'!B10)*'Rules &amp; Formulas'!B11+IF(AD69&gt;=1,(MAX(1,ROUND('Rules &amp; Formulas'!B18*(1+0.3*AE69)*(1+0.4*AF69),0)))*(1000/'Rules &amp; Formulas'!B19)*MIN(0.95,'Rules &amp; Formulas'!B20*SQRT(1+0.55*(AG69&gt;=1))),0)))&lt;=0,9999,(IFERROR(VLOOKUP(C70,Monsters!$T$4:$AH$15,2,FALSE),0))/(((105/'Rules &amp; Formulas'!B10)*'Rules &amp; Formulas'!B11+IF(AD69&gt;=1,(MAX(1,ROUND('Rules &amp; Formulas'!B18*(1+0.3*AE69)*(1+0.4*AF69),0)))*(1000/'Rules &amp; Formulas'!B19)*MIN(0.95,'Rules &amp; Formulas'!B20*SQRT(1+0.55*(AG69&gt;=1))),0))))&lt;='Rules &amp; Formulas'!B12),"WIN","LOSE"),"")</f>
        <v/>
      </c>
      <c r="Y70" s="7">
        <f>IF(B70="Go AFK",MIN(IF(B70="Go AFK",IF(D70="",0,D70),0),Z69/60),"")</f>
        <v/>
      </c>
      <c r="Z70" s="7">
        <f>('Rules &amp; Formulas'!B13+30*AI70)</f>
        <v/>
      </c>
      <c r="AA70">
        <f>COUNTIFS($B$3:$B70,"Buy upgrade",$C$3:$C70,"Idle Power")</f>
        <v/>
      </c>
      <c r="AB70">
        <f>COUNTIFS($B$3:$B70,"Buy upgrade",$C$3:$C70,"Iron Blade")</f>
        <v/>
      </c>
      <c r="AC70">
        <f>COUNTIFS($B$3:$B70,"Buy upgrade",$C$3:$C70,"Steel Blade")</f>
        <v/>
      </c>
      <c r="AD70">
        <f>COUNTIFS($B$3:$B70,"Hire hunter",$C$3:$C70,"Briar")+COUNTIFS($B$3:$B70,"Buy upgrade",$C$3:$C70,"Hire Briar")</f>
        <v/>
      </c>
      <c r="AE70">
        <f>COUNTIFS($B$3:$B70,"Buy upgrade",$C$3:$C70,"Hunter Power")</f>
        <v/>
      </c>
      <c r="AF70">
        <f>COUNTIFS($B$3:$B70,"Buy upgrade",$C$3:$C70,"Bigger Hits")</f>
        <v/>
      </c>
      <c r="AG70">
        <f>COUNTIFS($B$3:$B70,"Buy upgrade",$C$3:$C70,"Swift Walk")</f>
        <v/>
      </c>
      <c r="AH70">
        <f>COUNTIFS($B$3:$B70,"Buy upgrade",$C$3:$C70,"Loot Luck")</f>
        <v/>
      </c>
      <c r="AI70">
        <f>COUNTIFS($B$3:$B70,"Buy upgrade",$C$3:$C70,"Offline Cap")</f>
        <v/>
      </c>
      <c r="AJ70">
        <f>COUNTIFS($B$3:$B70,"Buy upgrade",$C$3:$C70,"Bigger Food Stock")</f>
        <v/>
      </c>
      <c r="AK70">
        <f>COUNTIFS($B$3:$B70,"Buy upgrade",$C$3:$C70,"Food Efficiency")</f>
        <v/>
      </c>
    </row>
    <row r="71">
      <c r="A71" t="n">
        <v>69</v>
      </c>
      <c r="B71" s="6" t="n"/>
      <c r="C71" s="6" t="n"/>
      <c r="D71" s="6" t="n"/>
      <c r="E71" s="7">
        <f>IF(B71="","",IF(OR(B71="Hunt",B71="Go AFK"),IF(C71="","Can't","OK"),IF(B71="Fight boss",IF(I70&lt;IF((IFERROR(VLOOKUP(C71,Monsters!$T$4:$AH$15,15,FALSE),0))=0,120,IFERROR(VLOOKUP(C71,Monsters!$T$4:$AH$15,15,FALSE),0)),"Can't","OK"),IF(B71="Hire hunter",IF(AND(C71="Briar",AD70&gt;=1),"Can't",IF(H70&lt;IF(C71="Briar",140,IF(C71="Quill",3650,IF(C71="Moss",4850,IF(C71="Ember",12200,0)))),"Can't","OK")),IF(OR(B71="Buy upgrade",B71="Forge/Scrapwork buy"),IF(IFERROR(VLOOKUP(C71,Upgrades!$N$4:$T$47,2,FALSE),0)="points","Can't",IF(IFERROR(VLOOKUP(C71,Upgrades!$N$4:$T$47,2,FALSE),0)="gold",IF(H70&lt;IFERROR(FLOOR(IFERROR(VLOOKUP(C71,Upgrades!$N$4:$T$47,3,FALSE),0)*(IFERROR(VLOOKUP(C71,Upgrades!$N$4:$T$47,4,FALSE),0)^(COUNTIFS($B$3:$B70,"Buy upgrade",$C$3:$C70,C71)+COUNTIFS($B$3:$B70,"Hire hunter",$C$3:$C70,C71)+COUNTIFS($B$3:$B70,"Forge/Scrapwork buy",$C$3:$C70,C71))),1),0),"Can't","OK"),IF(IFERROR(VLOOKUP(C71,Upgrades!$N$4:$T$47,2,FALSE),0)="scraps",IF(J70&lt;IFERROR(FLOOR(IFERROR(VLOOKUP(C71,Upgrades!$N$4:$T$47,3,FALSE),0)*(IFERROR(VLOOKUP(C71,Upgrades!$N$4:$T$47,4,FALSE),0)^(COUNTIFS($B$3:$B70,"Buy upgrade",$C$3:$C70,C71)+COUNTIFS($B$3:$B70,"Hire hunter",$C$3:$C70,C71)+COUNTIFS($B$3:$B70,"Forge/Scrapwork buy",$C$3:$C70,C71))),1),0),"Can't","OK"),IF(IFERROR(VLOOKUP(C71,Upgrades!$N$4:$T$47,2,FALSE),0)="mats","Can't","OK")))),"Check")))))</f>
        <v/>
      </c>
      <c r="F71" s="7">
        <f>IF(B71="","",IF(AND(B71="Fight boss",I70&lt;IF((IFERROR(VLOOKUP(C71,Monsters!$T$4:$AH$15,15,FALSE),0))=0,120,IFERROR(VLOOKUP(C71,Monsters!$T$4:$AH$15,15,FALSE),0))),"Can't — need "&amp;TEXT(IF((IFERROR(VLOOKUP(C71,Monsters!$T$4:$AH$15,15,FALSE),0))=0,120,IFERROR(VLOOKUP(C71,Monsters!$T$4:$AH$15,15,FALSE),0))-I70,"0.0")&amp;" more Slayer points on the meter",IF(AND(B71="Hire hunter",C71="Briar",AD70&gt;=1),"Can't — already hired",IF(AND(B71="Hire hunter",H70&lt;IF(C71="Briar",140,IF(C71="Quill",3650,IF(C71="Moss",4850,IF(C71="Ember",12200,0))))),"Can't — need "&amp;TEXT(IF(C71="Briar",140,IF(C71="Quill",3650,IF(C71="Moss",4850,IF(C71="Ember",12200,0))))-H70,"0")&amp;" more gold",IF(AND(OR(B71="Buy upgrade",B71="Forge/Scrapwork buy"),IFERROR(VLOOKUP(C71,Upgrades!$N$4:$T$47,2,FALSE),0)="points"),"Can't — Sp-wallet spends not tracked here",IF(AND(OR(B71="Buy upgrade",B71="Forge/Scrapwork buy"),IFERROR(VLOOKUP(C71,Upgrades!$N$4:$T$47,2,FALSE),0)="gold",H70&lt;IFERROR(FLOOR(IFERROR(VLOOKUP(C71,Upgrades!$N$4:$T$47,3,FALSE),0)*(IFERROR(VLOOKUP(C71,Upgrades!$N$4:$T$47,4,FALSE),0)^(COUNTIFS($B$3:$B70,"Buy upgrade",$C$3:$C70,C71)+COUNTIFS($B$3:$B70,"Hire hunter",$C$3:$C70,C71)+COUNTIFS($B$3:$B70,"Forge/Scrapwork buy",$C$3:$C70,C71))),1),0)),"Can't — need "&amp;TEXT(IFERROR(FLOOR(IFERROR(VLOOKUP(C71,Upgrades!$N$4:$T$47,3,FALSE),0)*(IFERROR(VLOOKUP(C71,Upgrades!$N$4:$T$47,4,FALSE),0)^(COUNTIFS($B$3:$B70,"Buy upgrade",$C$3:$C70,C71)+COUNTIFS($B$3:$B70,"Hire hunter",$C$3:$C70,C71)+COUNTIFS($B$3:$B70,"Forge/Scrapwork buy",$C$3:$C70,C71))),1),0)-H70,"0")&amp;" more gold",IF(AND(OR(B71="Buy upgrade",B71="Forge/Scrapwork buy"),IFERROR(VLOOKUP(C71,Upgrades!$N$4:$T$47,2,FALSE),0)="scraps",J70&lt;IFERROR(FLOOR(IFERROR(VLOOKUP(C71,Upgrades!$N$4:$T$47,3,FALSE),0)*(IFERROR(VLOOKUP(C71,Upgrades!$N$4:$T$47,4,FALSE),0)^(COUNTIFS($B$3:$B70,"Buy upgrade",$C$3:$C70,C71)+COUNTIFS($B$3:$B70,"Hire hunter",$C$3:$C70,C71)+COUNTIFS($B$3:$B70,"Forge/Scrapwork buy",$C$3:$C70,C71))),1),0)),"Can't — need "&amp;TEXT(IFERROR(FLOOR(IFERROR(VLOOKUP(C71,Upgrades!$N$4:$T$47,3,FALSE),0)*(IFERROR(VLOOKUP(C71,Upgrades!$N$4:$T$47,4,FALSE),0)^(COUNTIFS($B$3:$B70,"Buy upgrade",$C$3:$C70,C71)+COUNTIFS($B$3:$B70,"Hire hunter",$C$3:$C70,C71)+COUNTIFS($B$3:$B70,"Forge/Scrapwork buy",$C$3:$C70,C71))),1),0)-J70,"0")&amp;" more scraps",IF(AND(B71="Fight boss",E71="OK",(IF((((105/'Rules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Formulas'!B12)),"WIN — boss down, next Level unlocks",IF(AND(B71="Fight boss",E71="OK"),"LOSE — TTK "&amp;TEXT(IF((((105/'Rules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Formulas'!B20*SQRT(1+0.55*(AG70&gt;=1))),0)))),"0")&amp;"s &gt; patience "&amp;TEXT('Rules &amp; Formulas'!B12,"0")&amp;"s (leave resets HP)",IF(B71="Go AFK","AFK resolved (see AFK counted h)","Applied")))))))))</f>
        <v/>
      </c>
      <c r="G71" s="7">
        <f>IF(AND((E71="OK"),B71="Fight boss",(IF((((105/'Rules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Formulas'!B12),C71="Elder Thornpelt"),2,IF(AND((E71="OK"),B71="Fight boss",(IF((((105/'Rules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Formulas'!B12),C71="Ashfang Alpha"),3,G70))</f>
        <v/>
      </c>
      <c r="H71" s="7">
        <f>MAX(0,H70+IF(AND((E71="OK"),B71="Hunt"),(IF(B71="Hunt",(('Rules &amp; Formulas'!B4*N70*('Rules &amp; Formulas'!B5+O70)*IFERROR(VLOOKUP(C71,Monsters!$T$4:$AH$15,10,FALSE),0)*IFERROR(VLOOKUP(C71,Monsters!$T$4:$AH$15,9,FALSE),0))*'Rules &amp; Formulas'!B6)*IF(D71="",0,D71),0))*(IFERROR(VLOOKUP(C71,Monsters!$T$4:$AH$15,3,FALSE),0))*(1+0.1*AH70)+(IF(OR(B71&lt;&gt;"Hunt",IFERROR(VLOOKUP(C71,Monsters!$T$4:$AH$15,6,FALSE),0)=0),0,FLOOR((IF(B71="Hunt",(('Rules &amp; Formulas'!B4*N70*('Rules &amp; Formulas'!B5+O70)*IFERROR(VLOOKUP(C71,Monsters!$T$4:$AH$15,10,FALSE),0)*IFERROR(VLOOKUP(C71,Monsters!$T$4:$AH$15,9,FALSE),0))*'Rules &amp; Formulas'!B6)*IF(D71="",0,D71),0))/MAX(1,IFERROR(VLOOKUP(C71,Monsters!$T$4:$AH$15,6,FALSE),0)),1)))*(IFERROR(VLOOKUP(C71,Monsters!$T$4:$AH$15,7,FALSE),0))*0.5*(1+0.1*AH70),0)+IF(AND((E71="OK"),B71="Go AFK"),(IF(B71="Go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AFK",IF(D71="",0,D71),0),Z70/60)*60)),0))*(IFERROR(VLOOKUP(C71,Monsters!$T$4:$AH$15,3,FALSE),0))*(1+0.1*AH70)+(IF(OR(B71&lt;&gt;"Go AFK",IFERROR(VLOOKUP(C71,Monsters!$T$4:$AH$15,6,FALSE),0)=0),0,FLOOR((IF(B71="Go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AFK",IF(D71="",0,D71),0),Z70/60)*60)),0))/MAX(1,IFERROR(VLOOKUP(C71,Monsters!$T$4:$AH$15,6,FALSE),0)),1)))*(IFERROR(VLOOKUP(C71,Monsters!$T$4:$AH$15,7,FALSE),0))*0.5*(1+0.1*AH70),0)+IF(AND((E71="OK"),B71="Fight boss",(IF((((105/'Rules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Formulas'!B12)),IFERROR(VLOOKUP(C71,Monsters!$T$4:$AH$15,3,FALSE),0),0)-IF(AND((E71="OK"),OR(B71="Buy upgrade",B71="Forge/Scrapwork buy"),IFERROR(VLOOKUP(C71,Upgrades!$N$4:$T$47,2,FALSE),0)="gold"),IFERROR(FLOOR(IFERROR(VLOOKUP(C71,Upgrades!$N$4:$T$47,3,FALSE),0)*(IFERROR(VLOOKUP(C71,Upgrades!$N$4:$T$47,4,FALSE),0)^(COUNTIFS($B$3:$B70,"Buy upgrade",$C$3:$C70,C71)+COUNTIFS($B$3:$B70,"Hire hunter",$C$3:$C70,C71)+COUNTIFS($B$3:$B70,"Forge/Scrapwork buy",$C$3:$C70,C71))),1),0),0)-IF(AND((E71="OK"),B71="Hire hunter"),IF(C71="Briar",140,IF(C71="Quill",3650,IF(C71="Moss",4850,IF(C71="Ember",12200,0)))),0))</f>
        <v/>
      </c>
      <c r="I71" s="7">
        <f>IF(AND((E71="OK"),B71="Fight boss",(IF((((105/'Rules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Formulas'!B12)),0,MIN(IF(G70&lt;=1,120,IF(G70=2,280,600)),I70+IF(AND((E71="OK"),B71="Hunt"),((IF(B71="Hunt",(('Rules &amp; Formulas'!B4*N70*('Rules &amp; Formulas'!B5+O70)*IFERROR(VLOOKUP(C71,Monsters!$T$4:$AH$15,10,FALSE),0)*IFERROR(VLOOKUP(C71,Monsters!$T$4:$AH$15,9,FALSE),0))*'Rules &amp; Formulas'!B6)*IF(D71="",0,D71),0))*(IFERROR(VLOOKUP(C71,Monsters!$T$4:$AH$15,4,FALSE),0))+(IF(OR(B71&lt;&gt;"Hunt",IFERROR(VLOOKUP(C71,Monsters!$T$4:$AH$15,6,FALSE),0)=0),0,FLOOR((IF(B71="Hunt",(('Rules &amp; Formulas'!B4*N70*('Rules &amp; Formulas'!B5+O70)*IFERROR(VLOOKUP(C71,Monsters!$T$4:$AH$15,10,FALSE),0)*IFERROR(VLOOKUP(C71,Monsters!$T$4:$AH$15,9,FALSE),0))*'Rules &amp; Formulas'!B6)*IF(D71="",0,D71),0))/MAX(1,IFERROR(VLOOKUP(C71,Monsters!$T$4:$AH$15,6,FALSE),0)),1)))*(IFERROR(VLOOKUP(C71,Monsters!$T$4:$AH$15,7,FALSE),0))),0)+IF(AND((E71="OK"),B71="Go AFK"),((IF(B71="Go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AFK",IF(D71="",0,D71),0),Z70/60)*60)),0))*(IFERROR(VLOOKUP(C71,Monsters!$T$4:$AH$15,4,FALSE),0))+(IF(OR(B71&lt;&gt;"Go AFK",IFERROR(VLOOKUP(C71,Monsters!$T$4:$AH$15,6,FALSE),0)=0),0,FLOOR((IF(B71="Go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AFK",IF(D71="",0,D71),0),Z70/60)*60)),0))/MAX(1,IFERROR(VLOOKUP(C71,Monsters!$T$4:$AH$15,6,FALSE),0)),1)))*(IFERROR(VLOOKUP(C71,Monsters!$T$4:$AH$15,7,FALSE),0))),0)))</f>
        <v/>
      </c>
      <c r="J71" s="7">
        <f>MAX(0,J70+IF(AND((E71="OK"),B71="Hunt"),(IF(B71="Hunt",(('Rules &amp; Formulas'!B4*N70*('Rules &amp; Formulas'!B5+O70)*IFERROR(VLOOKUP(C71,Monsters!$T$4:$AH$15,10,FALSE),0)*IFERROR(VLOOKUP(C71,Monsters!$T$4:$AH$15,9,FALSE),0))*'Rules &amp; Formulas'!B6)*IF(D71="",0,D71),0))*(IFERROR(VLOOKUP(C71,Monsters!$T$4:$AH$15,5,FALSE),0)),0)+IF(AND((E71="OK"),B71="Go AFK"),(IF(B71="Go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AFK",IF(D71="",0,D71),0),Z70/60)*60)),0))*(IFERROR(VLOOKUP(C71,Monsters!$T$4:$AH$15,5,FALSE),0)),0)-IF(AND((E71="OK"),OR(B71="Buy upgrade",B71="Forge/Scrapwork buy"),IFERROR(VLOOKUP(C71,Upgrades!$N$4:$T$47,2,FALSE),0)="scraps"),IFERROR(FLOOR(IFERROR(VLOOKUP(C71,Upgrades!$N$4:$T$47,3,FALSE),0)*(IFERROR(VLOOKUP(C71,Upgrades!$N$4:$T$47,4,FALSE),0)^(COUNTIFS($B$3:$B70,"Buy upgrade",$C$3:$C70,C71)+COUNTIFS($B$3:$B70,"Hire hunter",$C$3:$C70,C71)+COUNTIFS($B$3:$B70,"Forge/Scrapwork buy",$C$3:$C70,C71))),1),0),0))</f>
        <v/>
      </c>
      <c r="K71" s="7">
        <f>MAX(0,K70+IF(AND((E71="OK"),B71="Hunt"),IF(C71="Thornpelt Bear",(IF(B71="Hunt",(('Rules &amp; Formulas'!B4*N70*('Rules &amp; Formulas'!B5+O70)*IFERROR(VLOOKUP(C71,Monsters!$T$4:$AH$15,10,FALSE),0)*IFERROR(VLOOKUP(C71,Monsters!$T$4:$AH$15,9,FALSE),0))*'Rules &amp; Formulas'!B6)*IF(D71="",0,D71),0))*0.12,0),0)+IF(AND((E71="OK"),B71="Go AFK"),IF(C71="Thornpelt Bear",(IF(B71="Go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AFK",IF(D71="",0,D71),0),Z70/60)*60)),0))*0.12,0),0))</f>
        <v/>
      </c>
      <c r="L71" s="7">
        <f>MAX(0,L70+IF(AND((E71="OK"),B71="Hunt"),IF(C71="Dire Thornpelt",(IF(B71="Hunt",(('Rules &amp; Formulas'!B4*N70*('Rules &amp; Formulas'!B5+O70)*IFERROR(VLOOKUP(C71,Monsters!$T$4:$AH$15,10,FALSE),0)*IFERROR(VLOOKUP(C71,Monsters!$T$4:$AH$15,9,FALSE),0))*'Rules &amp; Formulas'!B6)*IF(D71="",0,D71),0))*0.1,0),0)+IF(AND((E71="OK"),B71="Go AFK"),IF(C71="Dire Thornpelt",(IF(B71="Go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AFK",IF(D71="",0,D71),0),Z70/60)*60)),0))*0.1,0),0))</f>
        <v/>
      </c>
      <c r="M71" s="7">
        <f>IF(AND((E71="OK"),B71="Go AFK"),MAX(0,MIN(('Rules &amp; Formulas'!B15+25*AJ70),M70+('Rules &amp; Formulas'!B14+0.4*AJ70)*(MIN(IF(B71="Go AFK",IF(D71="",0,D71),0),Z70/60)*60))-(IF(B71="Go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AFK",IF(D71="",0,D71),0),Z70/60)*60)),0))*(IF((IFERROR(VLOOKUP(C71,Monsters!$T$4:$AH$15,8,FALSE),0))=0,0.35,IFERROR(VLOOKUP(C71,Monsters!$T$4:$AH$15,8,FALSE),0))/(1+0.08*AK70))),MIN(('Rules &amp; Formulas'!B15+25*AJ71),M70))</f>
        <v/>
      </c>
      <c r="N71" s="7">
        <f>(1+0.08+0.12*AA71+0.12*AB71+0.16*AC71)</f>
        <v/>
      </c>
      <c r="O71" s="7">
        <f>((AD71&gt;=1)*1*(1+0.3*AE71))</f>
        <v/>
      </c>
      <c r="P71" s="7">
        <f>IF(OR(B71="Hunt",B71="Go AFK"),(('Rules &amp; Formulas'!B4*N70*('Rules &amp; Formulas'!B5+O70)*IFERROR(VLOOKUP(C71,Monsters!$T$4:$AH$15,10,FALSE),0)*IFERROR(VLOOKUP(C71,Monsters!$T$4:$AH$15,9,FALSE),0))*'Rules &amp; Formulas'!B6),"")</f>
        <v/>
      </c>
      <c r="Q71" s="7">
        <f>IF(OR(B71="Hunt",B71="Go AFK"),('Rules &amp; Formulas'!B4*N70*('Rules &amp; Formulas'!B5+O70)*IFERROR(VLOOKUP(C71,Monsters!$T$4:$AH$15,10,FALSE),0)*IFERROR(VLOOKUP(C71,Monsters!$T$4:$AH$15,9,FALSE),0)),"")</f>
        <v/>
      </c>
      <c r="R71" s="7">
        <f>IF(AND((E71="OK"),B71="Hunt"),IF(B71="Hunt",(('Rules &amp; Formulas'!B4*N70*('Rules &amp; Formulas'!B5+O70)*IFERROR(VLOOKUP(C71,Monsters!$T$4:$AH$15,10,FALSE),0)*IFERROR(VLOOKUP(C71,Monsters!$T$4:$AH$15,9,FALSE),0))*'Rules &amp; Formulas'!B6)*IF(D71="",0,D71),0),IF(AND((E71="OK"),B71="Go AFK"),IF(B71="Go AFK",MIN(IF((IF((IFERROR(VLOOKUP(C71,Monsters!$T$4:$AH$15,8,FALSE),0))=0,0.35,IFERROR(VLOOKUP(C71,Monsters!$T$4:$AH$15,8,FALSE),0))/(1+0.08*AK70))&lt;=0,999999,FLOOR(MIN(('Rules &amp; Formulas'!B15+25*AJ70),M70+('Rules &amp; Formulas'!B14+0.4*AJ70)*(MIN(IF(B71="Go AFK",IF(D71="",0,D71),0),Z70/60)*60))/(IF((IFERROR(VLOOKUP(C71,Monsters!$T$4:$AH$15,8,FALSE),0))=0,0.35,IFERROR(VLOOKUP(C71,Monsters!$T$4:$AH$15,8,FALSE),0))/(1+0.08*AK70)),1)),('Rules &amp; Formulas'!B4*N70*('Rules &amp; Formulas'!B5+O70)*IFERROR(VLOOKUP(C71,Monsters!$T$4:$AH$15,10,FALSE),0)*IFERROR(VLOOKUP(C71,Monsters!$T$4:$AH$15,9,FALSE),0))*(MIN(IF(B71="Go AFK",IF(D71="",0,D71),0),Z70/60)*60)),0),0))</f>
        <v/>
      </c>
      <c r="S71" s="7">
        <f>(105/'Rules &amp; Formulas'!B10)*'Rules &amp; Formulas'!B11</f>
        <v/>
      </c>
      <c r="T71" s="7">
        <f>IF(AD70&gt;=1,(MAX(1,ROUND('Rules &amp; Formulas'!B18*(1+0.3*AE70)*(1+0.4*AF70),0)))*(1000/'Rules &amp; Formulas'!B19)*MIN(0.95,'Rules &amp; Formulas'!B20*SQRT(1+0.55*(AG70&gt;=1))),0)</f>
        <v/>
      </c>
      <c r="U71" s="7">
        <f>S71+T71</f>
        <v/>
      </c>
      <c r="V71" s="7">
        <f>IF(I70&gt;=IF((IFERROR(VLOOKUP(C71,Monsters!$T$4:$AH$15,15,FALSE),0))=0,120,IFERROR(VLOOKUP(C71,Monsters!$T$4:$AH$15,15,FALSE),0)),"YES","no")</f>
        <v/>
      </c>
      <c r="W71" s="7">
        <f>IF(AND(B71="Fight boss",E71="OK"),IF((((105/'Rules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Formulas'!B20*SQRT(1+0.55*(AG70&gt;=1))),0)))),"")</f>
        <v/>
      </c>
      <c r="X71" s="7">
        <f>IF(AND(B71="Fight boss",E71="OK"),IF((IF((((105/'Rules &amp; Formulas'!B10)*'Rules &amp; Formulas'!B11+IF(AD70&gt;=1,(MAX(1,ROUND('Rules &amp; Formulas'!B18*(1+0.3*AE70)*(1+0.4*AF70),0)))*(1000/'Rules &amp; Formulas'!B19)*MIN(0.95,'Rules &amp; Formulas'!B20*SQRT(1+0.55*(AG70&gt;=1))),0)))&lt;=0,9999,(IFERROR(VLOOKUP(C71,Monsters!$T$4:$AH$15,2,FALSE),0))/(((105/'Rules &amp; Formulas'!B10)*'Rules &amp; Formulas'!B11+IF(AD70&gt;=1,(MAX(1,ROUND('Rules &amp; Formulas'!B18*(1+0.3*AE70)*(1+0.4*AF70),0)))*(1000/'Rules &amp; Formulas'!B19)*MIN(0.95,'Rules &amp; Formulas'!B20*SQRT(1+0.55*(AG70&gt;=1))),0))))&lt;='Rules &amp; Formulas'!B12),"WIN","LOSE"),"")</f>
        <v/>
      </c>
      <c r="Y71" s="7">
        <f>IF(B71="Go AFK",MIN(IF(B71="Go AFK",IF(D71="",0,D71),0),Z70/60),"")</f>
        <v/>
      </c>
      <c r="Z71" s="7">
        <f>('Rules &amp; Formulas'!B13+30*AI71)</f>
        <v/>
      </c>
      <c r="AA71">
        <f>COUNTIFS($B$3:$B71,"Buy upgrade",$C$3:$C71,"Idle Power")</f>
        <v/>
      </c>
      <c r="AB71">
        <f>COUNTIFS($B$3:$B71,"Buy upgrade",$C$3:$C71,"Iron Blade")</f>
        <v/>
      </c>
      <c r="AC71">
        <f>COUNTIFS($B$3:$B71,"Buy upgrade",$C$3:$C71,"Steel Blade")</f>
        <v/>
      </c>
      <c r="AD71">
        <f>COUNTIFS($B$3:$B71,"Hire hunter",$C$3:$C71,"Briar")+COUNTIFS($B$3:$B71,"Buy upgrade",$C$3:$C71,"Hire Briar")</f>
        <v/>
      </c>
      <c r="AE71">
        <f>COUNTIFS($B$3:$B71,"Buy upgrade",$C$3:$C71,"Hunter Power")</f>
        <v/>
      </c>
      <c r="AF71">
        <f>COUNTIFS($B$3:$B71,"Buy upgrade",$C$3:$C71,"Bigger Hits")</f>
        <v/>
      </c>
      <c r="AG71">
        <f>COUNTIFS($B$3:$B71,"Buy upgrade",$C$3:$C71,"Swift Walk")</f>
        <v/>
      </c>
      <c r="AH71">
        <f>COUNTIFS($B$3:$B71,"Buy upgrade",$C$3:$C71,"Loot Luck")</f>
        <v/>
      </c>
      <c r="AI71">
        <f>COUNTIFS($B$3:$B71,"Buy upgrade",$C$3:$C71,"Offline Cap")</f>
        <v/>
      </c>
      <c r="AJ71">
        <f>COUNTIFS($B$3:$B71,"Buy upgrade",$C$3:$C71,"Bigger Food Stock")</f>
        <v/>
      </c>
      <c r="AK71">
        <f>COUNTIFS($B$3:$B71,"Buy upgrade",$C$3:$C71,"Food Efficiency")</f>
        <v/>
      </c>
    </row>
    <row r="72">
      <c r="A72" t="n">
        <v>70</v>
      </c>
      <c r="B72" s="6" t="n"/>
      <c r="C72" s="6" t="n"/>
      <c r="D72" s="6" t="n"/>
      <c r="E72" s="7">
        <f>IF(B72="","",IF(OR(B72="Hunt",B72="Go AFK"),IF(C72="","Can't","OK"),IF(B72="Fight boss",IF(I71&lt;IF((IFERROR(VLOOKUP(C72,Monsters!$T$4:$AH$15,15,FALSE),0))=0,120,IFERROR(VLOOKUP(C72,Monsters!$T$4:$AH$15,15,FALSE),0)),"Can't","OK"),IF(B72="Hire hunter",IF(AND(C72="Briar",AD71&gt;=1),"Can't",IF(H71&lt;IF(C72="Briar",140,IF(C72="Quill",3650,IF(C72="Moss",4850,IF(C72="Ember",12200,0)))),"Can't","OK")),IF(OR(B72="Buy upgrade",B72="Forge/Scrapwork buy"),IF(IFERROR(VLOOKUP(C72,Upgrades!$N$4:$T$47,2,FALSE),0)="points","Can't",IF(IFERROR(VLOOKUP(C72,Upgrades!$N$4:$T$47,2,FALSE),0)="gold",IF(H71&lt;IFERROR(FLOOR(IFERROR(VLOOKUP(C72,Upgrades!$N$4:$T$47,3,FALSE),0)*(IFERROR(VLOOKUP(C72,Upgrades!$N$4:$T$47,4,FALSE),0)^(COUNTIFS($B$3:$B71,"Buy upgrade",$C$3:$C71,C72)+COUNTIFS($B$3:$B71,"Hire hunter",$C$3:$C71,C72)+COUNTIFS($B$3:$B71,"Forge/Scrapwork buy",$C$3:$C71,C72))),1),0),"Can't","OK"),IF(IFERROR(VLOOKUP(C72,Upgrades!$N$4:$T$47,2,FALSE),0)="scraps",IF(J71&lt;IFERROR(FLOOR(IFERROR(VLOOKUP(C72,Upgrades!$N$4:$T$47,3,FALSE),0)*(IFERROR(VLOOKUP(C72,Upgrades!$N$4:$T$47,4,FALSE),0)^(COUNTIFS($B$3:$B71,"Buy upgrade",$C$3:$C71,C72)+COUNTIFS($B$3:$B71,"Hire hunter",$C$3:$C71,C72)+COUNTIFS($B$3:$B71,"Forge/Scrapwork buy",$C$3:$C71,C72))),1),0),"Can't","OK"),IF(IFERROR(VLOOKUP(C72,Upgrades!$N$4:$T$47,2,FALSE),0)="mats","Can't","OK")))),"Check")))))</f>
        <v/>
      </c>
      <c r="F72" s="7">
        <f>IF(B72="","",IF(AND(B72="Fight boss",I71&lt;IF((IFERROR(VLOOKUP(C72,Monsters!$T$4:$AH$15,15,FALSE),0))=0,120,IFERROR(VLOOKUP(C72,Monsters!$T$4:$AH$15,15,FALSE),0))),"Can't — need "&amp;TEXT(IF((IFERROR(VLOOKUP(C72,Monsters!$T$4:$AH$15,15,FALSE),0))=0,120,IFERROR(VLOOKUP(C72,Monsters!$T$4:$AH$15,15,FALSE),0))-I71,"0.0")&amp;" more Slayer points on the meter",IF(AND(B72="Hire hunter",C72="Briar",AD71&gt;=1),"Can't — already hired",IF(AND(B72="Hire hunter",H71&lt;IF(C72="Briar",140,IF(C72="Quill",3650,IF(C72="Moss",4850,IF(C72="Ember",12200,0))))),"Can't — need "&amp;TEXT(IF(C72="Briar",140,IF(C72="Quill",3650,IF(C72="Moss",4850,IF(C72="Ember",12200,0))))-H71,"0")&amp;" more gold",IF(AND(OR(B72="Buy upgrade",B72="Forge/Scrapwork buy"),IFERROR(VLOOKUP(C72,Upgrades!$N$4:$T$47,2,FALSE),0)="points"),"Can't — Sp-wallet spends not tracked here",IF(AND(OR(B72="Buy upgrade",B72="Forge/Scrapwork buy"),IFERROR(VLOOKUP(C72,Upgrades!$N$4:$T$47,2,FALSE),0)="gold",H71&lt;IFERROR(FLOOR(IFERROR(VLOOKUP(C72,Upgrades!$N$4:$T$47,3,FALSE),0)*(IFERROR(VLOOKUP(C72,Upgrades!$N$4:$T$47,4,FALSE),0)^(COUNTIFS($B$3:$B71,"Buy upgrade",$C$3:$C71,C72)+COUNTIFS($B$3:$B71,"Hire hunter",$C$3:$C71,C72)+COUNTIFS($B$3:$B71,"Forge/Scrapwork buy",$C$3:$C71,C72))),1),0)),"Can't — need "&amp;TEXT(IFERROR(FLOOR(IFERROR(VLOOKUP(C72,Upgrades!$N$4:$T$47,3,FALSE),0)*(IFERROR(VLOOKUP(C72,Upgrades!$N$4:$T$47,4,FALSE),0)^(COUNTIFS($B$3:$B71,"Buy upgrade",$C$3:$C71,C72)+COUNTIFS($B$3:$B71,"Hire hunter",$C$3:$C71,C72)+COUNTIFS($B$3:$B71,"Forge/Scrapwork buy",$C$3:$C71,C72))),1),0)-H71,"0")&amp;" more gold",IF(AND(OR(B72="Buy upgrade",B72="Forge/Scrapwork buy"),IFERROR(VLOOKUP(C72,Upgrades!$N$4:$T$47,2,FALSE),0)="scraps",J71&lt;IFERROR(FLOOR(IFERROR(VLOOKUP(C72,Upgrades!$N$4:$T$47,3,FALSE),0)*(IFERROR(VLOOKUP(C72,Upgrades!$N$4:$T$47,4,FALSE),0)^(COUNTIFS($B$3:$B71,"Buy upgrade",$C$3:$C71,C72)+COUNTIFS($B$3:$B71,"Hire hunter",$C$3:$C71,C72)+COUNTIFS($B$3:$B71,"Forge/Scrapwork buy",$C$3:$C71,C72))),1),0)),"Can't — need "&amp;TEXT(IFERROR(FLOOR(IFERROR(VLOOKUP(C72,Upgrades!$N$4:$T$47,3,FALSE),0)*(IFERROR(VLOOKUP(C72,Upgrades!$N$4:$T$47,4,FALSE),0)^(COUNTIFS($B$3:$B71,"Buy upgrade",$C$3:$C71,C72)+COUNTIFS($B$3:$B71,"Hire hunter",$C$3:$C71,C72)+COUNTIFS($B$3:$B71,"Forge/Scrapwork buy",$C$3:$C71,C72))),1),0)-J71,"0")&amp;" more scraps",IF(AND(B72="Fight boss",E72="OK",(IF((((105/'Rules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Formulas'!B12)),"WIN — boss down, next Level unlocks",IF(AND(B72="Fight boss",E72="OK"),"LOSE — TTK "&amp;TEXT(IF((((105/'Rules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Formulas'!B20*SQRT(1+0.55*(AG71&gt;=1))),0)))),"0")&amp;"s &gt; patience "&amp;TEXT('Rules &amp; Formulas'!B12,"0")&amp;"s (leave resets HP)",IF(B72="Go AFK","AFK resolved (see AFK counted h)","Applied")))))))))</f>
        <v/>
      </c>
      <c r="G72" s="7">
        <f>IF(AND((E72="OK"),B72="Fight boss",(IF((((105/'Rules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Formulas'!B12),C72="Elder Thornpelt"),2,IF(AND((E72="OK"),B72="Fight boss",(IF((((105/'Rules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Formulas'!B12),C72="Ashfang Alpha"),3,G71))</f>
        <v/>
      </c>
      <c r="H72" s="7">
        <f>MAX(0,H71+IF(AND((E72="OK"),B72="Hunt"),(IF(B72="Hunt",(('Rules &amp; Formulas'!B4*N71*('Rules &amp; Formulas'!B5+O71)*IFERROR(VLOOKUP(C72,Monsters!$T$4:$AH$15,10,FALSE),0)*IFERROR(VLOOKUP(C72,Monsters!$T$4:$AH$15,9,FALSE),0))*'Rules &amp; Formulas'!B6)*IF(D72="",0,D72),0))*(IFERROR(VLOOKUP(C72,Monsters!$T$4:$AH$15,3,FALSE),0))*(1+0.1*AH71)+(IF(OR(B72&lt;&gt;"Hunt",IFERROR(VLOOKUP(C72,Monsters!$T$4:$AH$15,6,FALSE),0)=0),0,FLOOR((IF(B72="Hunt",(('Rules &amp; Formulas'!B4*N71*('Rules &amp; Formulas'!B5+O71)*IFERROR(VLOOKUP(C72,Monsters!$T$4:$AH$15,10,FALSE),0)*IFERROR(VLOOKUP(C72,Monsters!$T$4:$AH$15,9,FALSE),0))*'Rules &amp; Formulas'!B6)*IF(D72="",0,D72),0))/MAX(1,IFERROR(VLOOKUP(C72,Monsters!$T$4:$AH$15,6,FALSE),0)),1)))*(IFERROR(VLOOKUP(C72,Monsters!$T$4:$AH$15,7,FALSE),0))*0.5*(1+0.1*AH71),0)+IF(AND((E72="OK"),B72="Go AFK"),(IF(B72="Go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AFK",IF(D72="",0,D72),0),Z71/60)*60)),0))*(IFERROR(VLOOKUP(C72,Monsters!$T$4:$AH$15,3,FALSE),0))*(1+0.1*AH71)+(IF(OR(B72&lt;&gt;"Go AFK",IFERROR(VLOOKUP(C72,Monsters!$T$4:$AH$15,6,FALSE),0)=0),0,FLOOR((IF(B72="Go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AFK",IF(D72="",0,D72),0),Z71/60)*60)),0))/MAX(1,IFERROR(VLOOKUP(C72,Monsters!$T$4:$AH$15,6,FALSE),0)),1)))*(IFERROR(VLOOKUP(C72,Monsters!$T$4:$AH$15,7,FALSE),0))*0.5*(1+0.1*AH71),0)+IF(AND((E72="OK"),B72="Fight boss",(IF((((105/'Rules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Formulas'!B12)),IFERROR(VLOOKUP(C72,Monsters!$T$4:$AH$15,3,FALSE),0),0)-IF(AND((E72="OK"),OR(B72="Buy upgrade",B72="Forge/Scrapwork buy"),IFERROR(VLOOKUP(C72,Upgrades!$N$4:$T$47,2,FALSE),0)="gold"),IFERROR(FLOOR(IFERROR(VLOOKUP(C72,Upgrades!$N$4:$T$47,3,FALSE),0)*(IFERROR(VLOOKUP(C72,Upgrades!$N$4:$T$47,4,FALSE),0)^(COUNTIFS($B$3:$B71,"Buy upgrade",$C$3:$C71,C72)+COUNTIFS($B$3:$B71,"Hire hunter",$C$3:$C71,C72)+COUNTIFS($B$3:$B71,"Forge/Scrapwork buy",$C$3:$C71,C72))),1),0),0)-IF(AND((E72="OK"),B72="Hire hunter"),IF(C72="Briar",140,IF(C72="Quill",3650,IF(C72="Moss",4850,IF(C72="Ember",12200,0)))),0))</f>
        <v/>
      </c>
      <c r="I72" s="7">
        <f>IF(AND((E72="OK"),B72="Fight boss",(IF((((105/'Rules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Formulas'!B12)),0,MIN(IF(G71&lt;=1,120,IF(G71=2,280,600)),I71+IF(AND((E72="OK"),B72="Hunt"),((IF(B72="Hunt",(('Rules &amp; Formulas'!B4*N71*('Rules &amp; Formulas'!B5+O71)*IFERROR(VLOOKUP(C72,Monsters!$T$4:$AH$15,10,FALSE),0)*IFERROR(VLOOKUP(C72,Monsters!$T$4:$AH$15,9,FALSE),0))*'Rules &amp; Formulas'!B6)*IF(D72="",0,D72),0))*(IFERROR(VLOOKUP(C72,Monsters!$T$4:$AH$15,4,FALSE),0))+(IF(OR(B72&lt;&gt;"Hunt",IFERROR(VLOOKUP(C72,Monsters!$T$4:$AH$15,6,FALSE),0)=0),0,FLOOR((IF(B72="Hunt",(('Rules &amp; Formulas'!B4*N71*('Rules &amp; Formulas'!B5+O71)*IFERROR(VLOOKUP(C72,Monsters!$T$4:$AH$15,10,FALSE),0)*IFERROR(VLOOKUP(C72,Monsters!$T$4:$AH$15,9,FALSE),0))*'Rules &amp; Formulas'!B6)*IF(D72="",0,D72),0))/MAX(1,IFERROR(VLOOKUP(C72,Monsters!$T$4:$AH$15,6,FALSE),0)),1)))*(IFERROR(VLOOKUP(C72,Monsters!$T$4:$AH$15,7,FALSE),0))),0)+IF(AND((E72="OK"),B72="Go AFK"),((IF(B72="Go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AFK",IF(D72="",0,D72),0),Z71/60)*60)),0))*(IFERROR(VLOOKUP(C72,Monsters!$T$4:$AH$15,4,FALSE),0))+(IF(OR(B72&lt;&gt;"Go AFK",IFERROR(VLOOKUP(C72,Monsters!$T$4:$AH$15,6,FALSE),0)=0),0,FLOOR((IF(B72="Go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AFK",IF(D72="",0,D72),0),Z71/60)*60)),0))/MAX(1,IFERROR(VLOOKUP(C72,Monsters!$T$4:$AH$15,6,FALSE),0)),1)))*(IFERROR(VLOOKUP(C72,Monsters!$T$4:$AH$15,7,FALSE),0))),0)))</f>
        <v/>
      </c>
      <c r="J72" s="7">
        <f>MAX(0,J71+IF(AND((E72="OK"),B72="Hunt"),(IF(B72="Hunt",(('Rules &amp; Formulas'!B4*N71*('Rules &amp; Formulas'!B5+O71)*IFERROR(VLOOKUP(C72,Monsters!$T$4:$AH$15,10,FALSE),0)*IFERROR(VLOOKUP(C72,Monsters!$T$4:$AH$15,9,FALSE),0))*'Rules &amp; Formulas'!B6)*IF(D72="",0,D72),0))*(IFERROR(VLOOKUP(C72,Monsters!$T$4:$AH$15,5,FALSE),0)),0)+IF(AND((E72="OK"),B72="Go AFK"),(IF(B72="Go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AFK",IF(D72="",0,D72),0),Z71/60)*60)),0))*(IFERROR(VLOOKUP(C72,Monsters!$T$4:$AH$15,5,FALSE),0)),0)-IF(AND((E72="OK"),OR(B72="Buy upgrade",B72="Forge/Scrapwork buy"),IFERROR(VLOOKUP(C72,Upgrades!$N$4:$T$47,2,FALSE),0)="scraps"),IFERROR(FLOOR(IFERROR(VLOOKUP(C72,Upgrades!$N$4:$T$47,3,FALSE),0)*(IFERROR(VLOOKUP(C72,Upgrades!$N$4:$T$47,4,FALSE),0)^(COUNTIFS($B$3:$B71,"Buy upgrade",$C$3:$C71,C72)+COUNTIFS($B$3:$B71,"Hire hunter",$C$3:$C71,C72)+COUNTIFS($B$3:$B71,"Forge/Scrapwork buy",$C$3:$C71,C72))),1),0),0))</f>
        <v/>
      </c>
      <c r="K72" s="7">
        <f>MAX(0,K71+IF(AND((E72="OK"),B72="Hunt"),IF(C72="Thornpelt Bear",(IF(B72="Hunt",(('Rules &amp; Formulas'!B4*N71*('Rules &amp; Formulas'!B5+O71)*IFERROR(VLOOKUP(C72,Monsters!$T$4:$AH$15,10,FALSE),0)*IFERROR(VLOOKUP(C72,Monsters!$T$4:$AH$15,9,FALSE),0))*'Rules &amp; Formulas'!B6)*IF(D72="",0,D72),0))*0.12,0),0)+IF(AND((E72="OK"),B72="Go AFK"),IF(C72="Thornpelt Bear",(IF(B72="Go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AFK",IF(D72="",0,D72),0),Z71/60)*60)),0))*0.12,0),0))</f>
        <v/>
      </c>
      <c r="L72" s="7">
        <f>MAX(0,L71+IF(AND((E72="OK"),B72="Hunt"),IF(C72="Dire Thornpelt",(IF(B72="Hunt",(('Rules &amp; Formulas'!B4*N71*('Rules &amp; Formulas'!B5+O71)*IFERROR(VLOOKUP(C72,Monsters!$T$4:$AH$15,10,FALSE),0)*IFERROR(VLOOKUP(C72,Monsters!$T$4:$AH$15,9,FALSE),0))*'Rules &amp; Formulas'!B6)*IF(D72="",0,D72),0))*0.1,0),0)+IF(AND((E72="OK"),B72="Go AFK"),IF(C72="Dire Thornpelt",(IF(B72="Go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AFK",IF(D72="",0,D72),0),Z71/60)*60)),0))*0.1,0),0))</f>
        <v/>
      </c>
      <c r="M72" s="7">
        <f>IF(AND((E72="OK"),B72="Go AFK"),MAX(0,MIN(('Rules &amp; Formulas'!B15+25*AJ71),M71+('Rules &amp; Formulas'!B14+0.4*AJ71)*(MIN(IF(B72="Go AFK",IF(D72="",0,D72),0),Z71/60)*60))-(IF(B72="Go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AFK",IF(D72="",0,D72),0),Z71/60)*60)),0))*(IF((IFERROR(VLOOKUP(C72,Monsters!$T$4:$AH$15,8,FALSE),0))=0,0.35,IFERROR(VLOOKUP(C72,Monsters!$T$4:$AH$15,8,FALSE),0))/(1+0.08*AK71))),MIN(('Rules &amp; Formulas'!B15+25*AJ72),M71))</f>
        <v/>
      </c>
      <c r="N72" s="7">
        <f>(1+0.08+0.12*AA72+0.12*AB72+0.16*AC72)</f>
        <v/>
      </c>
      <c r="O72" s="7">
        <f>((AD72&gt;=1)*1*(1+0.3*AE72))</f>
        <v/>
      </c>
      <c r="P72" s="7">
        <f>IF(OR(B72="Hunt",B72="Go AFK"),(('Rules &amp; Formulas'!B4*N71*('Rules &amp; Formulas'!B5+O71)*IFERROR(VLOOKUP(C72,Monsters!$T$4:$AH$15,10,FALSE),0)*IFERROR(VLOOKUP(C72,Monsters!$T$4:$AH$15,9,FALSE),0))*'Rules &amp; Formulas'!B6),"")</f>
        <v/>
      </c>
      <c r="Q72" s="7">
        <f>IF(OR(B72="Hunt",B72="Go AFK"),('Rules &amp; Formulas'!B4*N71*('Rules &amp; Formulas'!B5+O71)*IFERROR(VLOOKUP(C72,Monsters!$T$4:$AH$15,10,FALSE),0)*IFERROR(VLOOKUP(C72,Monsters!$T$4:$AH$15,9,FALSE),0)),"")</f>
        <v/>
      </c>
      <c r="R72" s="7">
        <f>IF(AND((E72="OK"),B72="Hunt"),IF(B72="Hunt",(('Rules &amp; Formulas'!B4*N71*('Rules &amp; Formulas'!B5+O71)*IFERROR(VLOOKUP(C72,Monsters!$T$4:$AH$15,10,FALSE),0)*IFERROR(VLOOKUP(C72,Monsters!$T$4:$AH$15,9,FALSE),0))*'Rules &amp; Formulas'!B6)*IF(D72="",0,D72),0),IF(AND((E72="OK"),B72="Go AFK"),IF(B72="Go AFK",MIN(IF((IF((IFERROR(VLOOKUP(C72,Monsters!$T$4:$AH$15,8,FALSE),0))=0,0.35,IFERROR(VLOOKUP(C72,Monsters!$T$4:$AH$15,8,FALSE),0))/(1+0.08*AK71))&lt;=0,999999,FLOOR(MIN(('Rules &amp; Formulas'!B15+25*AJ71),M71+('Rules &amp; Formulas'!B14+0.4*AJ71)*(MIN(IF(B72="Go AFK",IF(D72="",0,D72),0),Z71/60)*60))/(IF((IFERROR(VLOOKUP(C72,Monsters!$T$4:$AH$15,8,FALSE),0))=0,0.35,IFERROR(VLOOKUP(C72,Monsters!$T$4:$AH$15,8,FALSE),0))/(1+0.08*AK71)),1)),('Rules &amp; Formulas'!B4*N71*('Rules &amp; Formulas'!B5+O71)*IFERROR(VLOOKUP(C72,Monsters!$T$4:$AH$15,10,FALSE),0)*IFERROR(VLOOKUP(C72,Monsters!$T$4:$AH$15,9,FALSE),0))*(MIN(IF(B72="Go AFK",IF(D72="",0,D72),0),Z71/60)*60)),0),0))</f>
        <v/>
      </c>
      <c r="S72" s="7">
        <f>(105/'Rules &amp; Formulas'!B10)*'Rules &amp; Formulas'!B11</f>
        <v/>
      </c>
      <c r="T72" s="7">
        <f>IF(AD71&gt;=1,(MAX(1,ROUND('Rules &amp; Formulas'!B18*(1+0.3*AE71)*(1+0.4*AF71),0)))*(1000/'Rules &amp; Formulas'!B19)*MIN(0.95,'Rules &amp; Formulas'!B20*SQRT(1+0.55*(AG71&gt;=1))),0)</f>
        <v/>
      </c>
      <c r="U72" s="7">
        <f>S72+T72</f>
        <v/>
      </c>
      <c r="V72" s="7">
        <f>IF(I71&gt;=IF((IFERROR(VLOOKUP(C72,Monsters!$T$4:$AH$15,15,FALSE),0))=0,120,IFERROR(VLOOKUP(C72,Monsters!$T$4:$AH$15,15,FALSE),0)),"YES","no")</f>
        <v/>
      </c>
      <c r="W72" s="7">
        <f>IF(AND(B72="Fight boss",E72="OK"),IF((((105/'Rules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Formulas'!B20*SQRT(1+0.55*(AG71&gt;=1))),0)))),"")</f>
        <v/>
      </c>
      <c r="X72" s="7">
        <f>IF(AND(B72="Fight boss",E72="OK"),IF((IF((((105/'Rules &amp; Formulas'!B10)*'Rules &amp; Formulas'!B11+IF(AD71&gt;=1,(MAX(1,ROUND('Rules &amp; Formulas'!B18*(1+0.3*AE71)*(1+0.4*AF71),0)))*(1000/'Rules &amp; Formulas'!B19)*MIN(0.95,'Rules &amp; Formulas'!B20*SQRT(1+0.55*(AG71&gt;=1))),0)))&lt;=0,9999,(IFERROR(VLOOKUP(C72,Monsters!$T$4:$AH$15,2,FALSE),0))/(((105/'Rules &amp; Formulas'!B10)*'Rules &amp; Formulas'!B11+IF(AD71&gt;=1,(MAX(1,ROUND('Rules &amp; Formulas'!B18*(1+0.3*AE71)*(1+0.4*AF71),0)))*(1000/'Rules &amp; Formulas'!B19)*MIN(0.95,'Rules &amp; Formulas'!B20*SQRT(1+0.55*(AG71&gt;=1))),0))))&lt;='Rules &amp; Formulas'!B12),"WIN","LOSE"),"")</f>
        <v/>
      </c>
      <c r="Y72" s="7">
        <f>IF(B72="Go AFK",MIN(IF(B72="Go AFK",IF(D72="",0,D72),0),Z71/60),"")</f>
        <v/>
      </c>
      <c r="Z72" s="7">
        <f>('Rules &amp; Formulas'!B13+30*AI72)</f>
        <v/>
      </c>
      <c r="AA72">
        <f>COUNTIFS($B$3:$B72,"Buy upgrade",$C$3:$C72,"Idle Power")</f>
        <v/>
      </c>
      <c r="AB72">
        <f>COUNTIFS($B$3:$B72,"Buy upgrade",$C$3:$C72,"Iron Blade")</f>
        <v/>
      </c>
      <c r="AC72">
        <f>COUNTIFS($B$3:$B72,"Buy upgrade",$C$3:$C72,"Steel Blade")</f>
        <v/>
      </c>
      <c r="AD72">
        <f>COUNTIFS($B$3:$B72,"Hire hunter",$C$3:$C72,"Briar")+COUNTIFS($B$3:$B72,"Buy upgrade",$C$3:$C72,"Hire Briar")</f>
        <v/>
      </c>
      <c r="AE72">
        <f>COUNTIFS($B$3:$B72,"Buy upgrade",$C$3:$C72,"Hunter Power")</f>
        <v/>
      </c>
      <c r="AF72">
        <f>COUNTIFS($B$3:$B72,"Buy upgrade",$C$3:$C72,"Bigger Hits")</f>
        <v/>
      </c>
      <c r="AG72">
        <f>COUNTIFS($B$3:$B72,"Buy upgrade",$C$3:$C72,"Swift Walk")</f>
        <v/>
      </c>
      <c r="AH72">
        <f>COUNTIFS($B$3:$B72,"Buy upgrade",$C$3:$C72,"Loot Luck")</f>
        <v/>
      </c>
      <c r="AI72">
        <f>COUNTIFS($B$3:$B72,"Buy upgrade",$C$3:$C72,"Offline Cap")</f>
        <v/>
      </c>
      <c r="AJ72">
        <f>COUNTIFS($B$3:$B72,"Buy upgrade",$C$3:$C72,"Bigger Food Stock")</f>
        <v/>
      </c>
      <c r="AK72">
        <f>COUNTIFS($B$3:$B72,"Buy upgrade",$C$3:$C72,"Food Efficiency")</f>
        <v/>
      </c>
    </row>
    <row r="73">
      <c r="A73" t="n">
        <v>71</v>
      </c>
      <c r="B73" s="6" t="n"/>
      <c r="C73" s="6" t="n"/>
      <c r="D73" s="6" t="n"/>
      <c r="E73" s="7">
        <f>IF(B73="","",IF(OR(B73="Hunt",B73="Go AFK"),IF(C73="","Can't","OK"),IF(B73="Fight boss",IF(I72&lt;IF((IFERROR(VLOOKUP(C73,Monsters!$T$4:$AH$15,15,FALSE),0))=0,120,IFERROR(VLOOKUP(C73,Monsters!$T$4:$AH$15,15,FALSE),0)),"Can't","OK"),IF(B73="Hire hunter",IF(AND(C73="Briar",AD72&gt;=1),"Can't",IF(H72&lt;IF(C73="Briar",140,IF(C73="Quill",3650,IF(C73="Moss",4850,IF(C73="Ember",12200,0)))),"Can't","OK")),IF(OR(B73="Buy upgrade",B73="Forge/Scrapwork buy"),IF(IFERROR(VLOOKUP(C73,Upgrades!$N$4:$T$47,2,FALSE),0)="points","Can't",IF(IFERROR(VLOOKUP(C73,Upgrades!$N$4:$T$47,2,FALSE),0)="gold",IF(H72&lt;IFERROR(FLOOR(IFERROR(VLOOKUP(C73,Upgrades!$N$4:$T$47,3,FALSE),0)*(IFERROR(VLOOKUP(C73,Upgrades!$N$4:$T$47,4,FALSE),0)^(COUNTIFS($B$3:$B72,"Buy upgrade",$C$3:$C72,C73)+COUNTIFS($B$3:$B72,"Hire hunter",$C$3:$C72,C73)+COUNTIFS($B$3:$B72,"Forge/Scrapwork buy",$C$3:$C72,C73))),1),0),"Can't","OK"),IF(IFERROR(VLOOKUP(C73,Upgrades!$N$4:$T$47,2,FALSE),0)="scraps",IF(J72&lt;IFERROR(FLOOR(IFERROR(VLOOKUP(C73,Upgrades!$N$4:$T$47,3,FALSE),0)*(IFERROR(VLOOKUP(C73,Upgrades!$N$4:$T$47,4,FALSE),0)^(COUNTIFS($B$3:$B72,"Buy upgrade",$C$3:$C72,C73)+COUNTIFS($B$3:$B72,"Hire hunter",$C$3:$C72,C73)+COUNTIFS($B$3:$B72,"Forge/Scrapwork buy",$C$3:$C72,C73))),1),0),"Can't","OK"),IF(IFERROR(VLOOKUP(C73,Upgrades!$N$4:$T$47,2,FALSE),0)="mats","Can't","OK")))),"Check")))))</f>
        <v/>
      </c>
      <c r="F73" s="7">
        <f>IF(B73="","",IF(AND(B73="Fight boss",I72&lt;IF((IFERROR(VLOOKUP(C73,Monsters!$T$4:$AH$15,15,FALSE),0))=0,120,IFERROR(VLOOKUP(C73,Monsters!$T$4:$AH$15,15,FALSE),0))),"Can't — need "&amp;TEXT(IF((IFERROR(VLOOKUP(C73,Monsters!$T$4:$AH$15,15,FALSE),0))=0,120,IFERROR(VLOOKUP(C73,Monsters!$T$4:$AH$15,15,FALSE),0))-I72,"0.0")&amp;" more Slayer points on the meter",IF(AND(B73="Hire hunter",C73="Briar",AD72&gt;=1),"Can't — already hired",IF(AND(B73="Hire hunter",H72&lt;IF(C73="Briar",140,IF(C73="Quill",3650,IF(C73="Moss",4850,IF(C73="Ember",12200,0))))),"Can't — need "&amp;TEXT(IF(C73="Briar",140,IF(C73="Quill",3650,IF(C73="Moss",4850,IF(C73="Ember",12200,0))))-H72,"0")&amp;" more gold",IF(AND(OR(B73="Buy upgrade",B73="Forge/Scrapwork buy"),IFERROR(VLOOKUP(C73,Upgrades!$N$4:$T$47,2,FALSE),0)="points"),"Can't — Sp-wallet spends not tracked here",IF(AND(OR(B73="Buy upgrade",B73="Forge/Scrapwork buy"),IFERROR(VLOOKUP(C73,Upgrades!$N$4:$T$47,2,FALSE),0)="gold",H72&lt;IFERROR(FLOOR(IFERROR(VLOOKUP(C73,Upgrades!$N$4:$T$47,3,FALSE),0)*(IFERROR(VLOOKUP(C73,Upgrades!$N$4:$T$47,4,FALSE),0)^(COUNTIFS($B$3:$B72,"Buy upgrade",$C$3:$C72,C73)+COUNTIFS($B$3:$B72,"Hire hunter",$C$3:$C72,C73)+COUNTIFS($B$3:$B72,"Forge/Scrapwork buy",$C$3:$C72,C73))),1),0)),"Can't — need "&amp;TEXT(IFERROR(FLOOR(IFERROR(VLOOKUP(C73,Upgrades!$N$4:$T$47,3,FALSE),0)*(IFERROR(VLOOKUP(C73,Upgrades!$N$4:$T$47,4,FALSE),0)^(COUNTIFS($B$3:$B72,"Buy upgrade",$C$3:$C72,C73)+COUNTIFS($B$3:$B72,"Hire hunter",$C$3:$C72,C73)+COUNTIFS($B$3:$B72,"Forge/Scrapwork buy",$C$3:$C72,C73))),1),0)-H72,"0")&amp;" more gold",IF(AND(OR(B73="Buy upgrade",B73="Forge/Scrapwork buy"),IFERROR(VLOOKUP(C73,Upgrades!$N$4:$T$47,2,FALSE),0)="scraps",J72&lt;IFERROR(FLOOR(IFERROR(VLOOKUP(C73,Upgrades!$N$4:$T$47,3,FALSE),0)*(IFERROR(VLOOKUP(C73,Upgrades!$N$4:$T$47,4,FALSE),0)^(COUNTIFS($B$3:$B72,"Buy upgrade",$C$3:$C72,C73)+COUNTIFS($B$3:$B72,"Hire hunter",$C$3:$C72,C73)+COUNTIFS($B$3:$B72,"Forge/Scrapwork buy",$C$3:$C72,C73))),1),0)),"Can't — need "&amp;TEXT(IFERROR(FLOOR(IFERROR(VLOOKUP(C73,Upgrades!$N$4:$T$47,3,FALSE),0)*(IFERROR(VLOOKUP(C73,Upgrades!$N$4:$T$47,4,FALSE),0)^(COUNTIFS($B$3:$B72,"Buy upgrade",$C$3:$C72,C73)+COUNTIFS($B$3:$B72,"Hire hunter",$C$3:$C72,C73)+COUNTIFS($B$3:$B72,"Forge/Scrapwork buy",$C$3:$C72,C73))),1),0)-J72,"0")&amp;" more scraps",IF(AND(B73="Fight boss",E73="OK",(IF((((105/'Rules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Formulas'!B12)),"WIN — boss down, next Level unlocks",IF(AND(B73="Fight boss",E73="OK"),"LOSE — TTK "&amp;TEXT(IF((((105/'Rules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Formulas'!B20*SQRT(1+0.55*(AG72&gt;=1))),0)))),"0")&amp;"s &gt; patience "&amp;TEXT('Rules &amp; Formulas'!B12,"0")&amp;"s (leave resets HP)",IF(B73="Go AFK","AFK resolved (see AFK counted h)","Applied")))))))))</f>
        <v/>
      </c>
      <c r="G73" s="7">
        <f>IF(AND((E73="OK"),B73="Fight boss",(IF((((105/'Rules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Formulas'!B12),C73="Elder Thornpelt"),2,IF(AND((E73="OK"),B73="Fight boss",(IF((((105/'Rules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Formulas'!B12),C73="Ashfang Alpha"),3,G72))</f>
        <v/>
      </c>
      <c r="H73" s="7">
        <f>MAX(0,H72+IF(AND((E73="OK"),B73="Hunt"),(IF(B73="Hunt",(('Rules &amp; Formulas'!B4*N72*('Rules &amp; Formulas'!B5+O72)*IFERROR(VLOOKUP(C73,Monsters!$T$4:$AH$15,10,FALSE),0)*IFERROR(VLOOKUP(C73,Monsters!$T$4:$AH$15,9,FALSE),0))*'Rules &amp; Formulas'!B6)*IF(D73="",0,D73),0))*(IFERROR(VLOOKUP(C73,Monsters!$T$4:$AH$15,3,FALSE),0))*(1+0.1*AH72)+(IF(OR(B73&lt;&gt;"Hunt",IFERROR(VLOOKUP(C73,Monsters!$T$4:$AH$15,6,FALSE),0)=0),0,FLOOR((IF(B73="Hunt",(('Rules &amp; Formulas'!B4*N72*('Rules &amp; Formulas'!B5+O72)*IFERROR(VLOOKUP(C73,Monsters!$T$4:$AH$15,10,FALSE),0)*IFERROR(VLOOKUP(C73,Monsters!$T$4:$AH$15,9,FALSE),0))*'Rules &amp; Formulas'!B6)*IF(D73="",0,D73),0))/MAX(1,IFERROR(VLOOKUP(C73,Monsters!$T$4:$AH$15,6,FALSE),0)),1)))*(IFERROR(VLOOKUP(C73,Monsters!$T$4:$AH$15,7,FALSE),0))*0.5*(1+0.1*AH72),0)+IF(AND((E73="OK"),B73="Go AFK"),(IF(B73="Go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AFK",IF(D73="",0,D73),0),Z72/60)*60)),0))*(IFERROR(VLOOKUP(C73,Monsters!$T$4:$AH$15,3,FALSE),0))*(1+0.1*AH72)+(IF(OR(B73&lt;&gt;"Go AFK",IFERROR(VLOOKUP(C73,Monsters!$T$4:$AH$15,6,FALSE),0)=0),0,FLOOR((IF(B73="Go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AFK",IF(D73="",0,D73),0),Z72/60)*60)),0))/MAX(1,IFERROR(VLOOKUP(C73,Monsters!$T$4:$AH$15,6,FALSE),0)),1)))*(IFERROR(VLOOKUP(C73,Monsters!$T$4:$AH$15,7,FALSE),0))*0.5*(1+0.1*AH72),0)+IF(AND((E73="OK"),B73="Fight boss",(IF((((105/'Rules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Formulas'!B12)),IFERROR(VLOOKUP(C73,Monsters!$T$4:$AH$15,3,FALSE),0),0)-IF(AND((E73="OK"),OR(B73="Buy upgrade",B73="Forge/Scrapwork buy"),IFERROR(VLOOKUP(C73,Upgrades!$N$4:$T$47,2,FALSE),0)="gold"),IFERROR(FLOOR(IFERROR(VLOOKUP(C73,Upgrades!$N$4:$T$47,3,FALSE),0)*(IFERROR(VLOOKUP(C73,Upgrades!$N$4:$T$47,4,FALSE),0)^(COUNTIFS($B$3:$B72,"Buy upgrade",$C$3:$C72,C73)+COUNTIFS($B$3:$B72,"Hire hunter",$C$3:$C72,C73)+COUNTIFS($B$3:$B72,"Forge/Scrapwork buy",$C$3:$C72,C73))),1),0),0)-IF(AND((E73="OK"),B73="Hire hunter"),IF(C73="Briar",140,IF(C73="Quill",3650,IF(C73="Moss",4850,IF(C73="Ember",12200,0)))),0))</f>
        <v/>
      </c>
      <c r="I73" s="7">
        <f>IF(AND((E73="OK"),B73="Fight boss",(IF((((105/'Rules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Formulas'!B12)),0,MIN(IF(G72&lt;=1,120,IF(G72=2,280,600)),I72+IF(AND((E73="OK"),B73="Hunt"),((IF(B73="Hunt",(('Rules &amp; Formulas'!B4*N72*('Rules &amp; Formulas'!B5+O72)*IFERROR(VLOOKUP(C73,Monsters!$T$4:$AH$15,10,FALSE),0)*IFERROR(VLOOKUP(C73,Monsters!$T$4:$AH$15,9,FALSE),0))*'Rules &amp; Formulas'!B6)*IF(D73="",0,D73),0))*(IFERROR(VLOOKUP(C73,Monsters!$T$4:$AH$15,4,FALSE),0))+(IF(OR(B73&lt;&gt;"Hunt",IFERROR(VLOOKUP(C73,Monsters!$T$4:$AH$15,6,FALSE),0)=0),0,FLOOR((IF(B73="Hunt",(('Rules &amp; Formulas'!B4*N72*('Rules &amp; Formulas'!B5+O72)*IFERROR(VLOOKUP(C73,Monsters!$T$4:$AH$15,10,FALSE),0)*IFERROR(VLOOKUP(C73,Monsters!$T$4:$AH$15,9,FALSE),0))*'Rules &amp; Formulas'!B6)*IF(D73="",0,D73),0))/MAX(1,IFERROR(VLOOKUP(C73,Monsters!$T$4:$AH$15,6,FALSE),0)),1)))*(IFERROR(VLOOKUP(C73,Monsters!$T$4:$AH$15,7,FALSE),0))),0)+IF(AND((E73="OK"),B73="Go AFK"),((IF(B73="Go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AFK",IF(D73="",0,D73),0),Z72/60)*60)),0))*(IFERROR(VLOOKUP(C73,Monsters!$T$4:$AH$15,4,FALSE),0))+(IF(OR(B73&lt;&gt;"Go AFK",IFERROR(VLOOKUP(C73,Monsters!$T$4:$AH$15,6,FALSE),0)=0),0,FLOOR((IF(B73="Go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AFK",IF(D73="",0,D73),0),Z72/60)*60)),0))/MAX(1,IFERROR(VLOOKUP(C73,Monsters!$T$4:$AH$15,6,FALSE),0)),1)))*(IFERROR(VLOOKUP(C73,Monsters!$T$4:$AH$15,7,FALSE),0))),0)))</f>
        <v/>
      </c>
      <c r="J73" s="7">
        <f>MAX(0,J72+IF(AND((E73="OK"),B73="Hunt"),(IF(B73="Hunt",(('Rules &amp; Formulas'!B4*N72*('Rules &amp; Formulas'!B5+O72)*IFERROR(VLOOKUP(C73,Monsters!$T$4:$AH$15,10,FALSE),0)*IFERROR(VLOOKUP(C73,Monsters!$T$4:$AH$15,9,FALSE),0))*'Rules &amp; Formulas'!B6)*IF(D73="",0,D73),0))*(IFERROR(VLOOKUP(C73,Monsters!$T$4:$AH$15,5,FALSE),0)),0)+IF(AND((E73="OK"),B73="Go AFK"),(IF(B73="Go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AFK",IF(D73="",0,D73),0),Z72/60)*60)),0))*(IFERROR(VLOOKUP(C73,Monsters!$T$4:$AH$15,5,FALSE),0)),0)-IF(AND((E73="OK"),OR(B73="Buy upgrade",B73="Forge/Scrapwork buy"),IFERROR(VLOOKUP(C73,Upgrades!$N$4:$T$47,2,FALSE),0)="scraps"),IFERROR(FLOOR(IFERROR(VLOOKUP(C73,Upgrades!$N$4:$T$47,3,FALSE),0)*(IFERROR(VLOOKUP(C73,Upgrades!$N$4:$T$47,4,FALSE),0)^(COUNTIFS($B$3:$B72,"Buy upgrade",$C$3:$C72,C73)+COUNTIFS($B$3:$B72,"Hire hunter",$C$3:$C72,C73)+COUNTIFS($B$3:$B72,"Forge/Scrapwork buy",$C$3:$C72,C73))),1),0),0))</f>
        <v/>
      </c>
      <c r="K73" s="7">
        <f>MAX(0,K72+IF(AND((E73="OK"),B73="Hunt"),IF(C73="Thornpelt Bear",(IF(B73="Hunt",(('Rules &amp; Formulas'!B4*N72*('Rules &amp; Formulas'!B5+O72)*IFERROR(VLOOKUP(C73,Monsters!$T$4:$AH$15,10,FALSE),0)*IFERROR(VLOOKUP(C73,Monsters!$T$4:$AH$15,9,FALSE),0))*'Rules &amp; Formulas'!B6)*IF(D73="",0,D73),0))*0.12,0),0)+IF(AND((E73="OK"),B73="Go AFK"),IF(C73="Thornpelt Bear",(IF(B73="Go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AFK",IF(D73="",0,D73),0),Z72/60)*60)),0))*0.12,0),0))</f>
        <v/>
      </c>
      <c r="L73" s="7">
        <f>MAX(0,L72+IF(AND((E73="OK"),B73="Hunt"),IF(C73="Dire Thornpelt",(IF(B73="Hunt",(('Rules &amp; Formulas'!B4*N72*('Rules &amp; Formulas'!B5+O72)*IFERROR(VLOOKUP(C73,Monsters!$T$4:$AH$15,10,FALSE),0)*IFERROR(VLOOKUP(C73,Monsters!$T$4:$AH$15,9,FALSE),0))*'Rules &amp; Formulas'!B6)*IF(D73="",0,D73),0))*0.1,0),0)+IF(AND((E73="OK"),B73="Go AFK"),IF(C73="Dire Thornpelt",(IF(B73="Go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AFK",IF(D73="",0,D73),0),Z72/60)*60)),0))*0.1,0),0))</f>
        <v/>
      </c>
      <c r="M73" s="7">
        <f>IF(AND((E73="OK"),B73="Go AFK"),MAX(0,MIN(('Rules &amp; Formulas'!B15+25*AJ72),M72+('Rules &amp; Formulas'!B14+0.4*AJ72)*(MIN(IF(B73="Go AFK",IF(D73="",0,D73),0),Z72/60)*60))-(IF(B73="Go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AFK",IF(D73="",0,D73),0),Z72/60)*60)),0))*(IF((IFERROR(VLOOKUP(C73,Monsters!$T$4:$AH$15,8,FALSE),0))=0,0.35,IFERROR(VLOOKUP(C73,Monsters!$T$4:$AH$15,8,FALSE),0))/(1+0.08*AK72))),MIN(('Rules &amp; Formulas'!B15+25*AJ73),M72))</f>
        <v/>
      </c>
      <c r="N73" s="7">
        <f>(1+0.08+0.12*AA73+0.12*AB73+0.16*AC73)</f>
        <v/>
      </c>
      <c r="O73" s="7">
        <f>((AD73&gt;=1)*1*(1+0.3*AE73))</f>
        <v/>
      </c>
      <c r="P73" s="7">
        <f>IF(OR(B73="Hunt",B73="Go AFK"),(('Rules &amp; Formulas'!B4*N72*('Rules &amp; Formulas'!B5+O72)*IFERROR(VLOOKUP(C73,Monsters!$T$4:$AH$15,10,FALSE),0)*IFERROR(VLOOKUP(C73,Monsters!$T$4:$AH$15,9,FALSE),0))*'Rules &amp; Formulas'!B6),"")</f>
        <v/>
      </c>
      <c r="Q73" s="7">
        <f>IF(OR(B73="Hunt",B73="Go AFK"),('Rules &amp; Formulas'!B4*N72*('Rules &amp; Formulas'!B5+O72)*IFERROR(VLOOKUP(C73,Monsters!$T$4:$AH$15,10,FALSE),0)*IFERROR(VLOOKUP(C73,Monsters!$T$4:$AH$15,9,FALSE),0)),"")</f>
        <v/>
      </c>
      <c r="R73" s="7">
        <f>IF(AND((E73="OK"),B73="Hunt"),IF(B73="Hunt",(('Rules &amp; Formulas'!B4*N72*('Rules &amp; Formulas'!B5+O72)*IFERROR(VLOOKUP(C73,Monsters!$T$4:$AH$15,10,FALSE),0)*IFERROR(VLOOKUP(C73,Monsters!$T$4:$AH$15,9,FALSE),0))*'Rules &amp; Formulas'!B6)*IF(D73="",0,D73),0),IF(AND((E73="OK"),B73="Go AFK"),IF(B73="Go AFK",MIN(IF((IF((IFERROR(VLOOKUP(C73,Monsters!$T$4:$AH$15,8,FALSE),0))=0,0.35,IFERROR(VLOOKUP(C73,Monsters!$T$4:$AH$15,8,FALSE),0))/(1+0.08*AK72))&lt;=0,999999,FLOOR(MIN(('Rules &amp; Formulas'!B15+25*AJ72),M72+('Rules &amp; Formulas'!B14+0.4*AJ72)*(MIN(IF(B73="Go AFK",IF(D73="",0,D73),0),Z72/60)*60))/(IF((IFERROR(VLOOKUP(C73,Monsters!$T$4:$AH$15,8,FALSE),0))=0,0.35,IFERROR(VLOOKUP(C73,Monsters!$T$4:$AH$15,8,FALSE),0))/(1+0.08*AK72)),1)),('Rules &amp; Formulas'!B4*N72*('Rules &amp; Formulas'!B5+O72)*IFERROR(VLOOKUP(C73,Monsters!$T$4:$AH$15,10,FALSE),0)*IFERROR(VLOOKUP(C73,Monsters!$T$4:$AH$15,9,FALSE),0))*(MIN(IF(B73="Go AFK",IF(D73="",0,D73),0),Z72/60)*60)),0),0))</f>
        <v/>
      </c>
      <c r="S73" s="7">
        <f>(105/'Rules &amp; Formulas'!B10)*'Rules &amp; Formulas'!B11</f>
        <v/>
      </c>
      <c r="T73" s="7">
        <f>IF(AD72&gt;=1,(MAX(1,ROUND('Rules &amp; Formulas'!B18*(1+0.3*AE72)*(1+0.4*AF72),0)))*(1000/'Rules &amp; Formulas'!B19)*MIN(0.95,'Rules &amp; Formulas'!B20*SQRT(1+0.55*(AG72&gt;=1))),0)</f>
        <v/>
      </c>
      <c r="U73" s="7">
        <f>S73+T73</f>
        <v/>
      </c>
      <c r="V73" s="7">
        <f>IF(I72&gt;=IF((IFERROR(VLOOKUP(C73,Monsters!$T$4:$AH$15,15,FALSE),0))=0,120,IFERROR(VLOOKUP(C73,Monsters!$T$4:$AH$15,15,FALSE),0)),"YES","no")</f>
        <v/>
      </c>
      <c r="W73" s="7">
        <f>IF(AND(B73="Fight boss",E73="OK"),IF((((105/'Rules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Formulas'!B20*SQRT(1+0.55*(AG72&gt;=1))),0)))),"")</f>
        <v/>
      </c>
      <c r="X73" s="7">
        <f>IF(AND(B73="Fight boss",E73="OK"),IF((IF((((105/'Rules &amp; Formulas'!B10)*'Rules &amp; Formulas'!B11+IF(AD72&gt;=1,(MAX(1,ROUND('Rules &amp; Formulas'!B18*(1+0.3*AE72)*(1+0.4*AF72),0)))*(1000/'Rules &amp; Formulas'!B19)*MIN(0.95,'Rules &amp; Formulas'!B20*SQRT(1+0.55*(AG72&gt;=1))),0)))&lt;=0,9999,(IFERROR(VLOOKUP(C73,Monsters!$T$4:$AH$15,2,FALSE),0))/(((105/'Rules &amp; Formulas'!B10)*'Rules &amp; Formulas'!B11+IF(AD72&gt;=1,(MAX(1,ROUND('Rules &amp; Formulas'!B18*(1+0.3*AE72)*(1+0.4*AF72),0)))*(1000/'Rules &amp; Formulas'!B19)*MIN(0.95,'Rules &amp; Formulas'!B20*SQRT(1+0.55*(AG72&gt;=1))),0))))&lt;='Rules &amp; Formulas'!B12),"WIN","LOSE"),"")</f>
        <v/>
      </c>
      <c r="Y73" s="7">
        <f>IF(B73="Go AFK",MIN(IF(B73="Go AFK",IF(D73="",0,D73),0),Z72/60),"")</f>
        <v/>
      </c>
      <c r="Z73" s="7">
        <f>('Rules &amp; Formulas'!B13+30*AI73)</f>
        <v/>
      </c>
      <c r="AA73">
        <f>COUNTIFS($B$3:$B73,"Buy upgrade",$C$3:$C73,"Idle Power")</f>
        <v/>
      </c>
      <c r="AB73">
        <f>COUNTIFS($B$3:$B73,"Buy upgrade",$C$3:$C73,"Iron Blade")</f>
        <v/>
      </c>
      <c r="AC73">
        <f>COUNTIFS($B$3:$B73,"Buy upgrade",$C$3:$C73,"Steel Blade")</f>
        <v/>
      </c>
      <c r="AD73">
        <f>COUNTIFS($B$3:$B73,"Hire hunter",$C$3:$C73,"Briar")+COUNTIFS($B$3:$B73,"Buy upgrade",$C$3:$C73,"Hire Briar")</f>
        <v/>
      </c>
      <c r="AE73">
        <f>COUNTIFS($B$3:$B73,"Buy upgrade",$C$3:$C73,"Hunter Power")</f>
        <v/>
      </c>
      <c r="AF73">
        <f>COUNTIFS($B$3:$B73,"Buy upgrade",$C$3:$C73,"Bigger Hits")</f>
        <v/>
      </c>
      <c r="AG73">
        <f>COUNTIFS($B$3:$B73,"Buy upgrade",$C$3:$C73,"Swift Walk")</f>
        <v/>
      </c>
      <c r="AH73">
        <f>COUNTIFS($B$3:$B73,"Buy upgrade",$C$3:$C73,"Loot Luck")</f>
        <v/>
      </c>
      <c r="AI73">
        <f>COUNTIFS($B$3:$B73,"Buy upgrade",$C$3:$C73,"Offline Cap")</f>
        <v/>
      </c>
      <c r="AJ73">
        <f>COUNTIFS($B$3:$B73,"Buy upgrade",$C$3:$C73,"Bigger Food Stock")</f>
        <v/>
      </c>
      <c r="AK73">
        <f>COUNTIFS($B$3:$B73,"Buy upgrade",$C$3:$C73,"Food Efficiency")</f>
        <v/>
      </c>
    </row>
    <row r="74">
      <c r="A74" t="n">
        <v>72</v>
      </c>
      <c r="B74" s="6" t="n"/>
      <c r="C74" s="6" t="n"/>
      <c r="D74" s="6" t="n"/>
      <c r="E74" s="7">
        <f>IF(B74="","",IF(OR(B74="Hunt",B74="Go AFK"),IF(C74="","Can't","OK"),IF(B74="Fight boss",IF(I73&lt;IF((IFERROR(VLOOKUP(C74,Monsters!$T$4:$AH$15,15,FALSE),0))=0,120,IFERROR(VLOOKUP(C74,Monsters!$T$4:$AH$15,15,FALSE),0)),"Can't","OK"),IF(B74="Hire hunter",IF(AND(C74="Briar",AD73&gt;=1),"Can't",IF(H73&lt;IF(C74="Briar",140,IF(C74="Quill",3650,IF(C74="Moss",4850,IF(C74="Ember",12200,0)))),"Can't","OK")),IF(OR(B74="Buy upgrade",B74="Forge/Scrapwork buy"),IF(IFERROR(VLOOKUP(C74,Upgrades!$N$4:$T$47,2,FALSE),0)="points","Can't",IF(IFERROR(VLOOKUP(C74,Upgrades!$N$4:$T$47,2,FALSE),0)="gold",IF(H73&lt;IFERROR(FLOOR(IFERROR(VLOOKUP(C74,Upgrades!$N$4:$T$47,3,FALSE),0)*(IFERROR(VLOOKUP(C74,Upgrades!$N$4:$T$47,4,FALSE),0)^(COUNTIFS($B$3:$B73,"Buy upgrade",$C$3:$C73,C74)+COUNTIFS($B$3:$B73,"Hire hunter",$C$3:$C73,C74)+COUNTIFS($B$3:$B73,"Forge/Scrapwork buy",$C$3:$C73,C74))),1),0),"Can't","OK"),IF(IFERROR(VLOOKUP(C74,Upgrades!$N$4:$T$47,2,FALSE),0)="scraps",IF(J73&lt;IFERROR(FLOOR(IFERROR(VLOOKUP(C74,Upgrades!$N$4:$T$47,3,FALSE),0)*(IFERROR(VLOOKUP(C74,Upgrades!$N$4:$T$47,4,FALSE),0)^(COUNTIFS($B$3:$B73,"Buy upgrade",$C$3:$C73,C74)+COUNTIFS($B$3:$B73,"Hire hunter",$C$3:$C73,C74)+COUNTIFS($B$3:$B73,"Forge/Scrapwork buy",$C$3:$C73,C74))),1),0),"Can't","OK"),IF(IFERROR(VLOOKUP(C74,Upgrades!$N$4:$T$47,2,FALSE),0)="mats","Can't","OK")))),"Check")))))</f>
        <v/>
      </c>
      <c r="F74" s="7">
        <f>IF(B74="","",IF(AND(B74="Fight boss",I73&lt;IF((IFERROR(VLOOKUP(C74,Monsters!$T$4:$AH$15,15,FALSE),0))=0,120,IFERROR(VLOOKUP(C74,Monsters!$T$4:$AH$15,15,FALSE),0))),"Can't — need "&amp;TEXT(IF((IFERROR(VLOOKUP(C74,Monsters!$T$4:$AH$15,15,FALSE),0))=0,120,IFERROR(VLOOKUP(C74,Monsters!$T$4:$AH$15,15,FALSE),0))-I73,"0.0")&amp;" more Slayer points on the meter",IF(AND(B74="Hire hunter",C74="Briar",AD73&gt;=1),"Can't — already hired",IF(AND(B74="Hire hunter",H73&lt;IF(C74="Briar",140,IF(C74="Quill",3650,IF(C74="Moss",4850,IF(C74="Ember",12200,0))))),"Can't — need "&amp;TEXT(IF(C74="Briar",140,IF(C74="Quill",3650,IF(C74="Moss",4850,IF(C74="Ember",12200,0))))-H73,"0")&amp;" more gold",IF(AND(OR(B74="Buy upgrade",B74="Forge/Scrapwork buy"),IFERROR(VLOOKUP(C74,Upgrades!$N$4:$T$47,2,FALSE),0)="points"),"Can't — Sp-wallet spends not tracked here",IF(AND(OR(B74="Buy upgrade",B74="Forge/Scrapwork buy"),IFERROR(VLOOKUP(C74,Upgrades!$N$4:$T$47,2,FALSE),0)="gold",H73&lt;IFERROR(FLOOR(IFERROR(VLOOKUP(C74,Upgrades!$N$4:$T$47,3,FALSE),0)*(IFERROR(VLOOKUP(C74,Upgrades!$N$4:$T$47,4,FALSE),0)^(COUNTIFS($B$3:$B73,"Buy upgrade",$C$3:$C73,C74)+COUNTIFS($B$3:$B73,"Hire hunter",$C$3:$C73,C74)+COUNTIFS($B$3:$B73,"Forge/Scrapwork buy",$C$3:$C73,C74))),1),0)),"Can't — need "&amp;TEXT(IFERROR(FLOOR(IFERROR(VLOOKUP(C74,Upgrades!$N$4:$T$47,3,FALSE),0)*(IFERROR(VLOOKUP(C74,Upgrades!$N$4:$T$47,4,FALSE),0)^(COUNTIFS($B$3:$B73,"Buy upgrade",$C$3:$C73,C74)+COUNTIFS($B$3:$B73,"Hire hunter",$C$3:$C73,C74)+COUNTIFS($B$3:$B73,"Forge/Scrapwork buy",$C$3:$C73,C74))),1),0)-H73,"0")&amp;" more gold",IF(AND(OR(B74="Buy upgrade",B74="Forge/Scrapwork buy"),IFERROR(VLOOKUP(C74,Upgrades!$N$4:$T$47,2,FALSE),0)="scraps",J73&lt;IFERROR(FLOOR(IFERROR(VLOOKUP(C74,Upgrades!$N$4:$T$47,3,FALSE),0)*(IFERROR(VLOOKUP(C74,Upgrades!$N$4:$T$47,4,FALSE),0)^(COUNTIFS($B$3:$B73,"Buy upgrade",$C$3:$C73,C74)+COUNTIFS($B$3:$B73,"Hire hunter",$C$3:$C73,C74)+COUNTIFS($B$3:$B73,"Forge/Scrapwork buy",$C$3:$C73,C74))),1),0)),"Can't — need "&amp;TEXT(IFERROR(FLOOR(IFERROR(VLOOKUP(C74,Upgrades!$N$4:$T$47,3,FALSE),0)*(IFERROR(VLOOKUP(C74,Upgrades!$N$4:$T$47,4,FALSE),0)^(COUNTIFS($B$3:$B73,"Buy upgrade",$C$3:$C73,C74)+COUNTIFS($B$3:$B73,"Hire hunter",$C$3:$C73,C74)+COUNTIFS($B$3:$B73,"Forge/Scrapwork buy",$C$3:$C73,C74))),1),0)-J73,"0")&amp;" more scraps",IF(AND(B74="Fight boss",E74="OK",(IF((((105/'Rules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Formulas'!B12)),"WIN — boss down, next Level unlocks",IF(AND(B74="Fight boss",E74="OK"),"LOSE — TTK "&amp;TEXT(IF((((105/'Rules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Formulas'!B20*SQRT(1+0.55*(AG73&gt;=1))),0)))),"0")&amp;"s &gt; patience "&amp;TEXT('Rules &amp; Formulas'!B12,"0")&amp;"s (leave resets HP)",IF(B74="Go AFK","AFK resolved (see AFK counted h)","Applied")))))))))</f>
        <v/>
      </c>
      <c r="G74" s="7">
        <f>IF(AND((E74="OK"),B74="Fight boss",(IF((((105/'Rules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Formulas'!B12),C74="Elder Thornpelt"),2,IF(AND((E74="OK"),B74="Fight boss",(IF((((105/'Rules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Formulas'!B12),C74="Ashfang Alpha"),3,G73))</f>
        <v/>
      </c>
      <c r="H74" s="7">
        <f>MAX(0,H73+IF(AND((E74="OK"),B74="Hunt"),(IF(B74="Hunt",(('Rules &amp; Formulas'!B4*N73*('Rules &amp; Formulas'!B5+O73)*IFERROR(VLOOKUP(C74,Monsters!$T$4:$AH$15,10,FALSE),0)*IFERROR(VLOOKUP(C74,Monsters!$T$4:$AH$15,9,FALSE),0))*'Rules &amp; Formulas'!B6)*IF(D74="",0,D74),0))*(IFERROR(VLOOKUP(C74,Monsters!$T$4:$AH$15,3,FALSE),0))*(1+0.1*AH73)+(IF(OR(B74&lt;&gt;"Hunt",IFERROR(VLOOKUP(C74,Monsters!$T$4:$AH$15,6,FALSE),0)=0),0,FLOOR((IF(B74="Hunt",(('Rules &amp; Formulas'!B4*N73*('Rules &amp; Formulas'!B5+O73)*IFERROR(VLOOKUP(C74,Monsters!$T$4:$AH$15,10,FALSE),0)*IFERROR(VLOOKUP(C74,Monsters!$T$4:$AH$15,9,FALSE),0))*'Rules &amp; Formulas'!B6)*IF(D74="",0,D74),0))/MAX(1,IFERROR(VLOOKUP(C74,Monsters!$T$4:$AH$15,6,FALSE),0)),1)))*(IFERROR(VLOOKUP(C74,Monsters!$T$4:$AH$15,7,FALSE),0))*0.5*(1+0.1*AH73),0)+IF(AND((E74="OK"),B74="Go AFK"),(IF(B74="Go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AFK",IF(D74="",0,D74),0),Z73/60)*60)),0))*(IFERROR(VLOOKUP(C74,Monsters!$T$4:$AH$15,3,FALSE),0))*(1+0.1*AH73)+(IF(OR(B74&lt;&gt;"Go AFK",IFERROR(VLOOKUP(C74,Monsters!$T$4:$AH$15,6,FALSE),0)=0),0,FLOOR((IF(B74="Go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AFK",IF(D74="",0,D74),0),Z73/60)*60)),0))/MAX(1,IFERROR(VLOOKUP(C74,Monsters!$T$4:$AH$15,6,FALSE),0)),1)))*(IFERROR(VLOOKUP(C74,Monsters!$T$4:$AH$15,7,FALSE),0))*0.5*(1+0.1*AH73),0)+IF(AND((E74="OK"),B74="Fight boss",(IF((((105/'Rules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Formulas'!B12)),IFERROR(VLOOKUP(C74,Monsters!$T$4:$AH$15,3,FALSE),0),0)-IF(AND((E74="OK"),OR(B74="Buy upgrade",B74="Forge/Scrapwork buy"),IFERROR(VLOOKUP(C74,Upgrades!$N$4:$T$47,2,FALSE),0)="gold"),IFERROR(FLOOR(IFERROR(VLOOKUP(C74,Upgrades!$N$4:$T$47,3,FALSE),0)*(IFERROR(VLOOKUP(C74,Upgrades!$N$4:$T$47,4,FALSE),0)^(COUNTIFS($B$3:$B73,"Buy upgrade",$C$3:$C73,C74)+COUNTIFS($B$3:$B73,"Hire hunter",$C$3:$C73,C74)+COUNTIFS($B$3:$B73,"Forge/Scrapwork buy",$C$3:$C73,C74))),1),0),0)-IF(AND((E74="OK"),B74="Hire hunter"),IF(C74="Briar",140,IF(C74="Quill",3650,IF(C74="Moss",4850,IF(C74="Ember",12200,0)))),0))</f>
        <v/>
      </c>
      <c r="I74" s="7">
        <f>IF(AND((E74="OK"),B74="Fight boss",(IF((((105/'Rules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Formulas'!B12)),0,MIN(IF(G73&lt;=1,120,IF(G73=2,280,600)),I73+IF(AND((E74="OK"),B74="Hunt"),((IF(B74="Hunt",(('Rules &amp; Formulas'!B4*N73*('Rules &amp; Formulas'!B5+O73)*IFERROR(VLOOKUP(C74,Monsters!$T$4:$AH$15,10,FALSE),0)*IFERROR(VLOOKUP(C74,Monsters!$T$4:$AH$15,9,FALSE),0))*'Rules &amp; Formulas'!B6)*IF(D74="",0,D74),0))*(IFERROR(VLOOKUP(C74,Monsters!$T$4:$AH$15,4,FALSE),0))+(IF(OR(B74&lt;&gt;"Hunt",IFERROR(VLOOKUP(C74,Monsters!$T$4:$AH$15,6,FALSE),0)=0),0,FLOOR((IF(B74="Hunt",(('Rules &amp; Formulas'!B4*N73*('Rules &amp; Formulas'!B5+O73)*IFERROR(VLOOKUP(C74,Monsters!$T$4:$AH$15,10,FALSE),0)*IFERROR(VLOOKUP(C74,Monsters!$T$4:$AH$15,9,FALSE),0))*'Rules &amp; Formulas'!B6)*IF(D74="",0,D74),0))/MAX(1,IFERROR(VLOOKUP(C74,Monsters!$T$4:$AH$15,6,FALSE),0)),1)))*(IFERROR(VLOOKUP(C74,Monsters!$T$4:$AH$15,7,FALSE),0))),0)+IF(AND((E74="OK"),B74="Go AFK"),((IF(B74="Go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AFK",IF(D74="",0,D74),0),Z73/60)*60)),0))*(IFERROR(VLOOKUP(C74,Monsters!$T$4:$AH$15,4,FALSE),0))+(IF(OR(B74&lt;&gt;"Go AFK",IFERROR(VLOOKUP(C74,Monsters!$T$4:$AH$15,6,FALSE),0)=0),0,FLOOR((IF(B74="Go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AFK",IF(D74="",0,D74),0),Z73/60)*60)),0))/MAX(1,IFERROR(VLOOKUP(C74,Monsters!$T$4:$AH$15,6,FALSE),0)),1)))*(IFERROR(VLOOKUP(C74,Monsters!$T$4:$AH$15,7,FALSE),0))),0)))</f>
        <v/>
      </c>
      <c r="J74" s="7">
        <f>MAX(0,J73+IF(AND((E74="OK"),B74="Hunt"),(IF(B74="Hunt",(('Rules &amp; Formulas'!B4*N73*('Rules &amp; Formulas'!B5+O73)*IFERROR(VLOOKUP(C74,Monsters!$T$4:$AH$15,10,FALSE),0)*IFERROR(VLOOKUP(C74,Monsters!$T$4:$AH$15,9,FALSE),0))*'Rules &amp; Formulas'!B6)*IF(D74="",0,D74),0))*(IFERROR(VLOOKUP(C74,Monsters!$T$4:$AH$15,5,FALSE),0)),0)+IF(AND((E74="OK"),B74="Go AFK"),(IF(B74="Go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AFK",IF(D74="",0,D74),0),Z73/60)*60)),0))*(IFERROR(VLOOKUP(C74,Monsters!$T$4:$AH$15,5,FALSE),0)),0)-IF(AND((E74="OK"),OR(B74="Buy upgrade",B74="Forge/Scrapwork buy"),IFERROR(VLOOKUP(C74,Upgrades!$N$4:$T$47,2,FALSE),0)="scraps"),IFERROR(FLOOR(IFERROR(VLOOKUP(C74,Upgrades!$N$4:$T$47,3,FALSE),0)*(IFERROR(VLOOKUP(C74,Upgrades!$N$4:$T$47,4,FALSE),0)^(COUNTIFS($B$3:$B73,"Buy upgrade",$C$3:$C73,C74)+COUNTIFS($B$3:$B73,"Hire hunter",$C$3:$C73,C74)+COUNTIFS($B$3:$B73,"Forge/Scrapwork buy",$C$3:$C73,C74))),1),0),0))</f>
        <v/>
      </c>
      <c r="K74" s="7">
        <f>MAX(0,K73+IF(AND((E74="OK"),B74="Hunt"),IF(C74="Thornpelt Bear",(IF(B74="Hunt",(('Rules &amp; Formulas'!B4*N73*('Rules &amp; Formulas'!B5+O73)*IFERROR(VLOOKUP(C74,Monsters!$T$4:$AH$15,10,FALSE),0)*IFERROR(VLOOKUP(C74,Monsters!$T$4:$AH$15,9,FALSE),0))*'Rules &amp; Formulas'!B6)*IF(D74="",0,D74),0))*0.12,0),0)+IF(AND((E74="OK"),B74="Go AFK"),IF(C74="Thornpelt Bear",(IF(B74="Go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AFK",IF(D74="",0,D74),0),Z73/60)*60)),0))*0.12,0),0))</f>
        <v/>
      </c>
      <c r="L74" s="7">
        <f>MAX(0,L73+IF(AND((E74="OK"),B74="Hunt"),IF(C74="Dire Thornpelt",(IF(B74="Hunt",(('Rules &amp; Formulas'!B4*N73*('Rules &amp; Formulas'!B5+O73)*IFERROR(VLOOKUP(C74,Monsters!$T$4:$AH$15,10,FALSE),0)*IFERROR(VLOOKUP(C74,Monsters!$T$4:$AH$15,9,FALSE),0))*'Rules &amp; Formulas'!B6)*IF(D74="",0,D74),0))*0.1,0),0)+IF(AND((E74="OK"),B74="Go AFK"),IF(C74="Dire Thornpelt",(IF(B74="Go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AFK",IF(D74="",0,D74),0),Z73/60)*60)),0))*0.1,0),0))</f>
        <v/>
      </c>
      <c r="M74" s="7">
        <f>IF(AND((E74="OK"),B74="Go AFK"),MAX(0,MIN(('Rules &amp; Formulas'!B15+25*AJ73),M73+('Rules &amp; Formulas'!B14+0.4*AJ73)*(MIN(IF(B74="Go AFK",IF(D74="",0,D74),0),Z73/60)*60))-(IF(B74="Go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AFK",IF(D74="",0,D74),0),Z73/60)*60)),0))*(IF((IFERROR(VLOOKUP(C74,Monsters!$T$4:$AH$15,8,FALSE),0))=0,0.35,IFERROR(VLOOKUP(C74,Monsters!$T$4:$AH$15,8,FALSE),0))/(1+0.08*AK73))),MIN(('Rules &amp; Formulas'!B15+25*AJ74),M73))</f>
        <v/>
      </c>
      <c r="N74" s="7">
        <f>(1+0.08+0.12*AA74+0.12*AB74+0.16*AC74)</f>
        <v/>
      </c>
      <c r="O74" s="7">
        <f>((AD74&gt;=1)*1*(1+0.3*AE74))</f>
        <v/>
      </c>
      <c r="P74" s="7">
        <f>IF(OR(B74="Hunt",B74="Go AFK"),(('Rules &amp; Formulas'!B4*N73*('Rules &amp; Formulas'!B5+O73)*IFERROR(VLOOKUP(C74,Monsters!$T$4:$AH$15,10,FALSE),0)*IFERROR(VLOOKUP(C74,Monsters!$T$4:$AH$15,9,FALSE),0))*'Rules &amp; Formulas'!B6),"")</f>
        <v/>
      </c>
      <c r="Q74" s="7">
        <f>IF(OR(B74="Hunt",B74="Go AFK"),('Rules &amp; Formulas'!B4*N73*('Rules &amp; Formulas'!B5+O73)*IFERROR(VLOOKUP(C74,Monsters!$T$4:$AH$15,10,FALSE),0)*IFERROR(VLOOKUP(C74,Monsters!$T$4:$AH$15,9,FALSE),0)),"")</f>
        <v/>
      </c>
      <c r="R74" s="7">
        <f>IF(AND((E74="OK"),B74="Hunt"),IF(B74="Hunt",(('Rules &amp; Formulas'!B4*N73*('Rules &amp; Formulas'!B5+O73)*IFERROR(VLOOKUP(C74,Monsters!$T$4:$AH$15,10,FALSE),0)*IFERROR(VLOOKUP(C74,Monsters!$T$4:$AH$15,9,FALSE),0))*'Rules &amp; Formulas'!B6)*IF(D74="",0,D74),0),IF(AND((E74="OK"),B74="Go AFK"),IF(B74="Go AFK",MIN(IF((IF((IFERROR(VLOOKUP(C74,Monsters!$T$4:$AH$15,8,FALSE),0))=0,0.35,IFERROR(VLOOKUP(C74,Monsters!$T$4:$AH$15,8,FALSE),0))/(1+0.08*AK73))&lt;=0,999999,FLOOR(MIN(('Rules &amp; Formulas'!B15+25*AJ73),M73+('Rules &amp; Formulas'!B14+0.4*AJ73)*(MIN(IF(B74="Go AFK",IF(D74="",0,D74),0),Z73/60)*60))/(IF((IFERROR(VLOOKUP(C74,Monsters!$T$4:$AH$15,8,FALSE),0))=0,0.35,IFERROR(VLOOKUP(C74,Monsters!$T$4:$AH$15,8,FALSE),0))/(1+0.08*AK73)),1)),('Rules &amp; Formulas'!B4*N73*('Rules &amp; Formulas'!B5+O73)*IFERROR(VLOOKUP(C74,Monsters!$T$4:$AH$15,10,FALSE),0)*IFERROR(VLOOKUP(C74,Monsters!$T$4:$AH$15,9,FALSE),0))*(MIN(IF(B74="Go AFK",IF(D74="",0,D74),0),Z73/60)*60)),0),0))</f>
        <v/>
      </c>
      <c r="S74" s="7">
        <f>(105/'Rules &amp; Formulas'!B10)*'Rules &amp; Formulas'!B11</f>
        <v/>
      </c>
      <c r="T74" s="7">
        <f>IF(AD73&gt;=1,(MAX(1,ROUND('Rules &amp; Formulas'!B18*(1+0.3*AE73)*(1+0.4*AF73),0)))*(1000/'Rules &amp; Formulas'!B19)*MIN(0.95,'Rules &amp; Formulas'!B20*SQRT(1+0.55*(AG73&gt;=1))),0)</f>
        <v/>
      </c>
      <c r="U74" s="7">
        <f>S74+T74</f>
        <v/>
      </c>
      <c r="V74" s="7">
        <f>IF(I73&gt;=IF((IFERROR(VLOOKUP(C74,Monsters!$T$4:$AH$15,15,FALSE),0))=0,120,IFERROR(VLOOKUP(C74,Monsters!$T$4:$AH$15,15,FALSE),0)),"YES","no")</f>
        <v/>
      </c>
      <c r="W74" s="7">
        <f>IF(AND(B74="Fight boss",E74="OK"),IF((((105/'Rules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Formulas'!B20*SQRT(1+0.55*(AG73&gt;=1))),0)))),"")</f>
        <v/>
      </c>
      <c r="X74" s="7">
        <f>IF(AND(B74="Fight boss",E74="OK"),IF((IF((((105/'Rules &amp; Formulas'!B10)*'Rules &amp; Formulas'!B11+IF(AD73&gt;=1,(MAX(1,ROUND('Rules &amp; Formulas'!B18*(1+0.3*AE73)*(1+0.4*AF73),0)))*(1000/'Rules &amp; Formulas'!B19)*MIN(0.95,'Rules &amp; Formulas'!B20*SQRT(1+0.55*(AG73&gt;=1))),0)))&lt;=0,9999,(IFERROR(VLOOKUP(C74,Monsters!$T$4:$AH$15,2,FALSE),0))/(((105/'Rules &amp; Formulas'!B10)*'Rules &amp; Formulas'!B11+IF(AD73&gt;=1,(MAX(1,ROUND('Rules &amp; Formulas'!B18*(1+0.3*AE73)*(1+0.4*AF73),0)))*(1000/'Rules &amp; Formulas'!B19)*MIN(0.95,'Rules &amp; Formulas'!B20*SQRT(1+0.55*(AG73&gt;=1))),0))))&lt;='Rules &amp; Formulas'!B12),"WIN","LOSE"),"")</f>
        <v/>
      </c>
      <c r="Y74" s="7">
        <f>IF(B74="Go AFK",MIN(IF(B74="Go AFK",IF(D74="",0,D74),0),Z73/60),"")</f>
        <v/>
      </c>
      <c r="Z74" s="7">
        <f>('Rules &amp; Formulas'!B13+30*AI74)</f>
        <v/>
      </c>
      <c r="AA74">
        <f>COUNTIFS($B$3:$B74,"Buy upgrade",$C$3:$C74,"Idle Power")</f>
        <v/>
      </c>
      <c r="AB74">
        <f>COUNTIFS($B$3:$B74,"Buy upgrade",$C$3:$C74,"Iron Blade")</f>
        <v/>
      </c>
      <c r="AC74">
        <f>COUNTIFS($B$3:$B74,"Buy upgrade",$C$3:$C74,"Steel Blade")</f>
        <v/>
      </c>
      <c r="AD74">
        <f>COUNTIFS($B$3:$B74,"Hire hunter",$C$3:$C74,"Briar")+COUNTIFS($B$3:$B74,"Buy upgrade",$C$3:$C74,"Hire Briar")</f>
        <v/>
      </c>
      <c r="AE74">
        <f>COUNTIFS($B$3:$B74,"Buy upgrade",$C$3:$C74,"Hunter Power")</f>
        <v/>
      </c>
      <c r="AF74">
        <f>COUNTIFS($B$3:$B74,"Buy upgrade",$C$3:$C74,"Bigger Hits")</f>
        <v/>
      </c>
      <c r="AG74">
        <f>COUNTIFS($B$3:$B74,"Buy upgrade",$C$3:$C74,"Swift Walk")</f>
        <v/>
      </c>
      <c r="AH74">
        <f>COUNTIFS($B$3:$B74,"Buy upgrade",$C$3:$C74,"Loot Luck")</f>
        <v/>
      </c>
      <c r="AI74">
        <f>COUNTIFS($B$3:$B74,"Buy upgrade",$C$3:$C74,"Offline Cap")</f>
        <v/>
      </c>
      <c r="AJ74">
        <f>COUNTIFS($B$3:$B74,"Buy upgrade",$C$3:$C74,"Bigger Food Stock")</f>
        <v/>
      </c>
      <c r="AK74">
        <f>COUNTIFS($B$3:$B74,"Buy upgrade",$C$3:$C74,"Food Efficiency")</f>
        <v/>
      </c>
    </row>
    <row r="75">
      <c r="A75" t="n">
        <v>73</v>
      </c>
      <c r="B75" s="6" t="n"/>
      <c r="C75" s="6" t="n"/>
      <c r="D75" s="6" t="n"/>
      <c r="E75" s="7">
        <f>IF(B75="","",IF(OR(B75="Hunt",B75="Go AFK"),IF(C75="","Can't","OK"),IF(B75="Fight boss",IF(I74&lt;IF((IFERROR(VLOOKUP(C75,Monsters!$T$4:$AH$15,15,FALSE),0))=0,120,IFERROR(VLOOKUP(C75,Monsters!$T$4:$AH$15,15,FALSE),0)),"Can't","OK"),IF(B75="Hire hunter",IF(AND(C75="Briar",AD74&gt;=1),"Can't",IF(H74&lt;IF(C75="Briar",140,IF(C75="Quill",3650,IF(C75="Moss",4850,IF(C75="Ember",12200,0)))),"Can't","OK")),IF(OR(B75="Buy upgrade",B75="Forge/Scrapwork buy"),IF(IFERROR(VLOOKUP(C75,Upgrades!$N$4:$T$47,2,FALSE),0)="points","Can't",IF(IFERROR(VLOOKUP(C75,Upgrades!$N$4:$T$47,2,FALSE),0)="gold",IF(H74&lt;IFERROR(FLOOR(IFERROR(VLOOKUP(C75,Upgrades!$N$4:$T$47,3,FALSE),0)*(IFERROR(VLOOKUP(C75,Upgrades!$N$4:$T$47,4,FALSE),0)^(COUNTIFS($B$3:$B74,"Buy upgrade",$C$3:$C74,C75)+COUNTIFS($B$3:$B74,"Hire hunter",$C$3:$C74,C75)+COUNTIFS($B$3:$B74,"Forge/Scrapwork buy",$C$3:$C74,C75))),1),0),"Can't","OK"),IF(IFERROR(VLOOKUP(C75,Upgrades!$N$4:$T$47,2,FALSE),0)="scraps",IF(J74&lt;IFERROR(FLOOR(IFERROR(VLOOKUP(C75,Upgrades!$N$4:$T$47,3,FALSE),0)*(IFERROR(VLOOKUP(C75,Upgrades!$N$4:$T$47,4,FALSE),0)^(COUNTIFS($B$3:$B74,"Buy upgrade",$C$3:$C74,C75)+COUNTIFS($B$3:$B74,"Hire hunter",$C$3:$C74,C75)+COUNTIFS($B$3:$B74,"Forge/Scrapwork buy",$C$3:$C74,C75))),1),0),"Can't","OK"),IF(IFERROR(VLOOKUP(C75,Upgrades!$N$4:$T$47,2,FALSE),0)="mats","Can't","OK")))),"Check")))))</f>
        <v/>
      </c>
      <c r="F75" s="7">
        <f>IF(B75="","",IF(AND(B75="Fight boss",I74&lt;IF((IFERROR(VLOOKUP(C75,Monsters!$T$4:$AH$15,15,FALSE),0))=0,120,IFERROR(VLOOKUP(C75,Monsters!$T$4:$AH$15,15,FALSE),0))),"Can't — need "&amp;TEXT(IF((IFERROR(VLOOKUP(C75,Monsters!$T$4:$AH$15,15,FALSE),0))=0,120,IFERROR(VLOOKUP(C75,Monsters!$T$4:$AH$15,15,FALSE),0))-I74,"0.0")&amp;" more Slayer points on the meter",IF(AND(B75="Hire hunter",C75="Briar",AD74&gt;=1),"Can't — already hired",IF(AND(B75="Hire hunter",H74&lt;IF(C75="Briar",140,IF(C75="Quill",3650,IF(C75="Moss",4850,IF(C75="Ember",12200,0))))),"Can't — need "&amp;TEXT(IF(C75="Briar",140,IF(C75="Quill",3650,IF(C75="Moss",4850,IF(C75="Ember",12200,0))))-H74,"0")&amp;" more gold",IF(AND(OR(B75="Buy upgrade",B75="Forge/Scrapwork buy"),IFERROR(VLOOKUP(C75,Upgrades!$N$4:$T$47,2,FALSE),0)="points"),"Can't — Sp-wallet spends not tracked here",IF(AND(OR(B75="Buy upgrade",B75="Forge/Scrapwork buy"),IFERROR(VLOOKUP(C75,Upgrades!$N$4:$T$47,2,FALSE),0)="gold",H74&lt;IFERROR(FLOOR(IFERROR(VLOOKUP(C75,Upgrades!$N$4:$T$47,3,FALSE),0)*(IFERROR(VLOOKUP(C75,Upgrades!$N$4:$T$47,4,FALSE),0)^(COUNTIFS($B$3:$B74,"Buy upgrade",$C$3:$C74,C75)+COUNTIFS($B$3:$B74,"Hire hunter",$C$3:$C74,C75)+COUNTIFS($B$3:$B74,"Forge/Scrapwork buy",$C$3:$C74,C75))),1),0)),"Can't — need "&amp;TEXT(IFERROR(FLOOR(IFERROR(VLOOKUP(C75,Upgrades!$N$4:$T$47,3,FALSE),0)*(IFERROR(VLOOKUP(C75,Upgrades!$N$4:$T$47,4,FALSE),0)^(COUNTIFS($B$3:$B74,"Buy upgrade",$C$3:$C74,C75)+COUNTIFS($B$3:$B74,"Hire hunter",$C$3:$C74,C75)+COUNTIFS($B$3:$B74,"Forge/Scrapwork buy",$C$3:$C74,C75))),1),0)-H74,"0")&amp;" more gold",IF(AND(OR(B75="Buy upgrade",B75="Forge/Scrapwork buy"),IFERROR(VLOOKUP(C75,Upgrades!$N$4:$T$47,2,FALSE),0)="scraps",J74&lt;IFERROR(FLOOR(IFERROR(VLOOKUP(C75,Upgrades!$N$4:$T$47,3,FALSE),0)*(IFERROR(VLOOKUP(C75,Upgrades!$N$4:$T$47,4,FALSE),0)^(COUNTIFS($B$3:$B74,"Buy upgrade",$C$3:$C74,C75)+COUNTIFS($B$3:$B74,"Hire hunter",$C$3:$C74,C75)+COUNTIFS($B$3:$B74,"Forge/Scrapwork buy",$C$3:$C74,C75))),1),0)),"Can't — need "&amp;TEXT(IFERROR(FLOOR(IFERROR(VLOOKUP(C75,Upgrades!$N$4:$T$47,3,FALSE),0)*(IFERROR(VLOOKUP(C75,Upgrades!$N$4:$T$47,4,FALSE),0)^(COUNTIFS($B$3:$B74,"Buy upgrade",$C$3:$C74,C75)+COUNTIFS($B$3:$B74,"Hire hunter",$C$3:$C74,C75)+COUNTIFS($B$3:$B74,"Forge/Scrapwork buy",$C$3:$C74,C75))),1),0)-J74,"0")&amp;" more scraps",IF(AND(B75="Fight boss",E75="OK",(IF((((105/'Rules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Formulas'!B12)),"WIN — boss down, next Level unlocks",IF(AND(B75="Fight boss",E75="OK"),"LOSE — TTK "&amp;TEXT(IF((((105/'Rules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Formulas'!B20*SQRT(1+0.55*(AG74&gt;=1))),0)))),"0")&amp;"s &gt; patience "&amp;TEXT('Rules &amp; Formulas'!B12,"0")&amp;"s (leave resets HP)",IF(B75="Go AFK","AFK resolved (see AFK counted h)","Applied")))))))))</f>
        <v/>
      </c>
      <c r="G75" s="7">
        <f>IF(AND((E75="OK"),B75="Fight boss",(IF((((105/'Rules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Formulas'!B12),C75="Elder Thornpelt"),2,IF(AND((E75="OK"),B75="Fight boss",(IF((((105/'Rules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Formulas'!B12),C75="Ashfang Alpha"),3,G74))</f>
        <v/>
      </c>
      <c r="H75" s="7">
        <f>MAX(0,H74+IF(AND((E75="OK"),B75="Hunt"),(IF(B75="Hunt",(('Rules &amp; Formulas'!B4*N74*('Rules &amp; Formulas'!B5+O74)*IFERROR(VLOOKUP(C75,Monsters!$T$4:$AH$15,10,FALSE),0)*IFERROR(VLOOKUP(C75,Monsters!$T$4:$AH$15,9,FALSE),0))*'Rules &amp; Formulas'!B6)*IF(D75="",0,D75),0))*(IFERROR(VLOOKUP(C75,Monsters!$T$4:$AH$15,3,FALSE),0))*(1+0.1*AH74)+(IF(OR(B75&lt;&gt;"Hunt",IFERROR(VLOOKUP(C75,Monsters!$T$4:$AH$15,6,FALSE),0)=0),0,FLOOR((IF(B75="Hunt",(('Rules &amp; Formulas'!B4*N74*('Rules &amp; Formulas'!B5+O74)*IFERROR(VLOOKUP(C75,Monsters!$T$4:$AH$15,10,FALSE),0)*IFERROR(VLOOKUP(C75,Monsters!$T$4:$AH$15,9,FALSE),0))*'Rules &amp; Formulas'!B6)*IF(D75="",0,D75),0))/MAX(1,IFERROR(VLOOKUP(C75,Monsters!$T$4:$AH$15,6,FALSE),0)),1)))*(IFERROR(VLOOKUP(C75,Monsters!$T$4:$AH$15,7,FALSE),0))*0.5*(1+0.1*AH74),0)+IF(AND((E75="OK"),B75="Go AFK"),(IF(B75="Go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AFK",IF(D75="",0,D75),0),Z74/60)*60)),0))*(IFERROR(VLOOKUP(C75,Monsters!$T$4:$AH$15,3,FALSE),0))*(1+0.1*AH74)+(IF(OR(B75&lt;&gt;"Go AFK",IFERROR(VLOOKUP(C75,Monsters!$T$4:$AH$15,6,FALSE),0)=0),0,FLOOR((IF(B75="Go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AFK",IF(D75="",0,D75),0),Z74/60)*60)),0))/MAX(1,IFERROR(VLOOKUP(C75,Monsters!$T$4:$AH$15,6,FALSE),0)),1)))*(IFERROR(VLOOKUP(C75,Monsters!$T$4:$AH$15,7,FALSE),0))*0.5*(1+0.1*AH74),0)+IF(AND((E75="OK"),B75="Fight boss",(IF((((105/'Rules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Formulas'!B12)),IFERROR(VLOOKUP(C75,Monsters!$T$4:$AH$15,3,FALSE),0),0)-IF(AND((E75="OK"),OR(B75="Buy upgrade",B75="Forge/Scrapwork buy"),IFERROR(VLOOKUP(C75,Upgrades!$N$4:$T$47,2,FALSE),0)="gold"),IFERROR(FLOOR(IFERROR(VLOOKUP(C75,Upgrades!$N$4:$T$47,3,FALSE),0)*(IFERROR(VLOOKUP(C75,Upgrades!$N$4:$T$47,4,FALSE),0)^(COUNTIFS($B$3:$B74,"Buy upgrade",$C$3:$C74,C75)+COUNTIFS($B$3:$B74,"Hire hunter",$C$3:$C74,C75)+COUNTIFS($B$3:$B74,"Forge/Scrapwork buy",$C$3:$C74,C75))),1),0),0)-IF(AND((E75="OK"),B75="Hire hunter"),IF(C75="Briar",140,IF(C75="Quill",3650,IF(C75="Moss",4850,IF(C75="Ember",12200,0)))),0))</f>
        <v/>
      </c>
      <c r="I75" s="7">
        <f>IF(AND((E75="OK"),B75="Fight boss",(IF((((105/'Rules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Formulas'!B12)),0,MIN(IF(G74&lt;=1,120,IF(G74=2,280,600)),I74+IF(AND((E75="OK"),B75="Hunt"),((IF(B75="Hunt",(('Rules &amp; Formulas'!B4*N74*('Rules &amp; Formulas'!B5+O74)*IFERROR(VLOOKUP(C75,Monsters!$T$4:$AH$15,10,FALSE),0)*IFERROR(VLOOKUP(C75,Monsters!$T$4:$AH$15,9,FALSE),0))*'Rules &amp; Formulas'!B6)*IF(D75="",0,D75),0))*(IFERROR(VLOOKUP(C75,Monsters!$T$4:$AH$15,4,FALSE),0))+(IF(OR(B75&lt;&gt;"Hunt",IFERROR(VLOOKUP(C75,Monsters!$T$4:$AH$15,6,FALSE),0)=0),0,FLOOR((IF(B75="Hunt",(('Rules &amp; Formulas'!B4*N74*('Rules &amp; Formulas'!B5+O74)*IFERROR(VLOOKUP(C75,Monsters!$T$4:$AH$15,10,FALSE),0)*IFERROR(VLOOKUP(C75,Monsters!$T$4:$AH$15,9,FALSE),0))*'Rules &amp; Formulas'!B6)*IF(D75="",0,D75),0))/MAX(1,IFERROR(VLOOKUP(C75,Monsters!$T$4:$AH$15,6,FALSE),0)),1)))*(IFERROR(VLOOKUP(C75,Monsters!$T$4:$AH$15,7,FALSE),0))),0)+IF(AND((E75="OK"),B75="Go AFK"),((IF(B75="Go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AFK",IF(D75="",0,D75),0),Z74/60)*60)),0))*(IFERROR(VLOOKUP(C75,Monsters!$T$4:$AH$15,4,FALSE),0))+(IF(OR(B75&lt;&gt;"Go AFK",IFERROR(VLOOKUP(C75,Monsters!$T$4:$AH$15,6,FALSE),0)=0),0,FLOOR((IF(B75="Go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AFK",IF(D75="",0,D75),0),Z74/60)*60)),0))/MAX(1,IFERROR(VLOOKUP(C75,Monsters!$T$4:$AH$15,6,FALSE),0)),1)))*(IFERROR(VLOOKUP(C75,Monsters!$T$4:$AH$15,7,FALSE),0))),0)))</f>
        <v/>
      </c>
      <c r="J75" s="7">
        <f>MAX(0,J74+IF(AND((E75="OK"),B75="Hunt"),(IF(B75="Hunt",(('Rules &amp; Formulas'!B4*N74*('Rules &amp; Formulas'!B5+O74)*IFERROR(VLOOKUP(C75,Monsters!$T$4:$AH$15,10,FALSE),0)*IFERROR(VLOOKUP(C75,Monsters!$T$4:$AH$15,9,FALSE),0))*'Rules &amp; Formulas'!B6)*IF(D75="",0,D75),0))*(IFERROR(VLOOKUP(C75,Monsters!$T$4:$AH$15,5,FALSE),0)),0)+IF(AND((E75="OK"),B75="Go AFK"),(IF(B75="Go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AFK",IF(D75="",0,D75),0),Z74/60)*60)),0))*(IFERROR(VLOOKUP(C75,Monsters!$T$4:$AH$15,5,FALSE),0)),0)-IF(AND((E75="OK"),OR(B75="Buy upgrade",B75="Forge/Scrapwork buy"),IFERROR(VLOOKUP(C75,Upgrades!$N$4:$T$47,2,FALSE),0)="scraps"),IFERROR(FLOOR(IFERROR(VLOOKUP(C75,Upgrades!$N$4:$T$47,3,FALSE),0)*(IFERROR(VLOOKUP(C75,Upgrades!$N$4:$T$47,4,FALSE),0)^(COUNTIFS($B$3:$B74,"Buy upgrade",$C$3:$C74,C75)+COUNTIFS($B$3:$B74,"Hire hunter",$C$3:$C74,C75)+COUNTIFS($B$3:$B74,"Forge/Scrapwork buy",$C$3:$C74,C75))),1),0),0))</f>
        <v/>
      </c>
      <c r="K75" s="7">
        <f>MAX(0,K74+IF(AND((E75="OK"),B75="Hunt"),IF(C75="Thornpelt Bear",(IF(B75="Hunt",(('Rules &amp; Formulas'!B4*N74*('Rules &amp; Formulas'!B5+O74)*IFERROR(VLOOKUP(C75,Monsters!$T$4:$AH$15,10,FALSE),0)*IFERROR(VLOOKUP(C75,Monsters!$T$4:$AH$15,9,FALSE),0))*'Rules &amp; Formulas'!B6)*IF(D75="",0,D75),0))*0.12,0),0)+IF(AND((E75="OK"),B75="Go AFK"),IF(C75="Thornpelt Bear",(IF(B75="Go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AFK",IF(D75="",0,D75),0),Z74/60)*60)),0))*0.12,0),0))</f>
        <v/>
      </c>
      <c r="L75" s="7">
        <f>MAX(0,L74+IF(AND((E75="OK"),B75="Hunt"),IF(C75="Dire Thornpelt",(IF(B75="Hunt",(('Rules &amp; Formulas'!B4*N74*('Rules &amp; Formulas'!B5+O74)*IFERROR(VLOOKUP(C75,Monsters!$T$4:$AH$15,10,FALSE),0)*IFERROR(VLOOKUP(C75,Monsters!$T$4:$AH$15,9,FALSE),0))*'Rules &amp; Formulas'!B6)*IF(D75="",0,D75),0))*0.1,0),0)+IF(AND((E75="OK"),B75="Go AFK"),IF(C75="Dire Thornpelt",(IF(B75="Go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AFK",IF(D75="",0,D75),0),Z74/60)*60)),0))*0.1,0),0))</f>
        <v/>
      </c>
      <c r="M75" s="7">
        <f>IF(AND((E75="OK"),B75="Go AFK"),MAX(0,MIN(('Rules &amp; Formulas'!B15+25*AJ74),M74+('Rules &amp; Formulas'!B14+0.4*AJ74)*(MIN(IF(B75="Go AFK",IF(D75="",0,D75),0),Z74/60)*60))-(IF(B75="Go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AFK",IF(D75="",0,D75),0),Z74/60)*60)),0))*(IF((IFERROR(VLOOKUP(C75,Monsters!$T$4:$AH$15,8,FALSE),0))=0,0.35,IFERROR(VLOOKUP(C75,Monsters!$T$4:$AH$15,8,FALSE),0))/(1+0.08*AK74))),MIN(('Rules &amp; Formulas'!B15+25*AJ75),M74))</f>
        <v/>
      </c>
      <c r="N75" s="7">
        <f>(1+0.08+0.12*AA75+0.12*AB75+0.16*AC75)</f>
        <v/>
      </c>
      <c r="O75" s="7">
        <f>((AD75&gt;=1)*1*(1+0.3*AE75))</f>
        <v/>
      </c>
      <c r="P75" s="7">
        <f>IF(OR(B75="Hunt",B75="Go AFK"),(('Rules &amp; Formulas'!B4*N74*('Rules &amp; Formulas'!B5+O74)*IFERROR(VLOOKUP(C75,Monsters!$T$4:$AH$15,10,FALSE),0)*IFERROR(VLOOKUP(C75,Monsters!$T$4:$AH$15,9,FALSE),0))*'Rules &amp; Formulas'!B6),"")</f>
        <v/>
      </c>
      <c r="Q75" s="7">
        <f>IF(OR(B75="Hunt",B75="Go AFK"),('Rules &amp; Formulas'!B4*N74*('Rules &amp; Formulas'!B5+O74)*IFERROR(VLOOKUP(C75,Monsters!$T$4:$AH$15,10,FALSE),0)*IFERROR(VLOOKUP(C75,Monsters!$T$4:$AH$15,9,FALSE),0)),"")</f>
        <v/>
      </c>
      <c r="R75" s="7">
        <f>IF(AND((E75="OK"),B75="Hunt"),IF(B75="Hunt",(('Rules &amp; Formulas'!B4*N74*('Rules &amp; Formulas'!B5+O74)*IFERROR(VLOOKUP(C75,Monsters!$T$4:$AH$15,10,FALSE),0)*IFERROR(VLOOKUP(C75,Monsters!$T$4:$AH$15,9,FALSE),0))*'Rules &amp; Formulas'!B6)*IF(D75="",0,D75),0),IF(AND((E75="OK"),B75="Go AFK"),IF(B75="Go AFK",MIN(IF((IF((IFERROR(VLOOKUP(C75,Monsters!$T$4:$AH$15,8,FALSE),0))=0,0.35,IFERROR(VLOOKUP(C75,Monsters!$T$4:$AH$15,8,FALSE),0))/(1+0.08*AK74))&lt;=0,999999,FLOOR(MIN(('Rules &amp; Formulas'!B15+25*AJ74),M74+('Rules &amp; Formulas'!B14+0.4*AJ74)*(MIN(IF(B75="Go AFK",IF(D75="",0,D75),0),Z74/60)*60))/(IF((IFERROR(VLOOKUP(C75,Monsters!$T$4:$AH$15,8,FALSE),0))=0,0.35,IFERROR(VLOOKUP(C75,Monsters!$T$4:$AH$15,8,FALSE),0))/(1+0.08*AK74)),1)),('Rules &amp; Formulas'!B4*N74*('Rules &amp; Formulas'!B5+O74)*IFERROR(VLOOKUP(C75,Monsters!$T$4:$AH$15,10,FALSE),0)*IFERROR(VLOOKUP(C75,Monsters!$T$4:$AH$15,9,FALSE),0))*(MIN(IF(B75="Go AFK",IF(D75="",0,D75),0),Z74/60)*60)),0),0))</f>
        <v/>
      </c>
      <c r="S75" s="7">
        <f>(105/'Rules &amp; Formulas'!B10)*'Rules &amp; Formulas'!B11</f>
        <v/>
      </c>
      <c r="T75" s="7">
        <f>IF(AD74&gt;=1,(MAX(1,ROUND('Rules &amp; Formulas'!B18*(1+0.3*AE74)*(1+0.4*AF74),0)))*(1000/'Rules &amp; Formulas'!B19)*MIN(0.95,'Rules &amp; Formulas'!B20*SQRT(1+0.55*(AG74&gt;=1))),0)</f>
        <v/>
      </c>
      <c r="U75" s="7">
        <f>S75+T75</f>
        <v/>
      </c>
      <c r="V75" s="7">
        <f>IF(I74&gt;=IF((IFERROR(VLOOKUP(C75,Monsters!$T$4:$AH$15,15,FALSE),0))=0,120,IFERROR(VLOOKUP(C75,Monsters!$T$4:$AH$15,15,FALSE),0)),"YES","no")</f>
        <v/>
      </c>
      <c r="W75" s="7">
        <f>IF(AND(B75="Fight boss",E75="OK"),IF((((105/'Rules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Formulas'!B20*SQRT(1+0.55*(AG74&gt;=1))),0)))),"")</f>
        <v/>
      </c>
      <c r="X75" s="7">
        <f>IF(AND(B75="Fight boss",E75="OK"),IF((IF((((105/'Rules &amp; Formulas'!B10)*'Rules &amp; Formulas'!B11+IF(AD74&gt;=1,(MAX(1,ROUND('Rules &amp; Formulas'!B18*(1+0.3*AE74)*(1+0.4*AF74),0)))*(1000/'Rules &amp; Formulas'!B19)*MIN(0.95,'Rules &amp; Formulas'!B20*SQRT(1+0.55*(AG74&gt;=1))),0)))&lt;=0,9999,(IFERROR(VLOOKUP(C75,Monsters!$T$4:$AH$15,2,FALSE),0))/(((105/'Rules &amp; Formulas'!B10)*'Rules &amp; Formulas'!B11+IF(AD74&gt;=1,(MAX(1,ROUND('Rules &amp; Formulas'!B18*(1+0.3*AE74)*(1+0.4*AF74),0)))*(1000/'Rules &amp; Formulas'!B19)*MIN(0.95,'Rules &amp; Formulas'!B20*SQRT(1+0.55*(AG74&gt;=1))),0))))&lt;='Rules &amp; Formulas'!B12),"WIN","LOSE"),"")</f>
        <v/>
      </c>
      <c r="Y75" s="7">
        <f>IF(B75="Go AFK",MIN(IF(B75="Go AFK",IF(D75="",0,D75),0),Z74/60),"")</f>
        <v/>
      </c>
      <c r="Z75" s="7">
        <f>('Rules &amp; Formulas'!B13+30*AI75)</f>
        <v/>
      </c>
      <c r="AA75">
        <f>COUNTIFS($B$3:$B75,"Buy upgrade",$C$3:$C75,"Idle Power")</f>
        <v/>
      </c>
      <c r="AB75">
        <f>COUNTIFS($B$3:$B75,"Buy upgrade",$C$3:$C75,"Iron Blade")</f>
        <v/>
      </c>
      <c r="AC75">
        <f>COUNTIFS($B$3:$B75,"Buy upgrade",$C$3:$C75,"Steel Blade")</f>
        <v/>
      </c>
      <c r="AD75">
        <f>COUNTIFS($B$3:$B75,"Hire hunter",$C$3:$C75,"Briar")+COUNTIFS($B$3:$B75,"Buy upgrade",$C$3:$C75,"Hire Briar")</f>
        <v/>
      </c>
      <c r="AE75">
        <f>COUNTIFS($B$3:$B75,"Buy upgrade",$C$3:$C75,"Hunter Power")</f>
        <v/>
      </c>
      <c r="AF75">
        <f>COUNTIFS($B$3:$B75,"Buy upgrade",$C$3:$C75,"Bigger Hits")</f>
        <v/>
      </c>
      <c r="AG75">
        <f>COUNTIFS($B$3:$B75,"Buy upgrade",$C$3:$C75,"Swift Walk")</f>
        <v/>
      </c>
      <c r="AH75">
        <f>COUNTIFS($B$3:$B75,"Buy upgrade",$C$3:$C75,"Loot Luck")</f>
        <v/>
      </c>
      <c r="AI75">
        <f>COUNTIFS($B$3:$B75,"Buy upgrade",$C$3:$C75,"Offline Cap")</f>
        <v/>
      </c>
      <c r="AJ75">
        <f>COUNTIFS($B$3:$B75,"Buy upgrade",$C$3:$C75,"Bigger Food Stock")</f>
        <v/>
      </c>
      <c r="AK75">
        <f>COUNTIFS($B$3:$B75,"Buy upgrade",$C$3:$C75,"Food Efficiency")</f>
        <v/>
      </c>
    </row>
    <row r="76">
      <c r="A76" t="n">
        <v>74</v>
      </c>
      <c r="B76" s="6" t="n"/>
      <c r="C76" s="6" t="n"/>
      <c r="D76" s="6" t="n"/>
      <c r="E76" s="7">
        <f>IF(B76="","",IF(OR(B76="Hunt",B76="Go AFK"),IF(C76="","Can't","OK"),IF(B76="Fight boss",IF(I75&lt;IF((IFERROR(VLOOKUP(C76,Monsters!$T$4:$AH$15,15,FALSE),0))=0,120,IFERROR(VLOOKUP(C76,Monsters!$T$4:$AH$15,15,FALSE),0)),"Can't","OK"),IF(B76="Hire hunter",IF(AND(C76="Briar",AD75&gt;=1),"Can't",IF(H75&lt;IF(C76="Briar",140,IF(C76="Quill",3650,IF(C76="Moss",4850,IF(C76="Ember",12200,0)))),"Can't","OK")),IF(OR(B76="Buy upgrade",B76="Forge/Scrapwork buy"),IF(IFERROR(VLOOKUP(C76,Upgrades!$N$4:$T$47,2,FALSE),0)="points","Can't",IF(IFERROR(VLOOKUP(C76,Upgrades!$N$4:$T$47,2,FALSE),0)="gold",IF(H75&lt;IFERROR(FLOOR(IFERROR(VLOOKUP(C76,Upgrades!$N$4:$T$47,3,FALSE),0)*(IFERROR(VLOOKUP(C76,Upgrades!$N$4:$T$47,4,FALSE),0)^(COUNTIFS($B$3:$B75,"Buy upgrade",$C$3:$C75,C76)+COUNTIFS($B$3:$B75,"Hire hunter",$C$3:$C75,C76)+COUNTIFS($B$3:$B75,"Forge/Scrapwork buy",$C$3:$C75,C76))),1),0),"Can't","OK"),IF(IFERROR(VLOOKUP(C76,Upgrades!$N$4:$T$47,2,FALSE),0)="scraps",IF(J75&lt;IFERROR(FLOOR(IFERROR(VLOOKUP(C76,Upgrades!$N$4:$T$47,3,FALSE),0)*(IFERROR(VLOOKUP(C76,Upgrades!$N$4:$T$47,4,FALSE),0)^(COUNTIFS($B$3:$B75,"Buy upgrade",$C$3:$C75,C76)+COUNTIFS($B$3:$B75,"Hire hunter",$C$3:$C75,C76)+COUNTIFS($B$3:$B75,"Forge/Scrapwork buy",$C$3:$C75,C76))),1),0),"Can't","OK"),IF(IFERROR(VLOOKUP(C76,Upgrades!$N$4:$T$47,2,FALSE),0)="mats","Can't","OK")))),"Check")))))</f>
        <v/>
      </c>
      <c r="F76" s="7">
        <f>IF(B76="","",IF(AND(B76="Fight boss",I75&lt;IF((IFERROR(VLOOKUP(C76,Monsters!$T$4:$AH$15,15,FALSE),0))=0,120,IFERROR(VLOOKUP(C76,Monsters!$T$4:$AH$15,15,FALSE),0))),"Can't — need "&amp;TEXT(IF((IFERROR(VLOOKUP(C76,Monsters!$T$4:$AH$15,15,FALSE),0))=0,120,IFERROR(VLOOKUP(C76,Monsters!$T$4:$AH$15,15,FALSE),0))-I75,"0.0")&amp;" more Slayer points on the meter",IF(AND(B76="Hire hunter",C76="Briar",AD75&gt;=1),"Can't — already hired",IF(AND(B76="Hire hunter",H75&lt;IF(C76="Briar",140,IF(C76="Quill",3650,IF(C76="Moss",4850,IF(C76="Ember",12200,0))))),"Can't — need "&amp;TEXT(IF(C76="Briar",140,IF(C76="Quill",3650,IF(C76="Moss",4850,IF(C76="Ember",12200,0))))-H75,"0")&amp;" more gold",IF(AND(OR(B76="Buy upgrade",B76="Forge/Scrapwork buy"),IFERROR(VLOOKUP(C76,Upgrades!$N$4:$T$47,2,FALSE),0)="points"),"Can't — Sp-wallet spends not tracked here",IF(AND(OR(B76="Buy upgrade",B76="Forge/Scrapwork buy"),IFERROR(VLOOKUP(C76,Upgrades!$N$4:$T$47,2,FALSE),0)="gold",H75&lt;IFERROR(FLOOR(IFERROR(VLOOKUP(C76,Upgrades!$N$4:$T$47,3,FALSE),0)*(IFERROR(VLOOKUP(C76,Upgrades!$N$4:$T$47,4,FALSE),0)^(COUNTIFS($B$3:$B75,"Buy upgrade",$C$3:$C75,C76)+COUNTIFS($B$3:$B75,"Hire hunter",$C$3:$C75,C76)+COUNTIFS($B$3:$B75,"Forge/Scrapwork buy",$C$3:$C75,C76))),1),0)),"Can't — need "&amp;TEXT(IFERROR(FLOOR(IFERROR(VLOOKUP(C76,Upgrades!$N$4:$T$47,3,FALSE),0)*(IFERROR(VLOOKUP(C76,Upgrades!$N$4:$T$47,4,FALSE),0)^(COUNTIFS($B$3:$B75,"Buy upgrade",$C$3:$C75,C76)+COUNTIFS($B$3:$B75,"Hire hunter",$C$3:$C75,C76)+COUNTIFS($B$3:$B75,"Forge/Scrapwork buy",$C$3:$C75,C76))),1),0)-H75,"0")&amp;" more gold",IF(AND(OR(B76="Buy upgrade",B76="Forge/Scrapwork buy"),IFERROR(VLOOKUP(C76,Upgrades!$N$4:$T$47,2,FALSE),0)="scraps",J75&lt;IFERROR(FLOOR(IFERROR(VLOOKUP(C76,Upgrades!$N$4:$T$47,3,FALSE),0)*(IFERROR(VLOOKUP(C76,Upgrades!$N$4:$T$47,4,FALSE),0)^(COUNTIFS($B$3:$B75,"Buy upgrade",$C$3:$C75,C76)+COUNTIFS($B$3:$B75,"Hire hunter",$C$3:$C75,C76)+COUNTIFS($B$3:$B75,"Forge/Scrapwork buy",$C$3:$C75,C76))),1),0)),"Can't — need "&amp;TEXT(IFERROR(FLOOR(IFERROR(VLOOKUP(C76,Upgrades!$N$4:$T$47,3,FALSE),0)*(IFERROR(VLOOKUP(C76,Upgrades!$N$4:$T$47,4,FALSE),0)^(COUNTIFS($B$3:$B75,"Buy upgrade",$C$3:$C75,C76)+COUNTIFS($B$3:$B75,"Hire hunter",$C$3:$C75,C76)+COUNTIFS($B$3:$B75,"Forge/Scrapwork buy",$C$3:$C75,C76))),1),0)-J75,"0")&amp;" more scraps",IF(AND(B76="Fight boss",E76="OK",(IF((((105/'Rules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Formulas'!B12)),"WIN — boss down, next Level unlocks",IF(AND(B76="Fight boss",E76="OK"),"LOSE — TTK "&amp;TEXT(IF((((105/'Rules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Formulas'!B20*SQRT(1+0.55*(AG75&gt;=1))),0)))),"0")&amp;"s &gt; patience "&amp;TEXT('Rules &amp; Formulas'!B12,"0")&amp;"s (leave resets HP)",IF(B76="Go AFK","AFK resolved (see AFK counted h)","Applied")))))))))</f>
        <v/>
      </c>
      <c r="G76" s="7">
        <f>IF(AND((E76="OK"),B76="Fight boss",(IF((((105/'Rules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Formulas'!B12),C76="Elder Thornpelt"),2,IF(AND((E76="OK"),B76="Fight boss",(IF((((105/'Rules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Formulas'!B12),C76="Ashfang Alpha"),3,G75))</f>
        <v/>
      </c>
      <c r="H76" s="7">
        <f>MAX(0,H75+IF(AND((E76="OK"),B76="Hunt"),(IF(B76="Hunt",(('Rules &amp; Formulas'!B4*N75*('Rules &amp; Formulas'!B5+O75)*IFERROR(VLOOKUP(C76,Monsters!$T$4:$AH$15,10,FALSE),0)*IFERROR(VLOOKUP(C76,Monsters!$T$4:$AH$15,9,FALSE),0))*'Rules &amp; Formulas'!B6)*IF(D76="",0,D76),0))*(IFERROR(VLOOKUP(C76,Monsters!$T$4:$AH$15,3,FALSE),0))*(1+0.1*AH75)+(IF(OR(B76&lt;&gt;"Hunt",IFERROR(VLOOKUP(C76,Monsters!$T$4:$AH$15,6,FALSE),0)=0),0,FLOOR((IF(B76="Hunt",(('Rules &amp; Formulas'!B4*N75*('Rules &amp; Formulas'!B5+O75)*IFERROR(VLOOKUP(C76,Monsters!$T$4:$AH$15,10,FALSE),0)*IFERROR(VLOOKUP(C76,Monsters!$T$4:$AH$15,9,FALSE),0))*'Rules &amp; Formulas'!B6)*IF(D76="",0,D76),0))/MAX(1,IFERROR(VLOOKUP(C76,Monsters!$T$4:$AH$15,6,FALSE),0)),1)))*(IFERROR(VLOOKUP(C76,Monsters!$T$4:$AH$15,7,FALSE),0))*0.5*(1+0.1*AH75),0)+IF(AND((E76="OK"),B76="Go AFK"),(IF(B76="Go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AFK",IF(D76="",0,D76),0),Z75/60)*60)),0))*(IFERROR(VLOOKUP(C76,Monsters!$T$4:$AH$15,3,FALSE),0))*(1+0.1*AH75)+(IF(OR(B76&lt;&gt;"Go AFK",IFERROR(VLOOKUP(C76,Monsters!$T$4:$AH$15,6,FALSE),0)=0),0,FLOOR((IF(B76="Go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AFK",IF(D76="",0,D76),0),Z75/60)*60)),0))/MAX(1,IFERROR(VLOOKUP(C76,Monsters!$T$4:$AH$15,6,FALSE),0)),1)))*(IFERROR(VLOOKUP(C76,Monsters!$T$4:$AH$15,7,FALSE),0))*0.5*(1+0.1*AH75),0)+IF(AND((E76="OK"),B76="Fight boss",(IF((((105/'Rules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Formulas'!B12)),IFERROR(VLOOKUP(C76,Monsters!$T$4:$AH$15,3,FALSE),0),0)-IF(AND((E76="OK"),OR(B76="Buy upgrade",B76="Forge/Scrapwork buy"),IFERROR(VLOOKUP(C76,Upgrades!$N$4:$T$47,2,FALSE),0)="gold"),IFERROR(FLOOR(IFERROR(VLOOKUP(C76,Upgrades!$N$4:$T$47,3,FALSE),0)*(IFERROR(VLOOKUP(C76,Upgrades!$N$4:$T$47,4,FALSE),0)^(COUNTIFS($B$3:$B75,"Buy upgrade",$C$3:$C75,C76)+COUNTIFS($B$3:$B75,"Hire hunter",$C$3:$C75,C76)+COUNTIFS($B$3:$B75,"Forge/Scrapwork buy",$C$3:$C75,C76))),1),0),0)-IF(AND((E76="OK"),B76="Hire hunter"),IF(C76="Briar",140,IF(C76="Quill",3650,IF(C76="Moss",4850,IF(C76="Ember",12200,0)))),0))</f>
        <v/>
      </c>
      <c r="I76" s="7">
        <f>IF(AND((E76="OK"),B76="Fight boss",(IF((((105/'Rules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Formulas'!B12)),0,MIN(IF(G75&lt;=1,120,IF(G75=2,280,600)),I75+IF(AND((E76="OK"),B76="Hunt"),((IF(B76="Hunt",(('Rules &amp; Formulas'!B4*N75*('Rules &amp; Formulas'!B5+O75)*IFERROR(VLOOKUP(C76,Monsters!$T$4:$AH$15,10,FALSE),0)*IFERROR(VLOOKUP(C76,Monsters!$T$4:$AH$15,9,FALSE),0))*'Rules &amp; Formulas'!B6)*IF(D76="",0,D76),0))*(IFERROR(VLOOKUP(C76,Monsters!$T$4:$AH$15,4,FALSE),0))+(IF(OR(B76&lt;&gt;"Hunt",IFERROR(VLOOKUP(C76,Monsters!$T$4:$AH$15,6,FALSE),0)=0),0,FLOOR((IF(B76="Hunt",(('Rules &amp; Formulas'!B4*N75*('Rules &amp; Formulas'!B5+O75)*IFERROR(VLOOKUP(C76,Monsters!$T$4:$AH$15,10,FALSE),0)*IFERROR(VLOOKUP(C76,Monsters!$T$4:$AH$15,9,FALSE),0))*'Rules &amp; Formulas'!B6)*IF(D76="",0,D76),0))/MAX(1,IFERROR(VLOOKUP(C76,Monsters!$T$4:$AH$15,6,FALSE),0)),1)))*(IFERROR(VLOOKUP(C76,Monsters!$T$4:$AH$15,7,FALSE),0))),0)+IF(AND((E76="OK"),B76="Go AFK"),((IF(B76="Go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AFK",IF(D76="",0,D76),0),Z75/60)*60)),0))*(IFERROR(VLOOKUP(C76,Monsters!$T$4:$AH$15,4,FALSE),0))+(IF(OR(B76&lt;&gt;"Go AFK",IFERROR(VLOOKUP(C76,Monsters!$T$4:$AH$15,6,FALSE),0)=0),0,FLOOR((IF(B76="Go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AFK",IF(D76="",0,D76),0),Z75/60)*60)),0))/MAX(1,IFERROR(VLOOKUP(C76,Monsters!$T$4:$AH$15,6,FALSE),0)),1)))*(IFERROR(VLOOKUP(C76,Monsters!$T$4:$AH$15,7,FALSE),0))),0)))</f>
        <v/>
      </c>
      <c r="J76" s="7">
        <f>MAX(0,J75+IF(AND((E76="OK"),B76="Hunt"),(IF(B76="Hunt",(('Rules &amp; Formulas'!B4*N75*('Rules &amp; Formulas'!B5+O75)*IFERROR(VLOOKUP(C76,Monsters!$T$4:$AH$15,10,FALSE),0)*IFERROR(VLOOKUP(C76,Monsters!$T$4:$AH$15,9,FALSE),0))*'Rules &amp; Formulas'!B6)*IF(D76="",0,D76),0))*(IFERROR(VLOOKUP(C76,Monsters!$T$4:$AH$15,5,FALSE),0)),0)+IF(AND((E76="OK"),B76="Go AFK"),(IF(B76="Go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AFK",IF(D76="",0,D76),0),Z75/60)*60)),0))*(IFERROR(VLOOKUP(C76,Monsters!$T$4:$AH$15,5,FALSE),0)),0)-IF(AND((E76="OK"),OR(B76="Buy upgrade",B76="Forge/Scrapwork buy"),IFERROR(VLOOKUP(C76,Upgrades!$N$4:$T$47,2,FALSE),0)="scraps"),IFERROR(FLOOR(IFERROR(VLOOKUP(C76,Upgrades!$N$4:$T$47,3,FALSE),0)*(IFERROR(VLOOKUP(C76,Upgrades!$N$4:$T$47,4,FALSE),0)^(COUNTIFS($B$3:$B75,"Buy upgrade",$C$3:$C75,C76)+COUNTIFS($B$3:$B75,"Hire hunter",$C$3:$C75,C76)+COUNTIFS($B$3:$B75,"Forge/Scrapwork buy",$C$3:$C75,C76))),1),0),0))</f>
        <v/>
      </c>
      <c r="K76" s="7">
        <f>MAX(0,K75+IF(AND((E76="OK"),B76="Hunt"),IF(C76="Thornpelt Bear",(IF(B76="Hunt",(('Rules &amp; Formulas'!B4*N75*('Rules &amp; Formulas'!B5+O75)*IFERROR(VLOOKUP(C76,Monsters!$T$4:$AH$15,10,FALSE),0)*IFERROR(VLOOKUP(C76,Monsters!$T$4:$AH$15,9,FALSE),0))*'Rules &amp; Formulas'!B6)*IF(D76="",0,D76),0))*0.12,0),0)+IF(AND((E76="OK"),B76="Go AFK"),IF(C76="Thornpelt Bear",(IF(B76="Go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AFK",IF(D76="",0,D76),0),Z75/60)*60)),0))*0.12,0),0))</f>
        <v/>
      </c>
      <c r="L76" s="7">
        <f>MAX(0,L75+IF(AND((E76="OK"),B76="Hunt"),IF(C76="Dire Thornpelt",(IF(B76="Hunt",(('Rules &amp; Formulas'!B4*N75*('Rules &amp; Formulas'!B5+O75)*IFERROR(VLOOKUP(C76,Monsters!$T$4:$AH$15,10,FALSE),0)*IFERROR(VLOOKUP(C76,Monsters!$T$4:$AH$15,9,FALSE),0))*'Rules &amp; Formulas'!B6)*IF(D76="",0,D76),0))*0.1,0),0)+IF(AND((E76="OK"),B76="Go AFK"),IF(C76="Dire Thornpelt",(IF(B76="Go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AFK",IF(D76="",0,D76),0),Z75/60)*60)),0))*0.1,0),0))</f>
        <v/>
      </c>
      <c r="M76" s="7">
        <f>IF(AND((E76="OK"),B76="Go AFK"),MAX(0,MIN(('Rules &amp; Formulas'!B15+25*AJ75),M75+('Rules &amp; Formulas'!B14+0.4*AJ75)*(MIN(IF(B76="Go AFK",IF(D76="",0,D76),0),Z75/60)*60))-(IF(B76="Go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AFK",IF(D76="",0,D76),0),Z75/60)*60)),0))*(IF((IFERROR(VLOOKUP(C76,Monsters!$T$4:$AH$15,8,FALSE),0))=0,0.35,IFERROR(VLOOKUP(C76,Monsters!$T$4:$AH$15,8,FALSE),0))/(1+0.08*AK75))),MIN(('Rules &amp; Formulas'!B15+25*AJ76),M75))</f>
        <v/>
      </c>
      <c r="N76" s="7">
        <f>(1+0.08+0.12*AA76+0.12*AB76+0.16*AC76)</f>
        <v/>
      </c>
      <c r="O76" s="7">
        <f>((AD76&gt;=1)*1*(1+0.3*AE76))</f>
        <v/>
      </c>
      <c r="P76" s="7">
        <f>IF(OR(B76="Hunt",B76="Go AFK"),(('Rules &amp; Formulas'!B4*N75*('Rules &amp; Formulas'!B5+O75)*IFERROR(VLOOKUP(C76,Monsters!$T$4:$AH$15,10,FALSE),0)*IFERROR(VLOOKUP(C76,Monsters!$T$4:$AH$15,9,FALSE),0))*'Rules &amp; Formulas'!B6),"")</f>
        <v/>
      </c>
      <c r="Q76" s="7">
        <f>IF(OR(B76="Hunt",B76="Go AFK"),('Rules &amp; Formulas'!B4*N75*('Rules &amp; Formulas'!B5+O75)*IFERROR(VLOOKUP(C76,Monsters!$T$4:$AH$15,10,FALSE),0)*IFERROR(VLOOKUP(C76,Monsters!$T$4:$AH$15,9,FALSE),0)),"")</f>
        <v/>
      </c>
      <c r="R76" s="7">
        <f>IF(AND((E76="OK"),B76="Hunt"),IF(B76="Hunt",(('Rules &amp; Formulas'!B4*N75*('Rules &amp; Formulas'!B5+O75)*IFERROR(VLOOKUP(C76,Monsters!$T$4:$AH$15,10,FALSE),0)*IFERROR(VLOOKUP(C76,Monsters!$T$4:$AH$15,9,FALSE),0))*'Rules &amp; Formulas'!B6)*IF(D76="",0,D76),0),IF(AND((E76="OK"),B76="Go AFK"),IF(B76="Go AFK",MIN(IF((IF((IFERROR(VLOOKUP(C76,Monsters!$T$4:$AH$15,8,FALSE),0))=0,0.35,IFERROR(VLOOKUP(C76,Monsters!$T$4:$AH$15,8,FALSE),0))/(1+0.08*AK75))&lt;=0,999999,FLOOR(MIN(('Rules &amp; Formulas'!B15+25*AJ75),M75+('Rules &amp; Formulas'!B14+0.4*AJ75)*(MIN(IF(B76="Go AFK",IF(D76="",0,D76),0),Z75/60)*60))/(IF((IFERROR(VLOOKUP(C76,Monsters!$T$4:$AH$15,8,FALSE),0))=0,0.35,IFERROR(VLOOKUP(C76,Monsters!$T$4:$AH$15,8,FALSE),0))/(1+0.08*AK75)),1)),('Rules &amp; Formulas'!B4*N75*('Rules &amp; Formulas'!B5+O75)*IFERROR(VLOOKUP(C76,Monsters!$T$4:$AH$15,10,FALSE),0)*IFERROR(VLOOKUP(C76,Monsters!$T$4:$AH$15,9,FALSE),0))*(MIN(IF(B76="Go AFK",IF(D76="",0,D76),0),Z75/60)*60)),0),0))</f>
        <v/>
      </c>
      <c r="S76" s="7">
        <f>(105/'Rules &amp; Formulas'!B10)*'Rules &amp; Formulas'!B11</f>
        <v/>
      </c>
      <c r="T76" s="7">
        <f>IF(AD75&gt;=1,(MAX(1,ROUND('Rules &amp; Formulas'!B18*(1+0.3*AE75)*(1+0.4*AF75),0)))*(1000/'Rules &amp; Formulas'!B19)*MIN(0.95,'Rules &amp; Formulas'!B20*SQRT(1+0.55*(AG75&gt;=1))),0)</f>
        <v/>
      </c>
      <c r="U76" s="7">
        <f>S76+T76</f>
        <v/>
      </c>
      <c r="V76" s="7">
        <f>IF(I75&gt;=IF((IFERROR(VLOOKUP(C76,Monsters!$T$4:$AH$15,15,FALSE),0))=0,120,IFERROR(VLOOKUP(C76,Monsters!$T$4:$AH$15,15,FALSE),0)),"YES","no")</f>
        <v/>
      </c>
      <c r="W76" s="7">
        <f>IF(AND(B76="Fight boss",E76="OK"),IF((((105/'Rules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Formulas'!B20*SQRT(1+0.55*(AG75&gt;=1))),0)))),"")</f>
        <v/>
      </c>
      <c r="X76" s="7">
        <f>IF(AND(B76="Fight boss",E76="OK"),IF((IF((((105/'Rules &amp; Formulas'!B10)*'Rules &amp; Formulas'!B11+IF(AD75&gt;=1,(MAX(1,ROUND('Rules &amp; Formulas'!B18*(1+0.3*AE75)*(1+0.4*AF75),0)))*(1000/'Rules &amp; Formulas'!B19)*MIN(0.95,'Rules &amp; Formulas'!B20*SQRT(1+0.55*(AG75&gt;=1))),0)))&lt;=0,9999,(IFERROR(VLOOKUP(C76,Monsters!$T$4:$AH$15,2,FALSE),0))/(((105/'Rules &amp; Formulas'!B10)*'Rules &amp; Formulas'!B11+IF(AD75&gt;=1,(MAX(1,ROUND('Rules &amp; Formulas'!B18*(1+0.3*AE75)*(1+0.4*AF75),0)))*(1000/'Rules &amp; Formulas'!B19)*MIN(0.95,'Rules &amp; Formulas'!B20*SQRT(1+0.55*(AG75&gt;=1))),0))))&lt;='Rules &amp; Formulas'!B12),"WIN","LOSE"),"")</f>
        <v/>
      </c>
      <c r="Y76" s="7">
        <f>IF(B76="Go AFK",MIN(IF(B76="Go AFK",IF(D76="",0,D76),0),Z75/60),"")</f>
        <v/>
      </c>
      <c r="Z76" s="7">
        <f>('Rules &amp; Formulas'!B13+30*AI76)</f>
        <v/>
      </c>
      <c r="AA76">
        <f>COUNTIFS($B$3:$B76,"Buy upgrade",$C$3:$C76,"Idle Power")</f>
        <v/>
      </c>
      <c r="AB76">
        <f>COUNTIFS($B$3:$B76,"Buy upgrade",$C$3:$C76,"Iron Blade")</f>
        <v/>
      </c>
      <c r="AC76">
        <f>COUNTIFS($B$3:$B76,"Buy upgrade",$C$3:$C76,"Steel Blade")</f>
        <v/>
      </c>
      <c r="AD76">
        <f>COUNTIFS($B$3:$B76,"Hire hunter",$C$3:$C76,"Briar")+COUNTIFS($B$3:$B76,"Buy upgrade",$C$3:$C76,"Hire Briar")</f>
        <v/>
      </c>
      <c r="AE76">
        <f>COUNTIFS($B$3:$B76,"Buy upgrade",$C$3:$C76,"Hunter Power")</f>
        <v/>
      </c>
      <c r="AF76">
        <f>COUNTIFS($B$3:$B76,"Buy upgrade",$C$3:$C76,"Bigger Hits")</f>
        <v/>
      </c>
      <c r="AG76">
        <f>COUNTIFS($B$3:$B76,"Buy upgrade",$C$3:$C76,"Swift Walk")</f>
        <v/>
      </c>
      <c r="AH76">
        <f>COUNTIFS($B$3:$B76,"Buy upgrade",$C$3:$C76,"Loot Luck")</f>
        <v/>
      </c>
      <c r="AI76">
        <f>COUNTIFS($B$3:$B76,"Buy upgrade",$C$3:$C76,"Offline Cap")</f>
        <v/>
      </c>
      <c r="AJ76">
        <f>COUNTIFS($B$3:$B76,"Buy upgrade",$C$3:$C76,"Bigger Food Stock")</f>
        <v/>
      </c>
      <c r="AK76">
        <f>COUNTIFS($B$3:$B76,"Buy upgrade",$C$3:$C76,"Food Efficiency")</f>
        <v/>
      </c>
    </row>
    <row r="77">
      <c r="A77" t="n">
        <v>75</v>
      </c>
      <c r="B77" s="6" t="n"/>
      <c r="C77" s="6" t="n"/>
      <c r="D77" s="6" t="n"/>
      <c r="E77" s="7">
        <f>IF(B77="","",IF(OR(B77="Hunt",B77="Go AFK"),IF(C77="","Can't","OK"),IF(B77="Fight boss",IF(I76&lt;IF((IFERROR(VLOOKUP(C77,Monsters!$T$4:$AH$15,15,FALSE),0))=0,120,IFERROR(VLOOKUP(C77,Monsters!$T$4:$AH$15,15,FALSE),0)),"Can't","OK"),IF(B77="Hire hunter",IF(AND(C77="Briar",AD76&gt;=1),"Can't",IF(H76&lt;IF(C77="Briar",140,IF(C77="Quill",3650,IF(C77="Moss",4850,IF(C77="Ember",12200,0)))),"Can't","OK")),IF(OR(B77="Buy upgrade",B77="Forge/Scrapwork buy"),IF(IFERROR(VLOOKUP(C77,Upgrades!$N$4:$T$47,2,FALSE),0)="points","Can't",IF(IFERROR(VLOOKUP(C77,Upgrades!$N$4:$T$47,2,FALSE),0)="gold",IF(H76&lt;IFERROR(FLOOR(IFERROR(VLOOKUP(C77,Upgrades!$N$4:$T$47,3,FALSE),0)*(IFERROR(VLOOKUP(C77,Upgrades!$N$4:$T$47,4,FALSE),0)^(COUNTIFS($B$3:$B76,"Buy upgrade",$C$3:$C76,C77)+COUNTIFS($B$3:$B76,"Hire hunter",$C$3:$C76,C77)+COUNTIFS($B$3:$B76,"Forge/Scrapwork buy",$C$3:$C76,C77))),1),0),"Can't","OK"),IF(IFERROR(VLOOKUP(C77,Upgrades!$N$4:$T$47,2,FALSE),0)="scraps",IF(J76&lt;IFERROR(FLOOR(IFERROR(VLOOKUP(C77,Upgrades!$N$4:$T$47,3,FALSE),0)*(IFERROR(VLOOKUP(C77,Upgrades!$N$4:$T$47,4,FALSE),0)^(COUNTIFS($B$3:$B76,"Buy upgrade",$C$3:$C76,C77)+COUNTIFS($B$3:$B76,"Hire hunter",$C$3:$C76,C77)+COUNTIFS($B$3:$B76,"Forge/Scrapwork buy",$C$3:$C76,C77))),1),0),"Can't","OK"),IF(IFERROR(VLOOKUP(C77,Upgrades!$N$4:$T$47,2,FALSE),0)="mats","Can't","OK")))),"Check")))))</f>
        <v/>
      </c>
      <c r="F77" s="7">
        <f>IF(B77="","",IF(AND(B77="Fight boss",I76&lt;IF((IFERROR(VLOOKUP(C77,Monsters!$T$4:$AH$15,15,FALSE),0))=0,120,IFERROR(VLOOKUP(C77,Monsters!$T$4:$AH$15,15,FALSE),0))),"Can't — need "&amp;TEXT(IF((IFERROR(VLOOKUP(C77,Monsters!$T$4:$AH$15,15,FALSE),0))=0,120,IFERROR(VLOOKUP(C77,Monsters!$T$4:$AH$15,15,FALSE),0))-I76,"0.0")&amp;" more Slayer points on the meter",IF(AND(B77="Hire hunter",C77="Briar",AD76&gt;=1),"Can't — already hired",IF(AND(B77="Hire hunter",H76&lt;IF(C77="Briar",140,IF(C77="Quill",3650,IF(C77="Moss",4850,IF(C77="Ember",12200,0))))),"Can't — need "&amp;TEXT(IF(C77="Briar",140,IF(C77="Quill",3650,IF(C77="Moss",4850,IF(C77="Ember",12200,0))))-H76,"0")&amp;" more gold",IF(AND(OR(B77="Buy upgrade",B77="Forge/Scrapwork buy"),IFERROR(VLOOKUP(C77,Upgrades!$N$4:$T$47,2,FALSE),0)="points"),"Can't — Sp-wallet spends not tracked here",IF(AND(OR(B77="Buy upgrade",B77="Forge/Scrapwork buy"),IFERROR(VLOOKUP(C77,Upgrades!$N$4:$T$47,2,FALSE),0)="gold",H76&lt;IFERROR(FLOOR(IFERROR(VLOOKUP(C77,Upgrades!$N$4:$T$47,3,FALSE),0)*(IFERROR(VLOOKUP(C77,Upgrades!$N$4:$T$47,4,FALSE),0)^(COUNTIFS($B$3:$B76,"Buy upgrade",$C$3:$C76,C77)+COUNTIFS($B$3:$B76,"Hire hunter",$C$3:$C76,C77)+COUNTIFS($B$3:$B76,"Forge/Scrapwork buy",$C$3:$C76,C77))),1),0)),"Can't — need "&amp;TEXT(IFERROR(FLOOR(IFERROR(VLOOKUP(C77,Upgrades!$N$4:$T$47,3,FALSE),0)*(IFERROR(VLOOKUP(C77,Upgrades!$N$4:$T$47,4,FALSE),0)^(COUNTIFS($B$3:$B76,"Buy upgrade",$C$3:$C76,C77)+COUNTIFS($B$3:$B76,"Hire hunter",$C$3:$C76,C77)+COUNTIFS($B$3:$B76,"Forge/Scrapwork buy",$C$3:$C76,C77))),1),0)-H76,"0")&amp;" more gold",IF(AND(OR(B77="Buy upgrade",B77="Forge/Scrapwork buy"),IFERROR(VLOOKUP(C77,Upgrades!$N$4:$T$47,2,FALSE),0)="scraps",J76&lt;IFERROR(FLOOR(IFERROR(VLOOKUP(C77,Upgrades!$N$4:$T$47,3,FALSE),0)*(IFERROR(VLOOKUP(C77,Upgrades!$N$4:$T$47,4,FALSE),0)^(COUNTIFS($B$3:$B76,"Buy upgrade",$C$3:$C76,C77)+COUNTIFS($B$3:$B76,"Hire hunter",$C$3:$C76,C77)+COUNTIFS($B$3:$B76,"Forge/Scrapwork buy",$C$3:$C76,C77))),1),0)),"Can't — need "&amp;TEXT(IFERROR(FLOOR(IFERROR(VLOOKUP(C77,Upgrades!$N$4:$T$47,3,FALSE),0)*(IFERROR(VLOOKUP(C77,Upgrades!$N$4:$T$47,4,FALSE),0)^(COUNTIFS($B$3:$B76,"Buy upgrade",$C$3:$C76,C77)+COUNTIFS($B$3:$B76,"Hire hunter",$C$3:$C76,C77)+COUNTIFS($B$3:$B76,"Forge/Scrapwork buy",$C$3:$C76,C77))),1),0)-J76,"0")&amp;" more scraps",IF(AND(B77="Fight boss",E77="OK",(IF((((105/'Rules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Formulas'!B12)),"WIN — boss down, next Level unlocks",IF(AND(B77="Fight boss",E77="OK"),"LOSE — TTK "&amp;TEXT(IF((((105/'Rules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Formulas'!B20*SQRT(1+0.55*(AG76&gt;=1))),0)))),"0")&amp;"s &gt; patience "&amp;TEXT('Rules &amp; Formulas'!B12,"0")&amp;"s (leave resets HP)",IF(B77="Go AFK","AFK resolved (see AFK counted h)","Applied")))))))))</f>
        <v/>
      </c>
      <c r="G77" s="7">
        <f>IF(AND((E77="OK"),B77="Fight boss",(IF((((105/'Rules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Formulas'!B12),C77="Elder Thornpelt"),2,IF(AND((E77="OK"),B77="Fight boss",(IF((((105/'Rules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Formulas'!B12),C77="Ashfang Alpha"),3,G76))</f>
        <v/>
      </c>
      <c r="H77" s="7">
        <f>MAX(0,H76+IF(AND((E77="OK"),B77="Hunt"),(IF(B77="Hunt",(('Rules &amp; Formulas'!B4*N76*('Rules &amp; Formulas'!B5+O76)*IFERROR(VLOOKUP(C77,Monsters!$T$4:$AH$15,10,FALSE),0)*IFERROR(VLOOKUP(C77,Monsters!$T$4:$AH$15,9,FALSE),0))*'Rules &amp; Formulas'!B6)*IF(D77="",0,D77),0))*(IFERROR(VLOOKUP(C77,Monsters!$T$4:$AH$15,3,FALSE),0))*(1+0.1*AH76)+(IF(OR(B77&lt;&gt;"Hunt",IFERROR(VLOOKUP(C77,Monsters!$T$4:$AH$15,6,FALSE),0)=0),0,FLOOR((IF(B77="Hunt",(('Rules &amp; Formulas'!B4*N76*('Rules &amp; Formulas'!B5+O76)*IFERROR(VLOOKUP(C77,Monsters!$T$4:$AH$15,10,FALSE),0)*IFERROR(VLOOKUP(C77,Monsters!$T$4:$AH$15,9,FALSE),0))*'Rules &amp; Formulas'!B6)*IF(D77="",0,D77),0))/MAX(1,IFERROR(VLOOKUP(C77,Monsters!$T$4:$AH$15,6,FALSE),0)),1)))*(IFERROR(VLOOKUP(C77,Monsters!$T$4:$AH$15,7,FALSE),0))*0.5*(1+0.1*AH76),0)+IF(AND((E77="OK"),B77="Go AFK"),(IF(B77="Go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AFK",IF(D77="",0,D77),0),Z76/60)*60)),0))*(IFERROR(VLOOKUP(C77,Monsters!$T$4:$AH$15,3,FALSE),0))*(1+0.1*AH76)+(IF(OR(B77&lt;&gt;"Go AFK",IFERROR(VLOOKUP(C77,Monsters!$T$4:$AH$15,6,FALSE),0)=0),0,FLOOR((IF(B77="Go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AFK",IF(D77="",0,D77),0),Z76/60)*60)),0))/MAX(1,IFERROR(VLOOKUP(C77,Monsters!$T$4:$AH$15,6,FALSE),0)),1)))*(IFERROR(VLOOKUP(C77,Monsters!$T$4:$AH$15,7,FALSE),0))*0.5*(1+0.1*AH76),0)+IF(AND((E77="OK"),B77="Fight boss",(IF((((105/'Rules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Formulas'!B12)),IFERROR(VLOOKUP(C77,Monsters!$T$4:$AH$15,3,FALSE),0),0)-IF(AND((E77="OK"),OR(B77="Buy upgrade",B77="Forge/Scrapwork buy"),IFERROR(VLOOKUP(C77,Upgrades!$N$4:$T$47,2,FALSE),0)="gold"),IFERROR(FLOOR(IFERROR(VLOOKUP(C77,Upgrades!$N$4:$T$47,3,FALSE),0)*(IFERROR(VLOOKUP(C77,Upgrades!$N$4:$T$47,4,FALSE),0)^(COUNTIFS($B$3:$B76,"Buy upgrade",$C$3:$C76,C77)+COUNTIFS($B$3:$B76,"Hire hunter",$C$3:$C76,C77)+COUNTIFS($B$3:$B76,"Forge/Scrapwork buy",$C$3:$C76,C77))),1),0),0)-IF(AND((E77="OK"),B77="Hire hunter"),IF(C77="Briar",140,IF(C77="Quill",3650,IF(C77="Moss",4850,IF(C77="Ember",12200,0)))),0))</f>
        <v/>
      </c>
      <c r="I77" s="7">
        <f>IF(AND((E77="OK"),B77="Fight boss",(IF((((105/'Rules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Formulas'!B12)),0,MIN(IF(G76&lt;=1,120,IF(G76=2,280,600)),I76+IF(AND((E77="OK"),B77="Hunt"),((IF(B77="Hunt",(('Rules &amp; Formulas'!B4*N76*('Rules &amp; Formulas'!B5+O76)*IFERROR(VLOOKUP(C77,Monsters!$T$4:$AH$15,10,FALSE),0)*IFERROR(VLOOKUP(C77,Monsters!$T$4:$AH$15,9,FALSE),0))*'Rules &amp; Formulas'!B6)*IF(D77="",0,D77),0))*(IFERROR(VLOOKUP(C77,Monsters!$T$4:$AH$15,4,FALSE),0))+(IF(OR(B77&lt;&gt;"Hunt",IFERROR(VLOOKUP(C77,Monsters!$T$4:$AH$15,6,FALSE),0)=0),0,FLOOR((IF(B77="Hunt",(('Rules &amp; Formulas'!B4*N76*('Rules &amp; Formulas'!B5+O76)*IFERROR(VLOOKUP(C77,Monsters!$T$4:$AH$15,10,FALSE),0)*IFERROR(VLOOKUP(C77,Monsters!$T$4:$AH$15,9,FALSE),0))*'Rules &amp; Formulas'!B6)*IF(D77="",0,D77),0))/MAX(1,IFERROR(VLOOKUP(C77,Monsters!$T$4:$AH$15,6,FALSE),0)),1)))*(IFERROR(VLOOKUP(C77,Monsters!$T$4:$AH$15,7,FALSE),0))),0)+IF(AND((E77="OK"),B77="Go AFK"),((IF(B77="Go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AFK",IF(D77="",0,D77),0),Z76/60)*60)),0))*(IFERROR(VLOOKUP(C77,Monsters!$T$4:$AH$15,4,FALSE),0))+(IF(OR(B77&lt;&gt;"Go AFK",IFERROR(VLOOKUP(C77,Monsters!$T$4:$AH$15,6,FALSE),0)=0),0,FLOOR((IF(B77="Go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AFK",IF(D77="",0,D77),0),Z76/60)*60)),0))/MAX(1,IFERROR(VLOOKUP(C77,Monsters!$T$4:$AH$15,6,FALSE),0)),1)))*(IFERROR(VLOOKUP(C77,Monsters!$T$4:$AH$15,7,FALSE),0))),0)))</f>
        <v/>
      </c>
      <c r="J77" s="7">
        <f>MAX(0,J76+IF(AND((E77="OK"),B77="Hunt"),(IF(B77="Hunt",(('Rules &amp; Formulas'!B4*N76*('Rules &amp; Formulas'!B5+O76)*IFERROR(VLOOKUP(C77,Monsters!$T$4:$AH$15,10,FALSE),0)*IFERROR(VLOOKUP(C77,Monsters!$T$4:$AH$15,9,FALSE),0))*'Rules &amp; Formulas'!B6)*IF(D77="",0,D77),0))*(IFERROR(VLOOKUP(C77,Monsters!$T$4:$AH$15,5,FALSE),0)),0)+IF(AND((E77="OK"),B77="Go AFK"),(IF(B77="Go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AFK",IF(D77="",0,D77),0),Z76/60)*60)),0))*(IFERROR(VLOOKUP(C77,Monsters!$T$4:$AH$15,5,FALSE),0)),0)-IF(AND((E77="OK"),OR(B77="Buy upgrade",B77="Forge/Scrapwork buy"),IFERROR(VLOOKUP(C77,Upgrades!$N$4:$T$47,2,FALSE),0)="scraps"),IFERROR(FLOOR(IFERROR(VLOOKUP(C77,Upgrades!$N$4:$T$47,3,FALSE),0)*(IFERROR(VLOOKUP(C77,Upgrades!$N$4:$T$47,4,FALSE),0)^(COUNTIFS($B$3:$B76,"Buy upgrade",$C$3:$C76,C77)+COUNTIFS($B$3:$B76,"Hire hunter",$C$3:$C76,C77)+COUNTIFS($B$3:$B76,"Forge/Scrapwork buy",$C$3:$C76,C77))),1),0),0))</f>
        <v/>
      </c>
      <c r="K77" s="7">
        <f>MAX(0,K76+IF(AND((E77="OK"),B77="Hunt"),IF(C77="Thornpelt Bear",(IF(B77="Hunt",(('Rules &amp; Formulas'!B4*N76*('Rules &amp; Formulas'!B5+O76)*IFERROR(VLOOKUP(C77,Monsters!$T$4:$AH$15,10,FALSE),0)*IFERROR(VLOOKUP(C77,Monsters!$T$4:$AH$15,9,FALSE),0))*'Rules &amp; Formulas'!B6)*IF(D77="",0,D77),0))*0.12,0),0)+IF(AND((E77="OK"),B77="Go AFK"),IF(C77="Thornpelt Bear",(IF(B77="Go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AFK",IF(D77="",0,D77),0),Z76/60)*60)),0))*0.12,0),0))</f>
        <v/>
      </c>
      <c r="L77" s="7">
        <f>MAX(0,L76+IF(AND((E77="OK"),B77="Hunt"),IF(C77="Dire Thornpelt",(IF(B77="Hunt",(('Rules &amp; Formulas'!B4*N76*('Rules &amp; Formulas'!B5+O76)*IFERROR(VLOOKUP(C77,Monsters!$T$4:$AH$15,10,FALSE),0)*IFERROR(VLOOKUP(C77,Monsters!$T$4:$AH$15,9,FALSE),0))*'Rules &amp; Formulas'!B6)*IF(D77="",0,D77),0))*0.1,0),0)+IF(AND((E77="OK"),B77="Go AFK"),IF(C77="Dire Thornpelt",(IF(B77="Go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AFK",IF(D77="",0,D77),0),Z76/60)*60)),0))*0.1,0),0))</f>
        <v/>
      </c>
      <c r="M77" s="7">
        <f>IF(AND((E77="OK"),B77="Go AFK"),MAX(0,MIN(('Rules &amp; Formulas'!B15+25*AJ76),M76+('Rules &amp; Formulas'!B14+0.4*AJ76)*(MIN(IF(B77="Go AFK",IF(D77="",0,D77),0),Z76/60)*60))-(IF(B77="Go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AFK",IF(D77="",0,D77),0),Z76/60)*60)),0))*(IF((IFERROR(VLOOKUP(C77,Monsters!$T$4:$AH$15,8,FALSE),0))=0,0.35,IFERROR(VLOOKUP(C77,Monsters!$T$4:$AH$15,8,FALSE),0))/(1+0.08*AK76))),MIN(('Rules &amp; Formulas'!B15+25*AJ77),M76))</f>
        <v/>
      </c>
      <c r="N77" s="7">
        <f>(1+0.08+0.12*AA77+0.12*AB77+0.16*AC77)</f>
        <v/>
      </c>
      <c r="O77" s="7">
        <f>((AD77&gt;=1)*1*(1+0.3*AE77))</f>
        <v/>
      </c>
      <c r="P77" s="7">
        <f>IF(OR(B77="Hunt",B77="Go AFK"),(('Rules &amp; Formulas'!B4*N76*('Rules &amp; Formulas'!B5+O76)*IFERROR(VLOOKUP(C77,Monsters!$T$4:$AH$15,10,FALSE),0)*IFERROR(VLOOKUP(C77,Monsters!$T$4:$AH$15,9,FALSE),0))*'Rules &amp; Formulas'!B6),"")</f>
        <v/>
      </c>
      <c r="Q77" s="7">
        <f>IF(OR(B77="Hunt",B77="Go AFK"),('Rules &amp; Formulas'!B4*N76*('Rules &amp; Formulas'!B5+O76)*IFERROR(VLOOKUP(C77,Monsters!$T$4:$AH$15,10,FALSE),0)*IFERROR(VLOOKUP(C77,Monsters!$T$4:$AH$15,9,FALSE),0)),"")</f>
        <v/>
      </c>
      <c r="R77" s="7">
        <f>IF(AND((E77="OK"),B77="Hunt"),IF(B77="Hunt",(('Rules &amp; Formulas'!B4*N76*('Rules &amp; Formulas'!B5+O76)*IFERROR(VLOOKUP(C77,Monsters!$T$4:$AH$15,10,FALSE),0)*IFERROR(VLOOKUP(C77,Monsters!$T$4:$AH$15,9,FALSE),0))*'Rules &amp; Formulas'!B6)*IF(D77="",0,D77),0),IF(AND((E77="OK"),B77="Go AFK"),IF(B77="Go AFK",MIN(IF((IF((IFERROR(VLOOKUP(C77,Monsters!$T$4:$AH$15,8,FALSE),0))=0,0.35,IFERROR(VLOOKUP(C77,Monsters!$T$4:$AH$15,8,FALSE),0))/(1+0.08*AK76))&lt;=0,999999,FLOOR(MIN(('Rules &amp; Formulas'!B15+25*AJ76),M76+('Rules &amp; Formulas'!B14+0.4*AJ76)*(MIN(IF(B77="Go AFK",IF(D77="",0,D77),0),Z76/60)*60))/(IF((IFERROR(VLOOKUP(C77,Monsters!$T$4:$AH$15,8,FALSE),0))=0,0.35,IFERROR(VLOOKUP(C77,Monsters!$T$4:$AH$15,8,FALSE),0))/(1+0.08*AK76)),1)),('Rules &amp; Formulas'!B4*N76*('Rules &amp; Formulas'!B5+O76)*IFERROR(VLOOKUP(C77,Monsters!$T$4:$AH$15,10,FALSE),0)*IFERROR(VLOOKUP(C77,Monsters!$T$4:$AH$15,9,FALSE),0))*(MIN(IF(B77="Go AFK",IF(D77="",0,D77),0),Z76/60)*60)),0),0))</f>
        <v/>
      </c>
      <c r="S77" s="7">
        <f>(105/'Rules &amp; Formulas'!B10)*'Rules &amp; Formulas'!B11</f>
        <v/>
      </c>
      <c r="T77" s="7">
        <f>IF(AD76&gt;=1,(MAX(1,ROUND('Rules &amp; Formulas'!B18*(1+0.3*AE76)*(1+0.4*AF76),0)))*(1000/'Rules &amp; Formulas'!B19)*MIN(0.95,'Rules &amp; Formulas'!B20*SQRT(1+0.55*(AG76&gt;=1))),0)</f>
        <v/>
      </c>
      <c r="U77" s="7">
        <f>S77+T77</f>
        <v/>
      </c>
      <c r="V77" s="7">
        <f>IF(I76&gt;=IF((IFERROR(VLOOKUP(C77,Monsters!$T$4:$AH$15,15,FALSE),0))=0,120,IFERROR(VLOOKUP(C77,Monsters!$T$4:$AH$15,15,FALSE),0)),"YES","no")</f>
        <v/>
      </c>
      <c r="W77" s="7">
        <f>IF(AND(B77="Fight boss",E77="OK"),IF((((105/'Rules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Formulas'!B20*SQRT(1+0.55*(AG76&gt;=1))),0)))),"")</f>
        <v/>
      </c>
      <c r="X77" s="7">
        <f>IF(AND(B77="Fight boss",E77="OK"),IF((IF((((105/'Rules &amp; Formulas'!B10)*'Rules &amp; Formulas'!B11+IF(AD76&gt;=1,(MAX(1,ROUND('Rules &amp; Formulas'!B18*(1+0.3*AE76)*(1+0.4*AF76),0)))*(1000/'Rules &amp; Formulas'!B19)*MIN(0.95,'Rules &amp; Formulas'!B20*SQRT(1+0.55*(AG76&gt;=1))),0)))&lt;=0,9999,(IFERROR(VLOOKUP(C77,Monsters!$T$4:$AH$15,2,FALSE),0))/(((105/'Rules &amp; Formulas'!B10)*'Rules &amp; Formulas'!B11+IF(AD76&gt;=1,(MAX(1,ROUND('Rules &amp; Formulas'!B18*(1+0.3*AE76)*(1+0.4*AF76),0)))*(1000/'Rules &amp; Formulas'!B19)*MIN(0.95,'Rules &amp; Formulas'!B20*SQRT(1+0.55*(AG76&gt;=1))),0))))&lt;='Rules &amp; Formulas'!B12),"WIN","LOSE"),"")</f>
        <v/>
      </c>
      <c r="Y77" s="7">
        <f>IF(B77="Go AFK",MIN(IF(B77="Go AFK",IF(D77="",0,D77),0),Z76/60),"")</f>
        <v/>
      </c>
      <c r="Z77" s="7">
        <f>('Rules &amp; Formulas'!B13+30*AI77)</f>
        <v/>
      </c>
      <c r="AA77">
        <f>COUNTIFS($B$3:$B77,"Buy upgrade",$C$3:$C77,"Idle Power")</f>
        <v/>
      </c>
      <c r="AB77">
        <f>COUNTIFS($B$3:$B77,"Buy upgrade",$C$3:$C77,"Iron Blade")</f>
        <v/>
      </c>
      <c r="AC77">
        <f>COUNTIFS($B$3:$B77,"Buy upgrade",$C$3:$C77,"Steel Blade")</f>
        <v/>
      </c>
      <c r="AD77">
        <f>COUNTIFS($B$3:$B77,"Hire hunter",$C$3:$C77,"Briar")+COUNTIFS($B$3:$B77,"Buy upgrade",$C$3:$C77,"Hire Briar")</f>
        <v/>
      </c>
      <c r="AE77">
        <f>COUNTIFS($B$3:$B77,"Buy upgrade",$C$3:$C77,"Hunter Power")</f>
        <v/>
      </c>
      <c r="AF77">
        <f>COUNTIFS($B$3:$B77,"Buy upgrade",$C$3:$C77,"Bigger Hits")</f>
        <v/>
      </c>
      <c r="AG77">
        <f>COUNTIFS($B$3:$B77,"Buy upgrade",$C$3:$C77,"Swift Walk")</f>
        <v/>
      </c>
      <c r="AH77">
        <f>COUNTIFS($B$3:$B77,"Buy upgrade",$C$3:$C77,"Loot Luck")</f>
        <v/>
      </c>
      <c r="AI77">
        <f>COUNTIFS($B$3:$B77,"Buy upgrade",$C$3:$C77,"Offline Cap")</f>
        <v/>
      </c>
      <c r="AJ77">
        <f>COUNTIFS($B$3:$B77,"Buy upgrade",$C$3:$C77,"Bigger Food Stock")</f>
        <v/>
      </c>
      <c r="AK77">
        <f>COUNTIFS($B$3:$B77,"Buy upgrade",$C$3:$C77,"Food Efficiency")</f>
        <v/>
      </c>
    </row>
    <row r="78">
      <c r="A78" t="n">
        <v>76</v>
      </c>
      <c r="B78" s="6" t="n"/>
      <c r="C78" s="6" t="n"/>
      <c r="D78" s="6" t="n"/>
      <c r="E78" s="7">
        <f>IF(B78="","",IF(OR(B78="Hunt",B78="Go AFK"),IF(C78="","Can't","OK"),IF(B78="Fight boss",IF(I77&lt;IF((IFERROR(VLOOKUP(C78,Monsters!$T$4:$AH$15,15,FALSE),0))=0,120,IFERROR(VLOOKUP(C78,Monsters!$T$4:$AH$15,15,FALSE),0)),"Can't","OK"),IF(B78="Hire hunter",IF(AND(C78="Briar",AD77&gt;=1),"Can't",IF(H77&lt;IF(C78="Briar",140,IF(C78="Quill",3650,IF(C78="Moss",4850,IF(C78="Ember",12200,0)))),"Can't","OK")),IF(OR(B78="Buy upgrade",B78="Forge/Scrapwork buy"),IF(IFERROR(VLOOKUP(C78,Upgrades!$N$4:$T$47,2,FALSE),0)="points","Can't",IF(IFERROR(VLOOKUP(C78,Upgrades!$N$4:$T$47,2,FALSE),0)="gold",IF(H77&lt;IFERROR(FLOOR(IFERROR(VLOOKUP(C78,Upgrades!$N$4:$T$47,3,FALSE),0)*(IFERROR(VLOOKUP(C78,Upgrades!$N$4:$T$47,4,FALSE),0)^(COUNTIFS($B$3:$B77,"Buy upgrade",$C$3:$C77,C78)+COUNTIFS($B$3:$B77,"Hire hunter",$C$3:$C77,C78)+COUNTIFS($B$3:$B77,"Forge/Scrapwork buy",$C$3:$C77,C78))),1),0),"Can't","OK"),IF(IFERROR(VLOOKUP(C78,Upgrades!$N$4:$T$47,2,FALSE),0)="scraps",IF(J77&lt;IFERROR(FLOOR(IFERROR(VLOOKUP(C78,Upgrades!$N$4:$T$47,3,FALSE),0)*(IFERROR(VLOOKUP(C78,Upgrades!$N$4:$T$47,4,FALSE),0)^(COUNTIFS($B$3:$B77,"Buy upgrade",$C$3:$C77,C78)+COUNTIFS($B$3:$B77,"Hire hunter",$C$3:$C77,C78)+COUNTIFS($B$3:$B77,"Forge/Scrapwork buy",$C$3:$C77,C78))),1),0),"Can't","OK"),IF(IFERROR(VLOOKUP(C78,Upgrades!$N$4:$T$47,2,FALSE),0)="mats","Can't","OK")))),"Check")))))</f>
        <v/>
      </c>
      <c r="F78" s="7">
        <f>IF(B78="","",IF(AND(B78="Fight boss",I77&lt;IF((IFERROR(VLOOKUP(C78,Monsters!$T$4:$AH$15,15,FALSE),0))=0,120,IFERROR(VLOOKUP(C78,Monsters!$T$4:$AH$15,15,FALSE),0))),"Can't — need "&amp;TEXT(IF((IFERROR(VLOOKUP(C78,Monsters!$T$4:$AH$15,15,FALSE),0))=0,120,IFERROR(VLOOKUP(C78,Monsters!$T$4:$AH$15,15,FALSE),0))-I77,"0.0")&amp;" more Slayer points on the meter",IF(AND(B78="Hire hunter",C78="Briar",AD77&gt;=1),"Can't — already hired",IF(AND(B78="Hire hunter",H77&lt;IF(C78="Briar",140,IF(C78="Quill",3650,IF(C78="Moss",4850,IF(C78="Ember",12200,0))))),"Can't — need "&amp;TEXT(IF(C78="Briar",140,IF(C78="Quill",3650,IF(C78="Moss",4850,IF(C78="Ember",12200,0))))-H77,"0")&amp;" more gold",IF(AND(OR(B78="Buy upgrade",B78="Forge/Scrapwork buy"),IFERROR(VLOOKUP(C78,Upgrades!$N$4:$T$47,2,FALSE),0)="points"),"Can't — Sp-wallet spends not tracked here",IF(AND(OR(B78="Buy upgrade",B78="Forge/Scrapwork buy"),IFERROR(VLOOKUP(C78,Upgrades!$N$4:$T$47,2,FALSE),0)="gold",H77&lt;IFERROR(FLOOR(IFERROR(VLOOKUP(C78,Upgrades!$N$4:$T$47,3,FALSE),0)*(IFERROR(VLOOKUP(C78,Upgrades!$N$4:$T$47,4,FALSE),0)^(COUNTIFS($B$3:$B77,"Buy upgrade",$C$3:$C77,C78)+COUNTIFS($B$3:$B77,"Hire hunter",$C$3:$C77,C78)+COUNTIFS($B$3:$B77,"Forge/Scrapwork buy",$C$3:$C77,C78))),1),0)),"Can't — need "&amp;TEXT(IFERROR(FLOOR(IFERROR(VLOOKUP(C78,Upgrades!$N$4:$T$47,3,FALSE),0)*(IFERROR(VLOOKUP(C78,Upgrades!$N$4:$T$47,4,FALSE),0)^(COUNTIFS($B$3:$B77,"Buy upgrade",$C$3:$C77,C78)+COUNTIFS($B$3:$B77,"Hire hunter",$C$3:$C77,C78)+COUNTIFS($B$3:$B77,"Forge/Scrapwork buy",$C$3:$C77,C78))),1),0)-H77,"0")&amp;" more gold",IF(AND(OR(B78="Buy upgrade",B78="Forge/Scrapwork buy"),IFERROR(VLOOKUP(C78,Upgrades!$N$4:$T$47,2,FALSE),0)="scraps",J77&lt;IFERROR(FLOOR(IFERROR(VLOOKUP(C78,Upgrades!$N$4:$T$47,3,FALSE),0)*(IFERROR(VLOOKUP(C78,Upgrades!$N$4:$T$47,4,FALSE),0)^(COUNTIFS($B$3:$B77,"Buy upgrade",$C$3:$C77,C78)+COUNTIFS($B$3:$B77,"Hire hunter",$C$3:$C77,C78)+COUNTIFS($B$3:$B77,"Forge/Scrapwork buy",$C$3:$C77,C78))),1),0)),"Can't — need "&amp;TEXT(IFERROR(FLOOR(IFERROR(VLOOKUP(C78,Upgrades!$N$4:$T$47,3,FALSE),0)*(IFERROR(VLOOKUP(C78,Upgrades!$N$4:$T$47,4,FALSE),0)^(COUNTIFS($B$3:$B77,"Buy upgrade",$C$3:$C77,C78)+COUNTIFS($B$3:$B77,"Hire hunter",$C$3:$C77,C78)+COUNTIFS($B$3:$B77,"Forge/Scrapwork buy",$C$3:$C77,C78))),1),0)-J77,"0")&amp;" more scraps",IF(AND(B78="Fight boss",E78="OK",(IF((((105/'Rules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Formulas'!B12)),"WIN — boss down, next Level unlocks",IF(AND(B78="Fight boss",E78="OK"),"LOSE — TTK "&amp;TEXT(IF((((105/'Rules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Formulas'!B20*SQRT(1+0.55*(AG77&gt;=1))),0)))),"0")&amp;"s &gt; patience "&amp;TEXT('Rules &amp; Formulas'!B12,"0")&amp;"s (leave resets HP)",IF(B78="Go AFK","AFK resolved (see AFK counted h)","Applied")))))))))</f>
        <v/>
      </c>
      <c r="G78" s="7">
        <f>IF(AND((E78="OK"),B78="Fight boss",(IF((((105/'Rules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Formulas'!B12),C78="Elder Thornpelt"),2,IF(AND((E78="OK"),B78="Fight boss",(IF((((105/'Rules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Formulas'!B12),C78="Ashfang Alpha"),3,G77))</f>
        <v/>
      </c>
      <c r="H78" s="7">
        <f>MAX(0,H77+IF(AND((E78="OK"),B78="Hunt"),(IF(B78="Hunt",(('Rules &amp; Formulas'!B4*N77*('Rules &amp; Formulas'!B5+O77)*IFERROR(VLOOKUP(C78,Monsters!$T$4:$AH$15,10,FALSE),0)*IFERROR(VLOOKUP(C78,Monsters!$T$4:$AH$15,9,FALSE),0))*'Rules &amp; Formulas'!B6)*IF(D78="",0,D78),0))*(IFERROR(VLOOKUP(C78,Monsters!$T$4:$AH$15,3,FALSE),0))*(1+0.1*AH77)+(IF(OR(B78&lt;&gt;"Hunt",IFERROR(VLOOKUP(C78,Monsters!$T$4:$AH$15,6,FALSE),0)=0),0,FLOOR((IF(B78="Hunt",(('Rules &amp; Formulas'!B4*N77*('Rules &amp; Formulas'!B5+O77)*IFERROR(VLOOKUP(C78,Monsters!$T$4:$AH$15,10,FALSE),0)*IFERROR(VLOOKUP(C78,Monsters!$T$4:$AH$15,9,FALSE),0))*'Rules &amp; Formulas'!B6)*IF(D78="",0,D78),0))/MAX(1,IFERROR(VLOOKUP(C78,Monsters!$T$4:$AH$15,6,FALSE),0)),1)))*(IFERROR(VLOOKUP(C78,Monsters!$T$4:$AH$15,7,FALSE),0))*0.5*(1+0.1*AH77),0)+IF(AND((E78="OK"),B78="Go AFK"),(IF(B78="Go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AFK",IF(D78="",0,D78),0),Z77/60)*60)),0))*(IFERROR(VLOOKUP(C78,Monsters!$T$4:$AH$15,3,FALSE),0))*(1+0.1*AH77)+(IF(OR(B78&lt;&gt;"Go AFK",IFERROR(VLOOKUP(C78,Monsters!$T$4:$AH$15,6,FALSE),0)=0),0,FLOOR((IF(B78="Go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AFK",IF(D78="",0,D78),0),Z77/60)*60)),0))/MAX(1,IFERROR(VLOOKUP(C78,Monsters!$T$4:$AH$15,6,FALSE),0)),1)))*(IFERROR(VLOOKUP(C78,Monsters!$T$4:$AH$15,7,FALSE),0))*0.5*(1+0.1*AH77),0)+IF(AND((E78="OK"),B78="Fight boss",(IF((((105/'Rules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Formulas'!B12)),IFERROR(VLOOKUP(C78,Monsters!$T$4:$AH$15,3,FALSE),0),0)-IF(AND((E78="OK"),OR(B78="Buy upgrade",B78="Forge/Scrapwork buy"),IFERROR(VLOOKUP(C78,Upgrades!$N$4:$T$47,2,FALSE),0)="gold"),IFERROR(FLOOR(IFERROR(VLOOKUP(C78,Upgrades!$N$4:$T$47,3,FALSE),0)*(IFERROR(VLOOKUP(C78,Upgrades!$N$4:$T$47,4,FALSE),0)^(COUNTIFS($B$3:$B77,"Buy upgrade",$C$3:$C77,C78)+COUNTIFS($B$3:$B77,"Hire hunter",$C$3:$C77,C78)+COUNTIFS($B$3:$B77,"Forge/Scrapwork buy",$C$3:$C77,C78))),1),0),0)-IF(AND((E78="OK"),B78="Hire hunter"),IF(C78="Briar",140,IF(C78="Quill",3650,IF(C78="Moss",4850,IF(C78="Ember",12200,0)))),0))</f>
        <v/>
      </c>
      <c r="I78" s="7">
        <f>IF(AND((E78="OK"),B78="Fight boss",(IF((((105/'Rules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Formulas'!B12)),0,MIN(IF(G77&lt;=1,120,IF(G77=2,280,600)),I77+IF(AND((E78="OK"),B78="Hunt"),((IF(B78="Hunt",(('Rules &amp; Formulas'!B4*N77*('Rules &amp; Formulas'!B5+O77)*IFERROR(VLOOKUP(C78,Monsters!$T$4:$AH$15,10,FALSE),0)*IFERROR(VLOOKUP(C78,Monsters!$T$4:$AH$15,9,FALSE),0))*'Rules &amp; Formulas'!B6)*IF(D78="",0,D78),0))*(IFERROR(VLOOKUP(C78,Monsters!$T$4:$AH$15,4,FALSE),0))+(IF(OR(B78&lt;&gt;"Hunt",IFERROR(VLOOKUP(C78,Monsters!$T$4:$AH$15,6,FALSE),0)=0),0,FLOOR((IF(B78="Hunt",(('Rules &amp; Formulas'!B4*N77*('Rules &amp; Formulas'!B5+O77)*IFERROR(VLOOKUP(C78,Monsters!$T$4:$AH$15,10,FALSE),0)*IFERROR(VLOOKUP(C78,Monsters!$T$4:$AH$15,9,FALSE),0))*'Rules &amp; Formulas'!B6)*IF(D78="",0,D78),0))/MAX(1,IFERROR(VLOOKUP(C78,Monsters!$T$4:$AH$15,6,FALSE),0)),1)))*(IFERROR(VLOOKUP(C78,Monsters!$T$4:$AH$15,7,FALSE),0))),0)+IF(AND((E78="OK"),B78="Go AFK"),((IF(B78="Go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AFK",IF(D78="",0,D78),0),Z77/60)*60)),0))*(IFERROR(VLOOKUP(C78,Monsters!$T$4:$AH$15,4,FALSE),0))+(IF(OR(B78&lt;&gt;"Go AFK",IFERROR(VLOOKUP(C78,Monsters!$T$4:$AH$15,6,FALSE),0)=0),0,FLOOR((IF(B78="Go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AFK",IF(D78="",0,D78),0),Z77/60)*60)),0))/MAX(1,IFERROR(VLOOKUP(C78,Monsters!$T$4:$AH$15,6,FALSE),0)),1)))*(IFERROR(VLOOKUP(C78,Monsters!$T$4:$AH$15,7,FALSE),0))),0)))</f>
        <v/>
      </c>
      <c r="J78" s="7">
        <f>MAX(0,J77+IF(AND((E78="OK"),B78="Hunt"),(IF(B78="Hunt",(('Rules &amp; Formulas'!B4*N77*('Rules &amp; Formulas'!B5+O77)*IFERROR(VLOOKUP(C78,Monsters!$T$4:$AH$15,10,FALSE),0)*IFERROR(VLOOKUP(C78,Monsters!$T$4:$AH$15,9,FALSE),0))*'Rules &amp; Formulas'!B6)*IF(D78="",0,D78),0))*(IFERROR(VLOOKUP(C78,Monsters!$T$4:$AH$15,5,FALSE),0)),0)+IF(AND((E78="OK"),B78="Go AFK"),(IF(B78="Go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AFK",IF(D78="",0,D78),0),Z77/60)*60)),0))*(IFERROR(VLOOKUP(C78,Monsters!$T$4:$AH$15,5,FALSE),0)),0)-IF(AND((E78="OK"),OR(B78="Buy upgrade",B78="Forge/Scrapwork buy"),IFERROR(VLOOKUP(C78,Upgrades!$N$4:$T$47,2,FALSE),0)="scraps"),IFERROR(FLOOR(IFERROR(VLOOKUP(C78,Upgrades!$N$4:$T$47,3,FALSE),0)*(IFERROR(VLOOKUP(C78,Upgrades!$N$4:$T$47,4,FALSE),0)^(COUNTIFS($B$3:$B77,"Buy upgrade",$C$3:$C77,C78)+COUNTIFS($B$3:$B77,"Hire hunter",$C$3:$C77,C78)+COUNTIFS($B$3:$B77,"Forge/Scrapwork buy",$C$3:$C77,C78))),1),0),0))</f>
        <v/>
      </c>
      <c r="K78" s="7">
        <f>MAX(0,K77+IF(AND((E78="OK"),B78="Hunt"),IF(C78="Thornpelt Bear",(IF(B78="Hunt",(('Rules &amp; Formulas'!B4*N77*('Rules &amp; Formulas'!B5+O77)*IFERROR(VLOOKUP(C78,Monsters!$T$4:$AH$15,10,FALSE),0)*IFERROR(VLOOKUP(C78,Monsters!$T$4:$AH$15,9,FALSE),0))*'Rules &amp; Formulas'!B6)*IF(D78="",0,D78),0))*0.12,0),0)+IF(AND((E78="OK"),B78="Go AFK"),IF(C78="Thornpelt Bear",(IF(B78="Go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AFK",IF(D78="",0,D78),0),Z77/60)*60)),0))*0.12,0),0))</f>
        <v/>
      </c>
      <c r="L78" s="7">
        <f>MAX(0,L77+IF(AND((E78="OK"),B78="Hunt"),IF(C78="Dire Thornpelt",(IF(B78="Hunt",(('Rules &amp; Formulas'!B4*N77*('Rules &amp; Formulas'!B5+O77)*IFERROR(VLOOKUP(C78,Monsters!$T$4:$AH$15,10,FALSE),0)*IFERROR(VLOOKUP(C78,Monsters!$T$4:$AH$15,9,FALSE),0))*'Rules &amp; Formulas'!B6)*IF(D78="",0,D78),0))*0.1,0),0)+IF(AND((E78="OK"),B78="Go AFK"),IF(C78="Dire Thornpelt",(IF(B78="Go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AFK",IF(D78="",0,D78),0),Z77/60)*60)),0))*0.1,0),0))</f>
        <v/>
      </c>
      <c r="M78" s="7">
        <f>IF(AND((E78="OK"),B78="Go AFK"),MAX(0,MIN(('Rules &amp; Formulas'!B15+25*AJ77),M77+('Rules &amp; Formulas'!B14+0.4*AJ77)*(MIN(IF(B78="Go AFK",IF(D78="",0,D78),0),Z77/60)*60))-(IF(B78="Go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AFK",IF(D78="",0,D78),0),Z77/60)*60)),0))*(IF((IFERROR(VLOOKUP(C78,Monsters!$T$4:$AH$15,8,FALSE),0))=0,0.35,IFERROR(VLOOKUP(C78,Monsters!$T$4:$AH$15,8,FALSE),0))/(1+0.08*AK77))),MIN(('Rules &amp; Formulas'!B15+25*AJ78),M77))</f>
        <v/>
      </c>
      <c r="N78" s="7">
        <f>(1+0.08+0.12*AA78+0.12*AB78+0.16*AC78)</f>
        <v/>
      </c>
      <c r="O78" s="7">
        <f>((AD78&gt;=1)*1*(1+0.3*AE78))</f>
        <v/>
      </c>
      <c r="P78" s="7">
        <f>IF(OR(B78="Hunt",B78="Go AFK"),(('Rules &amp; Formulas'!B4*N77*('Rules &amp; Formulas'!B5+O77)*IFERROR(VLOOKUP(C78,Monsters!$T$4:$AH$15,10,FALSE),0)*IFERROR(VLOOKUP(C78,Monsters!$T$4:$AH$15,9,FALSE),0))*'Rules &amp; Formulas'!B6),"")</f>
        <v/>
      </c>
      <c r="Q78" s="7">
        <f>IF(OR(B78="Hunt",B78="Go AFK"),('Rules &amp; Formulas'!B4*N77*('Rules &amp; Formulas'!B5+O77)*IFERROR(VLOOKUP(C78,Monsters!$T$4:$AH$15,10,FALSE),0)*IFERROR(VLOOKUP(C78,Monsters!$T$4:$AH$15,9,FALSE),0)),"")</f>
        <v/>
      </c>
      <c r="R78" s="7">
        <f>IF(AND((E78="OK"),B78="Hunt"),IF(B78="Hunt",(('Rules &amp; Formulas'!B4*N77*('Rules &amp; Formulas'!B5+O77)*IFERROR(VLOOKUP(C78,Monsters!$T$4:$AH$15,10,FALSE),0)*IFERROR(VLOOKUP(C78,Monsters!$T$4:$AH$15,9,FALSE),0))*'Rules &amp; Formulas'!B6)*IF(D78="",0,D78),0),IF(AND((E78="OK"),B78="Go AFK"),IF(B78="Go AFK",MIN(IF((IF((IFERROR(VLOOKUP(C78,Monsters!$T$4:$AH$15,8,FALSE),0))=0,0.35,IFERROR(VLOOKUP(C78,Monsters!$T$4:$AH$15,8,FALSE),0))/(1+0.08*AK77))&lt;=0,999999,FLOOR(MIN(('Rules &amp; Formulas'!B15+25*AJ77),M77+('Rules &amp; Formulas'!B14+0.4*AJ77)*(MIN(IF(B78="Go AFK",IF(D78="",0,D78),0),Z77/60)*60))/(IF((IFERROR(VLOOKUP(C78,Monsters!$T$4:$AH$15,8,FALSE),0))=0,0.35,IFERROR(VLOOKUP(C78,Monsters!$T$4:$AH$15,8,FALSE),0))/(1+0.08*AK77)),1)),('Rules &amp; Formulas'!B4*N77*('Rules &amp; Formulas'!B5+O77)*IFERROR(VLOOKUP(C78,Monsters!$T$4:$AH$15,10,FALSE),0)*IFERROR(VLOOKUP(C78,Monsters!$T$4:$AH$15,9,FALSE),0))*(MIN(IF(B78="Go AFK",IF(D78="",0,D78),0),Z77/60)*60)),0),0))</f>
        <v/>
      </c>
      <c r="S78" s="7">
        <f>(105/'Rules &amp; Formulas'!B10)*'Rules &amp; Formulas'!B11</f>
        <v/>
      </c>
      <c r="T78" s="7">
        <f>IF(AD77&gt;=1,(MAX(1,ROUND('Rules &amp; Formulas'!B18*(1+0.3*AE77)*(1+0.4*AF77),0)))*(1000/'Rules &amp; Formulas'!B19)*MIN(0.95,'Rules &amp; Formulas'!B20*SQRT(1+0.55*(AG77&gt;=1))),0)</f>
        <v/>
      </c>
      <c r="U78" s="7">
        <f>S78+T78</f>
        <v/>
      </c>
      <c r="V78" s="7">
        <f>IF(I77&gt;=IF((IFERROR(VLOOKUP(C78,Monsters!$T$4:$AH$15,15,FALSE),0))=0,120,IFERROR(VLOOKUP(C78,Monsters!$T$4:$AH$15,15,FALSE),0)),"YES","no")</f>
        <v/>
      </c>
      <c r="W78" s="7">
        <f>IF(AND(B78="Fight boss",E78="OK"),IF((((105/'Rules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Formulas'!B20*SQRT(1+0.55*(AG77&gt;=1))),0)))),"")</f>
        <v/>
      </c>
      <c r="X78" s="7">
        <f>IF(AND(B78="Fight boss",E78="OK"),IF((IF((((105/'Rules &amp; Formulas'!B10)*'Rules &amp; Formulas'!B11+IF(AD77&gt;=1,(MAX(1,ROUND('Rules &amp; Formulas'!B18*(1+0.3*AE77)*(1+0.4*AF77),0)))*(1000/'Rules &amp; Formulas'!B19)*MIN(0.95,'Rules &amp; Formulas'!B20*SQRT(1+0.55*(AG77&gt;=1))),0)))&lt;=0,9999,(IFERROR(VLOOKUP(C78,Monsters!$T$4:$AH$15,2,FALSE),0))/(((105/'Rules &amp; Formulas'!B10)*'Rules &amp; Formulas'!B11+IF(AD77&gt;=1,(MAX(1,ROUND('Rules &amp; Formulas'!B18*(1+0.3*AE77)*(1+0.4*AF77),0)))*(1000/'Rules &amp; Formulas'!B19)*MIN(0.95,'Rules &amp; Formulas'!B20*SQRT(1+0.55*(AG77&gt;=1))),0))))&lt;='Rules &amp; Formulas'!B12),"WIN","LOSE"),"")</f>
        <v/>
      </c>
      <c r="Y78" s="7">
        <f>IF(B78="Go AFK",MIN(IF(B78="Go AFK",IF(D78="",0,D78),0),Z77/60),"")</f>
        <v/>
      </c>
      <c r="Z78" s="7">
        <f>('Rules &amp; Formulas'!B13+30*AI78)</f>
        <v/>
      </c>
      <c r="AA78">
        <f>COUNTIFS($B$3:$B78,"Buy upgrade",$C$3:$C78,"Idle Power")</f>
        <v/>
      </c>
      <c r="AB78">
        <f>COUNTIFS($B$3:$B78,"Buy upgrade",$C$3:$C78,"Iron Blade")</f>
        <v/>
      </c>
      <c r="AC78">
        <f>COUNTIFS($B$3:$B78,"Buy upgrade",$C$3:$C78,"Steel Blade")</f>
        <v/>
      </c>
      <c r="AD78">
        <f>COUNTIFS($B$3:$B78,"Hire hunter",$C$3:$C78,"Briar")+COUNTIFS($B$3:$B78,"Buy upgrade",$C$3:$C78,"Hire Briar")</f>
        <v/>
      </c>
      <c r="AE78">
        <f>COUNTIFS($B$3:$B78,"Buy upgrade",$C$3:$C78,"Hunter Power")</f>
        <v/>
      </c>
      <c r="AF78">
        <f>COUNTIFS($B$3:$B78,"Buy upgrade",$C$3:$C78,"Bigger Hits")</f>
        <v/>
      </c>
      <c r="AG78">
        <f>COUNTIFS($B$3:$B78,"Buy upgrade",$C$3:$C78,"Swift Walk")</f>
        <v/>
      </c>
      <c r="AH78">
        <f>COUNTIFS($B$3:$B78,"Buy upgrade",$C$3:$C78,"Loot Luck")</f>
        <v/>
      </c>
      <c r="AI78">
        <f>COUNTIFS($B$3:$B78,"Buy upgrade",$C$3:$C78,"Offline Cap")</f>
        <v/>
      </c>
      <c r="AJ78">
        <f>COUNTIFS($B$3:$B78,"Buy upgrade",$C$3:$C78,"Bigger Food Stock")</f>
        <v/>
      </c>
      <c r="AK78">
        <f>COUNTIFS($B$3:$B78,"Buy upgrade",$C$3:$C78,"Food Efficiency")</f>
        <v/>
      </c>
    </row>
    <row r="79">
      <c r="A79" t="n">
        <v>77</v>
      </c>
      <c r="B79" s="6" t="n"/>
      <c r="C79" s="6" t="n"/>
      <c r="D79" s="6" t="n"/>
      <c r="E79" s="7">
        <f>IF(B79="","",IF(OR(B79="Hunt",B79="Go AFK"),IF(C79="","Can't","OK"),IF(B79="Fight boss",IF(I78&lt;IF((IFERROR(VLOOKUP(C79,Monsters!$T$4:$AH$15,15,FALSE),0))=0,120,IFERROR(VLOOKUP(C79,Monsters!$T$4:$AH$15,15,FALSE),0)),"Can't","OK"),IF(B79="Hire hunter",IF(AND(C79="Briar",AD78&gt;=1),"Can't",IF(H78&lt;IF(C79="Briar",140,IF(C79="Quill",3650,IF(C79="Moss",4850,IF(C79="Ember",12200,0)))),"Can't","OK")),IF(OR(B79="Buy upgrade",B79="Forge/Scrapwork buy"),IF(IFERROR(VLOOKUP(C79,Upgrades!$N$4:$T$47,2,FALSE),0)="points","Can't",IF(IFERROR(VLOOKUP(C79,Upgrades!$N$4:$T$47,2,FALSE),0)="gold",IF(H78&lt;IFERROR(FLOOR(IFERROR(VLOOKUP(C79,Upgrades!$N$4:$T$47,3,FALSE),0)*(IFERROR(VLOOKUP(C79,Upgrades!$N$4:$T$47,4,FALSE),0)^(COUNTIFS($B$3:$B78,"Buy upgrade",$C$3:$C78,C79)+COUNTIFS($B$3:$B78,"Hire hunter",$C$3:$C78,C79)+COUNTIFS($B$3:$B78,"Forge/Scrapwork buy",$C$3:$C78,C79))),1),0),"Can't","OK"),IF(IFERROR(VLOOKUP(C79,Upgrades!$N$4:$T$47,2,FALSE),0)="scraps",IF(J78&lt;IFERROR(FLOOR(IFERROR(VLOOKUP(C79,Upgrades!$N$4:$T$47,3,FALSE),0)*(IFERROR(VLOOKUP(C79,Upgrades!$N$4:$T$47,4,FALSE),0)^(COUNTIFS($B$3:$B78,"Buy upgrade",$C$3:$C78,C79)+COUNTIFS($B$3:$B78,"Hire hunter",$C$3:$C78,C79)+COUNTIFS($B$3:$B78,"Forge/Scrapwork buy",$C$3:$C78,C79))),1),0),"Can't","OK"),IF(IFERROR(VLOOKUP(C79,Upgrades!$N$4:$T$47,2,FALSE),0)="mats","Can't","OK")))),"Check")))))</f>
        <v/>
      </c>
      <c r="F79" s="7">
        <f>IF(B79="","",IF(AND(B79="Fight boss",I78&lt;IF((IFERROR(VLOOKUP(C79,Monsters!$T$4:$AH$15,15,FALSE),0))=0,120,IFERROR(VLOOKUP(C79,Monsters!$T$4:$AH$15,15,FALSE),0))),"Can't — need "&amp;TEXT(IF((IFERROR(VLOOKUP(C79,Monsters!$T$4:$AH$15,15,FALSE),0))=0,120,IFERROR(VLOOKUP(C79,Monsters!$T$4:$AH$15,15,FALSE),0))-I78,"0.0")&amp;" more Slayer points on the meter",IF(AND(B79="Hire hunter",C79="Briar",AD78&gt;=1),"Can't — already hired",IF(AND(B79="Hire hunter",H78&lt;IF(C79="Briar",140,IF(C79="Quill",3650,IF(C79="Moss",4850,IF(C79="Ember",12200,0))))),"Can't — need "&amp;TEXT(IF(C79="Briar",140,IF(C79="Quill",3650,IF(C79="Moss",4850,IF(C79="Ember",12200,0))))-H78,"0")&amp;" more gold",IF(AND(OR(B79="Buy upgrade",B79="Forge/Scrapwork buy"),IFERROR(VLOOKUP(C79,Upgrades!$N$4:$T$47,2,FALSE),0)="points"),"Can't — Sp-wallet spends not tracked here",IF(AND(OR(B79="Buy upgrade",B79="Forge/Scrapwork buy"),IFERROR(VLOOKUP(C79,Upgrades!$N$4:$T$47,2,FALSE),0)="gold",H78&lt;IFERROR(FLOOR(IFERROR(VLOOKUP(C79,Upgrades!$N$4:$T$47,3,FALSE),0)*(IFERROR(VLOOKUP(C79,Upgrades!$N$4:$T$47,4,FALSE),0)^(COUNTIFS($B$3:$B78,"Buy upgrade",$C$3:$C78,C79)+COUNTIFS($B$3:$B78,"Hire hunter",$C$3:$C78,C79)+COUNTIFS($B$3:$B78,"Forge/Scrapwork buy",$C$3:$C78,C79))),1),0)),"Can't — need "&amp;TEXT(IFERROR(FLOOR(IFERROR(VLOOKUP(C79,Upgrades!$N$4:$T$47,3,FALSE),0)*(IFERROR(VLOOKUP(C79,Upgrades!$N$4:$T$47,4,FALSE),0)^(COUNTIFS($B$3:$B78,"Buy upgrade",$C$3:$C78,C79)+COUNTIFS($B$3:$B78,"Hire hunter",$C$3:$C78,C79)+COUNTIFS($B$3:$B78,"Forge/Scrapwork buy",$C$3:$C78,C79))),1),0)-H78,"0")&amp;" more gold",IF(AND(OR(B79="Buy upgrade",B79="Forge/Scrapwork buy"),IFERROR(VLOOKUP(C79,Upgrades!$N$4:$T$47,2,FALSE),0)="scraps",J78&lt;IFERROR(FLOOR(IFERROR(VLOOKUP(C79,Upgrades!$N$4:$T$47,3,FALSE),0)*(IFERROR(VLOOKUP(C79,Upgrades!$N$4:$T$47,4,FALSE),0)^(COUNTIFS($B$3:$B78,"Buy upgrade",$C$3:$C78,C79)+COUNTIFS($B$3:$B78,"Hire hunter",$C$3:$C78,C79)+COUNTIFS($B$3:$B78,"Forge/Scrapwork buy",$C$3:$C78,C79))),1),0)),"Can't — need "&amp;TEXT(IFERROR(FLOOR(IFERROR(VLOOKUP(C79,Upgrades!$N$4:$T$47,3,FALSE),0)*(IFERROR(VLOOKUP(C79,Upgrades!$N$4:$T$47,4,FALSE),0)^(COUNTIFS($B$3:$B78,"Buy upgrade",$C$3:$C78,C79)+COUNTIFS($B$3:$B78,"Hire hunter",$C$3:$C78,C79)+COUNTIFS($B$3:$B78,"Forge/Scrapwork buy",$C$3:$C78,C79))),1),0)-J78,"0")&amp;" more scraps",IF(AND(B79="Fight boss",E79="OK",(IF((((105/'Rules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Formulas'!B12)),"WIN — boss down, next Level unlocks",IF(AND(B79="Fight boss",E79="OK"),"LOSE — TTK "&amp;TEXT(IF((((105/'Rules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Formulas'!B20*SQRT(1+0.55*(AG78&gt;=1))),0)))),"0")&amp;"s &gt; patience "&amp;TEXT('Rules &amp; Formulas'!B12,"0")&amp;"s (leave resets HP)",IF(B79="Go AFK","AFK resolved (see AFK counted h)","Applied")))))))))</f>
        <v/>
      </c>
      <c r="G79" s="7">
        <f>IF(AND((E79="OK"),B79="Fight boss",(IF((((105/'Rules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Formulas'!B12),C79="Elder Thornpelt"),2,IF(AND((E79="OK"),B79="Fight boss",(IF((((105/'Rules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Formulas'!B12),C79="Ashfang Alpha"),3,G78))</f>
        <v/>
      </c>
      <c r="H79" s="7">
        <f>MAX(0,H78+IF(AND((E79="OK"),B79="Hunt"),(IF(B79="Hunt",(('Rules &amp; Formulas'!B4*N78*('Rules &amp; Formulas'!B5+O78)*IFERROR(VLOOKUP(C79,Monsters!$T$4:$AH$15,10,FALSE),0)*IFERROR(VLOOKUP(C79,Monsters!$T$4:$AH$15,9,FALSE),0))*'Rules &amp; Formulas'!B6)*IF(D79="",0,D79),0))*(IFERROR(VLOOKUP(C79,Monsters!$T$4:$AH$15,3,FALSE),0))*(1+0.1*AH78)+(IF(OR(B79&lt;&gt;"Hunt",IFERROR(VLOOKUP(C79,Monsters!$T$4:$AH$15,6,FALSE),0)=0),0,FLOOR((IF(B79="Hunt",(('Rules &amp; Formulas'!B4*N78*('Rules &amp; Formulas'!B5+O78)*IFERROR(VLOOKUP(C79,Monsters!$T$4:$AH$15,10,FALSE),0)*IFERROR(VLOOKUP(C79,Monsters!$T$4:$AH$15,9,FALSE),0))*'Rules &amp; Formulas'!B6)*IF(D79="",0,D79),0))/MAX(1,IFERROR(VLOOKUP(C79,Monsters!$T$4:$AH$15,6,FALSE),0)),1)))*(IFERROR(VLOOKUP(C79,Monsters!$T$4:$AH$15,7,FALSE),0))*0.5*(1+0.1*AH78),0)+IF(AND((E79="OK"),B79="Go AFK"),(IF(B79="Go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AFK",IF(D79="",0,D79),0),Z78/60)*60)),0))*(IFERROR(VLOOKUP(C79,Monsters!$T$4:$AH$15,3,FALSE),0))*(1+0.1*AH78)+(IF(OR(B79&lt;&gt;"Go AFK",IFERROR(VLOOKUP(C79,Monsters!$T$4:$AH$15,6,FALSE),0)=0),0,FLOOR((IF(B79="Go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AFK",IF(D79="",0,D79),0),Z78/60)*60)),0))/MAX(1,IFERROR(VLOOKUP(C79,Monsters!$T$4:$AH$15,6,FALSE),0)),1)))*(IFERROR(VLOOKUP(C79,Monsters!$T$4:$AH$15,7,FALSE),0))*0.5*(1+0.1*AH78),0)+IF(AND((E79="OK"),B79="Fight boss",(IF((((105/'Rules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Formulas'!B12)),IFERROR(VLOOKUP(C79,Monsters!$T$4:$AH$15,3,FALSE),0),0)-IF(AND((E79="OK"),OR(B79="Buy upgrade",B79="Forge/Scrapwork buy"),IFERROR(VLOOKUP(C79,Upgrades!$N$4:$T$47,2,FALSE),0)="gold"),IFERROR(FLOOR(IFERROR(VLOOKUP(C79,Upgrades!$N$4:$T$47,3,FALSE),0)*(IFERROR(VLOOKUP(C79,Upgrades!$N$4:$T$47,4,FALSE),0)^(COUNTIFS($B$3:$B78,"Buy upgrade",$C$3:$C78,C79)+COUNTIFS($B$3:$B78,"Hire hunter",$C$3:$C78,C79)+COUNTIFS($B$3:$B78,"Forge/Scrapwork buy",$C$3:$C78,C79))),1),0),0)-IF(AND((E79="OK"),B79="Hire hunter"),IF(C79="Briar",140,IF(C79="Quill",3650,IF(C79="Moss",4850,IF(C79="Ember",12200,0)))),0))</f>
        <v/>
      </c>
      <c r="I79" s="7">
        <f>IF(AND((E79="OK"),B79="Fight boss",(IF((((105/'Rules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Formulas'!B12)),0,MIN(IF(G78&lt;=1,120,IF(G78=2,280,600)),I78+IF(AND((E79="OK"),B79="Hunt"),((IF(B79="Hunt",(('Rules &amp; Formulas'!B4*N78*('Rules &amp; Formulas'!B5+O78)*IFERROR(VLOOKUP(C79,Monsters!$T$4:$AH$15,10,FALSE),0)*IFERROR(VLOOKUP(C79,Monsters!$T$4:$AH$15,9,FALSE),0))*'Rules &amp; Formulas'!B6)*IF(D79="",0,D79),0))*(IFERROR(VLOOKUP(C79,Monsters!$T$4:$AH$15,4,FALSE),0))+(IF(OR(B79&lt;&gt;"Hunt",IFERROR(VLOOKUP(C79,Monsters!$T$4:$AH$15,6,FALSE),0)=0),0,FLOOR((IF(B79="Hunt",(('Rules &amp; Formulas'!B4*N78*('Rules &amp; Formulas'!B5+O78)*IFERROR(VLOOKUP(C79,Monsters!$T$4:$AH$15,10,FALSE),0)*IFERROR(VLOOKUP(C79,Monsters!$T$4:$AH$15,9,FALSE),0))*'Rules &amp; Formulas'!B6)*IF(D79="",0,D79),0))/MAX(1,IFERROR(VLOOKUP(C79,Monsters!$T$4:$AH$15,6,FALSE),0)),1)))*(IFERROR(VLOOKUP(C79,Monsters!$T$4:$AH$15,7,FALSE),0))),0)+IF(AND((E79="OK"),B79="Go AFK"),((IF(B79="Go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AFK",IF(D79="",0,D79),0),Z78/60)*60)),0))*(IFERROR(VLOOKUP(C79,Monsters!$T$4:$AH$15,4,FALSE),0))+(IF(OR(B79&lt;&gt;"Go AFK",IFERROR(VLOOKUP(C79,Monsters!$T$4:$AH$15,6,FALSE),0)=0),0,FLOOR((IF(B79="Go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AFK",IF(D79="",0,D79),0),Z78/60)*60)),0))/MAX(1,IFERROR(VLOOKUP(C79,Monsters!$T$4:$AH$15,6,FALSE),0)),1)))*(IFERROR(VLOOKUP(C79,Monsters!$T$4:$AH$15,7,FALSE),0))),0)))</f>
        <v/>
      </c>
      <c r="J79" s="7">
        <f>MAX(0,J78+IF(AND((E79="OK"),B79="Hunt"),(IF(B79="Hunt",(('Rules &amp; Formulas'!B4*N78*('Rules &amp; Formulas'!B5+O78)*IFERROR(VLOOKUP(C79,Monsters!$T$4:$AH$15,10,FALSE),0)*IFERROR(VLOOKUP(C79,Monsters!$T$4:$AH$15,9,FALSE),0))*'Rules &amp; Formulas'!B6)*IF(D79="",0,D79),0))*(IFERROR(VLOOKUP(C79,Monsters!$T$4:$AH$15,5,FALSE),0)),0)+IF(AND((E79="OK"),B79="Go AFK"),(IF(B79="Go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AFK",IF(D79="",0,D79),0),Z78/60)*60)),0))*(IFERROR(VLOOKUP(C79,Monsters!$T$4:$AH$15,5,FALSE),0)),0)-IF(AND((E79="OK"),OR(B79="Buy upgrade",B79="Forge/Scrapwork buy"),IFERROR(VLOOKUP(C79,Upgrades!$N$4:$T$47,2,FALSE),0)="scraps"),IFERROR(FLOOR(IFERROR(VLOOKUP(C79,Upgrades!$N$4:$T$47,3,FALSE),0)*(IFERROR(VLOOKUP(C79,Upgrades!$N$4:$T$47,4,FALSE),0)^(COUNTIFS($B$3:$B78,"Buy upgrade",$C$3:$C78,C79)+COUNTIFS($B$3:$B78,"Hire hunter",$C$3:$C78,C79)+COUNTIFS($B$3:$B78,"Forge/Scrapwork buy",$C$3:$C78,C79))),1),0),0))</f>
        <v/>
      </c>
      <c r="K79" s="7">
        <f>MAX(0,K78+IF(AND((E79="OK"),B79="Hunt"),IF(C79="Thornpelt Bear",(IF(B79="Hunt",(('Rules &amp; Formulas'!B4*N78*('Rules &amp; Formulas'!B5+O78)*IFERROR(VLOOKUP(C79,Monsters!$T$4:$AH$15,10,FALSE),0)*IFERROR(VLOOKUP(C79,Monsters!$T$4:$AH$15,9,FALSE),0))*'Rules &amp; Formulas'!B6)*IF(D79="",0,D79),0))*0.12,0),0)+IF(AND((E79="OK"),B79="Go AFK"),IF(C79="Thornpelt Bear",(IF(B79="Go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AFK",IF(D79="",0,D79),0),Z78/60)*60)),0))*0.12,0),0))</f>
        <v/>
      </c>
      <c r="L79" s="7">
        <f>MAX(0,L78+IF(AND((E79="OK"),B79="Hunt"),IF(C79="Dire Thornpelt",(IF(B79="Hunt",(('Rules &amp; Formulas'!B4*N78*('Rules &amp; Formulas'!B5+O78)*IFERROR(VLOOKUP(C79,Monsters!$T$4:$AH$15,10,FALSE),0)*IFERROR(VLOOKUP(C79,Monsters!$T$4:$AH$15,9,FALSE),0))*'Rules &amp; Formulas'!B6)*IF(D79="",0,D79),0))*0.1,0),0)+IF(AND((E79="OK"),B79="Go AFK"),IF(C79="Dire Thornpelt",(IF(B79="Go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AFK",IF(D79="",0,D79),0),Z78/60)*60)),0))*0.1,0),0))</f>
        <v/>
      </c>
      <c r="M79" s="7">
        <f>IF(AND((E79="OK"),B79="Go AFK"),MAX(0,MIN(('Rules &amp; Formulas'!B15+25*AJ78),M78+('Rules &amp; Formulas'!B14+0.4*AJ78)*(MIN(IF(B79="Go AFK",IF(D79="",0,D79),0),Z78/60)*60))-(IF(B79="Go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AFK",IF(D79="",0,D79),0),Z78/60)*60)),0))*(IF((IFERROR(VLOOKUP(C79,Monsters!$T$4:$AH$15,8,FALSE),0))=0,0.35,IFERROR(VLOOKUP(C79,Monsters!$T$4:$AH$15,8,FALSE),0))/(1+0.08*AK78))),MIN(('Rules &amp; Formulas'!B15+25*AJ79),M78))</f>
        <v/>
      </c>
      <c r="N79" s="7">
        <f>(1+0.08+0.12*AA79+0.12*AB79+0.16*AC79)</f>
        <v/>
      </c>
      <c r="O79" s="7">
        <f>((AD79&gt;=1)*1*(1+0.3*AE79))</f>
        <v/>
      </c>
      <c r="P79" s="7">
        <f>IF(OR(B79="Hunt",B79="Go AFK"),(('Rules &amp; Formulas'!B4*N78*('Rules &amp; Formulas'!B5+O78)*IFERROR(VLOOKUP(C79,Monsters!$T$4:$AH$15,10,FALSE),0)*IFERROR(VLOOKUP(C79,Monsters!$T$4:$AH$15,9,FALSE),0))*'Rules &amp; Formulas'!B6),"")</f>
        <v/>
      </c>
      <c r="Q79" s="7">
        <f>IF(OR(B79="Hunt",B79="Go AFK"),('Rules &amp; Formulas'!B4*N78*('Rules &amp; Formulas'!B5+O78)*IFERROR(VLOOKUP(C79,Monsters!$T$4:$AH$15,10,FALSE),0)*IFERROR(VLOOKUP(C79,Monsters!$T$4:$AH$15,9,FALSE),0)),"")</f>
        <v/>
      </c>
      <c r="R79" s="7">
        <f>IF(AND((E79="OK"),B79="Hunt"),IF(B79="Hunt",(('Rules &amp; Formulas'!B4*N78*('Rules &amp; Formulas'!B5+O78)*IFERROR(VLOOKUP(C79,Monsters!$T$4:$AH$15,10,FALSE),0)*IFERROR(VLOOKUP(C79,Monsters!$T$4:$AH$15,9,FALSE),0))*'Rules &amp; Formulas'!B6)*IF(D79="",0,D79),0),IF(AND((E79="OK"),B79="Go AFK"),IF(B79="Go AFK",MIN(IF((IF((IFERROR(VLOOKUP(C79,Monsters!$T$4:$AH$15,8,FALSE),0))=0,0.35,IFERROR(VLOOKUP(C79,Monsters!$T$4:$AH$15,8,FALSE),0))/(1+0.08*AK78))&lt;=0,999999,FLOOR(MIN(('Rules &amp; Formulas'!B15+25*AJ78),M78+('Rules &amp; Formulas'!B14+0.4*AJ78)*(MIN(IF(B79="Go AFK",IF(D79="",0,D79),0),Z78/60)*60))/(IF((IFERROR(VLOOKUP(C79,Monsters!$T$4:$AH$15,8,FALSE),0))=0,0.35,IFERROR(VLOOKUP(C79,Monsters!$T$4:$AH$15,8,FALSE),0))/(1+0.08*AK78)),1)),('Rules &amp; Formulas'!B4*N78*('Rules &amp; Formulas'!B5+O78)*IFERROR(VLOOKUP(C79,Monsters!$T$4:$AH$15,10,FALSE),0)*IFERROR(VLOOKUP(C79,Monsters!$T$4:$AH$15,9,FALSE),0))*(MIN(IF(B79="Go AFK",IF(D79="",0,D79),0),Z78/60)*60)),0),0))</f>
        <v/>
      </c>
      <c r="S79" s="7">
        <f>(105/'Rules &amp; Formulas'!B10)*'Rules &amp; Formulas'!B11</f>
        <v/>
      </c>
      <c r="T79" s="7">
        <f>IF(AD78&gt;=1,(MAX(1,ROUND('Rules &amp; Formulas'!B18*(1+0.3*AE78)*(1+0.4*AF78),0)))*(1000/'Rules &amp; Formulas'!B19)*MIN(0.95,'Rules &amp; Formulas'!B20*SQRT(1+0.55*(AG78&gt;=1))),0)</f>
        <v/>
      </c>
      <c r="U79" s="7">
        <f>S79+T79</f>
        <v/>
      </c>
      <c r="V79" s="7">
        <f>IF(I78&gt;=IF((IFERROR(VLOOKUP(C79,Monsters!$T$4:$AH$15,15,FALSE),0))=0,120,IFERROR(VLOOKUP(C79,Monsters!$T$4:$AH$15,15,FALSE),0)),"YES","no")</f>
        <v/>
      </c>
      <c r="W79" s="7">
        <f>IF(AND(B79="Fight boss",E79="OK"),IF((((105/'Rules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Formulas'!B20*SQRT(1+0.55*(AG78&gt;=1))),0)))),"")</f>
        <v/>
      </c>
      <c r="X79" s="7">
        <f>IF(AND(B79="Fight boss",E79="OK"),IF((IF((((105/'Rules &amp; Formulas'!B10)*'Rules &amp; Formulas'!B11+IF(AD78&gt;=1,(MAX(1,ROUND('Rules &amp; Formulas'!B18*(1+0.3*AE78)*(1+0.4*AF78),0)))*(1000/'Rules &amp; Formulas'!B19)*MIN(0.95,'Rules &amp; Formulas'!B20*SQRT(1+0.55*(AG78&gt;=1))),0)))&lt;=0,9999,(IFERROR(VLOOKUP(C79,Monsters!$T$4:$AH$15,2,FALSE),0))/(((105/'Rules &amp; Formulas'!B10)*'Rules &amp; Formulas'!B11+IF(AD78&gt;=1,(MAX(1,ROUND('Rules &amp; Formulas'!B18*(1+0.3*AE78)*(1+0.4*AF78),0)))*(1000/'Rules &amp; Formulas'!B19)*MIN(0.95,'Rules &amp; Formulas'!B20*SQRT(1+0.55*(AG78&gt;=1))),0))))&lt;='Rules &amp; Formulas'!B12),"WIN","LOSE"),"")</f>
        <v/>
      </c>
      <c r="Y79" s="7">
        <f>IF(B79="Go AFK",MIN(IF(B79="Go AFK",IF(D79="",0,D79),0),Z78/60),"")</f>
        <v/>
      </c>
      <c r="Z79" s="7">
        <f>('Rules &amp; Formulas'!B13+30*AI79)</f>
        <v/>
      </c>
      <c r="AA79">
        <f>COUNTIFS($B$3:$B79,"Buy upgrade",$C$3:$C79,"Idle Power")</f>
        <v/>
      </c>
      <c r="AB79">
        <f>COUNTIFS($B$3:$B79,"Buy upgrade",$C$3:$C79,"Iron Blade")</f>
        <v/>
      </c>
      <c r="AC79">
        <f>COUNTIFS($B$3:$B79,"Buy upgrade",$C$3:$C79,"Steel Blade")</f>
        <v/>
      </c>
      <c r="AD79">
        <f>COUNTIFS($B$3:$B79,"Hire hunter",$C$3:$C79,"Briar")+COUNTIFS($B$3:$B79,"Buy upgrade",$C$3:$C79,"Hire Briar")</f>
        <v/>
      </c>
      <c r="AE79">
        <f>COUNTIFS($B$3:$B79,"Buy upgrade",$C$3:$C79,"Hunter Power")</f>
        <v/>
      </c>
      <c r="AF79">
        <f>COUNTIFS($B$3:$B79,"Buy upgrade",$C$3:$C79,"Bigger Hits")</f>
        <v/>
      </c>
      <c r="AG79">
        <f>COUNTIFS($B$3:$B79,"Buy upgrade",$C$3:$C79,"Swift Walk")</f>
        <v/>
      </c>
      <c r="AH79">
        <f>COUNTIFS($B$3:$B79,"Buy upgrade",$C$3:$C79,"Loot Luck")</f>
        <v/>
      </c>
      <c r="AI79">
        <f>COUNTIFS($B$3:$B79,"Buy upgrade",$C$3:$C79,"Offline Cap")</f>
        <v/>
      </c>
      <c r="AJ79">
        <f>COUNTIFS($B$3:$B79,"Buy upgrade",$C$3:$C79,"Bigger Food Stock")</f>
        <v/>
      </c>
      <c r="AK79">
        <f>COUNTIFS($B$3:$B79,"Buy upgrade",$C$3:$C79,"Food Efficiency")</f>
        <v/>
      </c>
    </row>
    <row r="80">
      <c r="A80" t="n">
        <v>78</v>
      </c>
      <c r="B80" s="6" t="n"/>
      <c r="C80" s="6" t="n"/>
      <c r="D80" s="6" t="n"/>
      <c r="E80" s="7">
        <f>IF(B80="","",IF(OR(B80="Hunt",B80="Go AFK"),IF(C80="","Can't","OK"),IF(B80="Fight boss",IF(I79&lt;IF((IFERROR(VLOOKUP(C80,Monsters!$T$4:$AH$15,15,FALSE),0))=0,120,IFERROR(VLOOKUP(C80,Monsters!$T$4:$AH$15,15,FALSE),0)),"Can't","OK"),IF(B80="Hire hunter",IF(AND(C80="Briar",AD79&gt;=1),"Can't",IF(H79&lt;IF(C80="Briar",140,IF(C80="Quill",3650,IF(C80="Moss",4850,IF(C80="Ember",12200,0)))),"Can't","OK")),IF(OR(B80="Buy upgrade",B80="Forge/Scrapwork buy"),IF(IFERROR(VLOOKUP(C80,Upgrades!$N$4:$T$47,2,FALSE),0)="points","Can't",IF(IFERROR(VLOOKUP(C80,Upgrades!$N$4:$T$47,2,FALSE),0)="gold",IF(H79&lt;IFERROR(FLOOR(IFERROR(VLOOKUP(C80,Upgrades!$N$4:$T$47,3,FALSE),0)*(IFERROR(VLOOKUP(C80,Upgrades!$N$4:$T$47,4,FALSE),0)^(COUNTIFS($B$3:$B79,"Buy upgrade",$C$3:$C79,C80)+COUNTIFS($B$3:$B79,"Hire hunter",$C$3:$C79,C80)+COUNTIFS($B$3:$B79,"Forge/Scrapwork buy",$C$3:$C79,C80))),1),0),"Can't","OK"),IF(IFERROR(VLOOKUP(C80,Upgrades!$N$4:$T$47,2,FALSE),0)="scraps",IF(J79&lt;IFERROR(FLOOR(IFERROR(VLOOKUP(C80,Upgrades!$N$4:$T$47,3,FALSE),0)*(IFERROR(VLOOKUP(C80,Upgrades!$N$4:$T$47,4,FALSE),0)^(COUNTIFS($B$3:$B79,"Buy upgrade",$C$3:$C79,C80)+COUNTIFS($B$3:$B79,"Hire hunter",$C$3:$C79,C80)+COUNTIFS($B$3:$B79,"Forge/Scrapwork buy",$C$3:$C79,C80))),1),0),"Can't","OK"),IF(IFERROR(VLOOKUP(C80,Upgrades!$N$4:$T$47,2,FALSE),0)="mats","Can't","OK")))),"Check")))))</f>
        <v/>
      </c>
      <c r="F80" s="7">
        <f>IF(B80="","",IF(AND(B80="Fight boss",I79&lt;IF((IFERROR(VLOOKUP(C80,Monsters!$T$4:$AH$15,15,FALSE),0))=0,120,IFERROR(VLOOKUP(C80,Monsters!$T$4:$AH$15,15,FALSE),0))),"Can't — need "&amp;TEXT(IF((IFERROR(VLOOKUP(C80,Monsters!$T$4:$AH$15,15,FALSE),0))=0,120,IFERROR(VLOOKUP(C80,Monsters!$T$4:$AH$15,15,FALSE),0))-I79,"0.0")&amp;" more Slayer points on the meter",IF(AND(B80="Hire hunter",C80="Briar",AD79&gt;=1),"Can't — already hired",IF(AND(B80="Hire hunter",H79&lt;IF(C80="Briar",140,IF(C80="Quill",3650,IF(C80="Moss",4850,IF(C80="Ember",12200,0))))),"Can't — need "&amp;TEXT(IF(C80="Briar",140,IF(C80="Quill",3650,IF(C80="Moss",4850,IF(C80="Ember",12200,0))))-H79,"0")&amp;" more gold",IF(AND(OR(B80="Buy upgrade",B80="Forge/Scrapwork buy"),IFERROR(VLOOKUP(C80,Upgrades!$N$4:$T$47,2,FALSE),0)="points"),"Can't — Sp-wallet spends not tracked here",IF(AND(OR(B80="Buy upgrade",B80="Forge/Scrapwork buy"),IFERROR(VLOOKUP(C80,Upgrades!$N$4:$T$47,2,FALSE),0)="gold",H79&lt;IFERROR(FLOOR(IFERROR(VLOOKUP(C80,Upgrades!$N$4:$T$47,3,FALSE),0)*(IFERROR(VLOOKUP(C80,Upgrades!$N$4:$T$47,4,FALSE),0)^(COUNTIFS($B$3:$B79,"Buy upgrade",$C$3:$C79,C80)+COUNTIFS($B$3:$B79,"Hire hunter",$C$3:$C79,C80)+COUNTIFS($B$3:$B79,"Forge/Scrapwork buy",$C$3:$C79,C80))),1),0)),"Can't — need "&amp;TEXT(IFERROR(FLOOR(IFERROR(VLOOKUP(C80,Upgrades!$N$4:$T$47,3,FALSE),0)*(IFERROR(VLOOKUP(C80,Upgrades!$N$4:$T$47,4,FALSE),0)^(COUNTIFS($B$3:$B79,"Buy upgrade",$C$3:$C79,C80)+COUNTIFS($B$3:$B79,"Hire hunter",$C$3:$C79,C80)+COUNTIFS($B$3:$B79,"Forge/Scrapwork buy",$C$3:$C79,C80))),1),0)-H79,"0")&amp;" more gold",IF(AND(OR(B80="Buy upgrade",B80="Forge/Scrapwork buy"),IFERROR(VLOOKUP(C80,Upgrades!$N$4:$T$47,2,FALSE),0)="scraps",J79&lt;IFERROR(FLOOR(IFERROR(VLOOKUP(C80,Upgrades!$N$4:$T$47,3,FALSE),0)*(IFERROR(VLOOKUP(C80,Upgrades!$N$4:$T$47,4,FALSE),0)^(COUNTIFS($B$3:$B79,"Buy upgrade",$C$3:$C79,C80)+COUNTIFS($B$3:$B79,"Hire hunter",$C$3:$C79,C80)+COUNTIFS($B$3:$B79,"Forge/Scrapwork buy",$C$3:$C79,C80))),1),0)),"Can't — need "&amp;TEXT(IFERROR(FLOOR(IFERROR(VLOOKUP(C80,Upgrades!$N$4:$T$47,3,FALSE),0)*(IFERROR(VLOOKUP(C80,Upgrades!$N$4:$T$47,4,FALSE),0)^(COUNTIFS($B$3:$B79,"Buy upgrade",$C$3:$C79,C80)+COUNTIFS($B$3:$B79,"Hire hunter",$C$3:$C79,C80)+COUNTIFS($B$3:$B79,"Forge/Scrapwork buy",$C$3:$C79,C80))),1),0)-J79,"0")&amp;" more scraps",IF(AND(B80="Fight boss",E80="OK",(IF((((105/'Rules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Formulas'!B12)),"WIN — boss down, next Level unlocks",IF(AND(B80="Fight boss",E80="OK"),"LOSE — TTK "&amp;TEXT(IF((((105/'Rules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Formulas'!B20*SQRT(1+0.55*(AG79&gt;=1))),0)))),"0")&amp;"s &gt; patience "&amp;TEXT('Rules &amp; Formulas'!B12,"0")&amp;"s (leave resets HP)",IF(B80="Go AFK","AFK resolved (see AFK counted h)","Applied")))))))))</f>
        <v/>
      </c>
      <c r="G80" s="7">
        <f>IF(AND((E80="OK"),B80="Fight boss",(IF((((105/'Rules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Formulas'!B12),C80="Elder Thornpelt"),2,IF(AND((E80="OK"),B80="Fight boss",(IF((((105/'Rules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Formulas'!B12),C80="Ashfang Alpha"),3,G79))</f>
        <v/>
      </c>
      <c r="H80" s="7">
        <f>MAX(0,H79+IF(AND((E80="OK"),B80="Hunt"),(IF(B80="Hunt",(('Rules &amp; Formulas'!B4*N79*('Rules &amp; Formulas'!B5+O79)*IFERROR(VLOOKUP(C80,Monsters!$T$4:$AH$15,10,FALSE),0)*IFERROR(VLOOKUP(C80,Monsters!$T$4:$AH$15,9,FALSE),0))*'Rules &amp; Formulas'!B6)*IF(D80="",0,D80),0))*(IFERROR(VLOOKUP(C80,Monsters!$T$4:$AH$15,3,FALSE),0))*(1+0.1*AH79)+(IF(OR(B80&lt;&gt;"Hunt",IFERROR(VLOOKUP(C80,Monsters!$T$4:$AH$15,6,FALSE),0)=0),0,FLOOR((IF(B80="Hunt",(('Rules &amp; Formulas'!B4*N79*('Rules &amp; Formulas'!B5+O79)*IFERROR(VLOOKUP(C80,Monsters!$T$4:$AH$15,10,FALSE),0)*IFERROR(VLOOKUP(C80,Monsters!$T$4:$AH$15,9,FALSE),0))*'Rules &amp; Formulas'!B6)*IF(D80="",0,D80),0))/MAX(1,IFERROR(VLOOKUP(C80,Monsters!$T$4:$AH$15,6,FALSE),0)),1)))*(IFERROR(VLOOKUP(C80,Monsters!$T$4:$AH$15,7,FALSE),0))*0.5*(1+0.1*AH79),0)+IF(AND((E80="OK"),B80="Go AFK"),(IF(B80="Go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AFK",IF(D80="",0,D80),0),Z79/60)*60)),0))*(IFERROR(VLOOKUP(C80,Monsters!$T$4:$AH$15,3,FALSE),0))*(1+0.1*AH79)+(IF(OR(B80&lt;&gt;"Go AFK",IFERROR(VLOOKUP(C80,Monsters!$T$4:$AH$15,6,FALSE),0)=0),0,FLOOR((IF(B80="Go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AFK",IF(D80="",0,D80),0),Z79/60)*60)),0))/MAX(1,IFERROR(VLOOKUP(C80,Monsters!$T$4:$AH$15,6,FALSE),0)),1)))*(IFERROR(VLOOKUP(C80,Monsters!$T$4:$AH$15,7,FALSE),0))*0.5*(1+0.1*AH79),0)+IF(AND((E80="OK"),B80="Fight boss",(IF((((105/'Rules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Formulas'!B12)),IFERROR(VLOOKUP(C80,Monsters!$T$4:$AH$15,3,FALSE),0),0)-IF(AND((E80="OK"),OR(B80="Buy upgrade",B80="Forge/Scrapwork buy"),IFERROR(VLOOKUP(C80,Upgrades!$N$4:$T$47,2,FALSE),0)="gold"),IFERROR(FLOOR(IFERROR(VLOOKUP(C80,Upgrades!$N$4:$T$47,3,FALSE),0)*(IFERROR(VLOOKUP(C80,Upgrades!$N$4:$T$47,4,FALSE),0)^(COUNTIFS($B$3:$B79,"Buy upgrade",$C$3:$C79,C80)+COUNTIFS($B$3:$B79,"Hire hunter",$C$3:$C79,C80)+COUNTIFS($B$3:$B79,"Forge/Scrapwork buy",$C$3:$C79,C80))),1),0),0)-IF(AND((E80="OK"),B80="Hire hunter"),IF(C80="Briar",140,IF(C80="Quill",3650,IF(C80="Moss",4850,IF(C80="Ember",12200,0)))),0))</f>
        <v/>
      </c>
      <c r="I80" s="7">
        <f>IF(AND((E80="OK"),B80="Fight boss",(IF((((105/'Rules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Formulas'!B12)),0,MIN(IF(G79&lt;=1,120,IF(G79=2,280,600)),I79+IF(AND((E80="OK"),B80="Hunt"),((IF(B80="Hunt",(('Rules &amp; Formulas'!B4*N79*('Rules &amp; Formulas'!B5+O79)*IFERROR(VLOOKUP(C80,Monsters!$T$4:$AH$15,10,FALSE),0)*IFERROR(VLOOKUP(C80,Monsters!$T$4:$AH$15,9,FALSE),0))*'Rules &amp; Formulas'!B6)*IF(D80="",0,D80),0))*(IFERROR(VLOOKUP(C80,Monsters!$T$4:$AH$15,4,FALSE),0))+(IF(OR(B80&lt;&gt;"Hunt",IFERROR(VLOOKUP(C80,Monsters!$T$4:$AH$15,6,FALSE),0)=0),0,FLOOR((IF(B80="Hunt",(('Rules &amp; Formulas'!B4*N79*('Rules &amp; Formulas'!B5+O79)*IFERROR(VLOOKUP(C80,Monsters!$T$4:$AH$15,10,FALSE),0)*IFERROR(VLOOKUP(C80,Monsters!$T$4:$AH$15,9,FALSE),0))*'Rules &amp; Formulas'!B6)*IF(D80="",0,D80),0))/MAX(1,IFERROR(VLOOKUP(C80,Monsters!$T$4:$AH$15,6,FALSE),0)),1)))*(IFERROR(VLOOKUP(C80,Monsters!$T$4:$AH$15,7,FALSE),0))),0)+IF(AND((E80="OK"),B80="Go AFK"),((IF(B80="Go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AFK",IF(D80="",0,D80),0),Z79/60)*60)),0))*(IFERROR(VLOOKUP(C80,Monsters!$T$4:$AH$15,4,FALSE),0))+(IF(OR(B80&lt;&gt;"Go AFK",IFERROR(VLOOKUP(C80,Monsters!$T$4:$AH$15,6,FALSE),0)=0),0,FLOOR((IF(B80="Go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AFK",IF(D80="",0,D80),0),Z79/60)*60)),0))/MAX(1,IFERROR(VLOOKUP(C80,Monsters!$T$4:$AH$15,6,FALSE),0)),1)))*(IFERROR(VLOOKUP(C80,Monsters!$T$4:$AH$15,7,FALSE),0))),0)))</f>
        <v/>
      </c>
      <c r="J80" s="7">
        <f>MAX(0,J79+IF(AND((E80="OK"),B80="Hunt"),(IF(B80="Hunt",(('Rules &amp; Formulas'!B4*N79*('Rules &amp; Formulas'!B5+O79)*IFERROR(VLOOKUP(C80,Monsters!$T$4:$AH$15,10,FALSE),0)*IFERROR(VLOOKUP(C80,Monsters!$T$4:$AH$15,9,FALSE),0))*'Rules &amp; Formulas'!B6)*IF(D80="",0,D80),0))*(IFERROR(VLOOKUP(C80,Monsters!$T$4:$AH$15,5,FALSE),0)),0)+IF(AND((E80="OK"),B80="Go AFK"),(IF(B80="Go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AFK",IF(D80="",0,D80),0),Z79/60)*60)),0))*(IFERROR(VLOOKUP(C80,Monsters!$T$4:$AH$15,5,FALSE),0)),0)-IF(AND((E80="OK"),OR(B80="Buy upgrade",B80="Forge/Scrapwork buy"),IFERROR(VLOOKUP(C80,Upgrades!$N$4:$T$47,2,FALSE),0)="scraps"),IFERROR(FLOOR(IFERROR(VLOOKUP(C80,Upgrades!$N$4:$T$47,3,FALSE),0)*(IFERROR(VLOOKUP(C80,Upgrades!$N$4:$T$47,4,FALSE),0)^(COUNTIFS($B$3:$B79,"Buy upgrade",$C$3:$C79,C80)+COUNTIFS($B$3:$B79,"Hire hunter",$C$3:$C79,C80)+COUNTIFS($B$3:$B79,"Forge/Scrapwork buy",$C$3:$C79,C80))),1),0),0))</f>
        <v/>
      </c>
      <c r="K80" s="7">
        <f>MAX(0,K79+IF(AND((E80="OK"),B80="Hunt"),IF(C80="Thornpelt Bear",(IF(B80="Hunt",(('Rules &amp; Formulas'!B4*N79*('Rules &amp; Formulas'!B5+O79)*IFERROR(VLOOKUP(C80,Monsters!$T$4:$AH$15,10,FALSE),0)*IFERROR(VLOOKUP(C80,Monsters!$T$4:$AH$15,9,FALSE),0))*'Rules &amp; Formulas'!B6)*IF(D80="",0,D80),0))*0.12,0),0)+IF(AND((E80="OK"),B80="Go AFK"),IF(C80="Thornpelt Bear",(IF(B80="Go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AFK",IF(D80="",0,D80),0),Z79/60)*60)),0))*0.12,0),0))</f>
        <v/>
      </c>
      <c r="L80" s="7">
        <f>MAX(0,L79+IF(AND((E80="OK"),B80="Hunt"),IF(C80="Dire Thornpelt",(IF(B80="Hunt",(('Rules &amp; Formulas'!B4*N79*('Rules &amp; Formulas'!B5+O79)*IFERROR(VLOOKUP(C80,Monsters!$T$4:$AH$15,10,FALSE),0)*IFERROR(VLOOKUP(C80,Monsters!$T$4:$AH$15,9,FALSE),0))*'Rules &amp; Formulas'!B6)*IF(D80="",0,D80),0))*0.1,0),0)+IF(AND((E80="OK"),B80="Go AFK"),IF(C80="Dire Thornpelt",(IF(B80="Go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AFK",IF(D80="",0,D80),0),Z79/60)*60)),0))*0.1,0),0))</f>
        <v/>
      </c>
      <c r="M80" s="7">
        <f>IF(AND((E80="OK"),B80="Go AFK"),MAX(0,MIN(('Rules &amp; Formulas'!B15+25*AJ79),M79+('Rules &amp; Formulas'!B14+0.4*AJ79)*(MIN(IF(B80="Go AFK",IF(D80="",0,D80),0),Z79/60)*60))-(IF(B80="Go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AFK",IF(D80="",0,D80),0),Z79/60)*60)),0))*(IF((IFERROR(VLOOKUP(C80,Monsters!$T$4:$AH$15,8,FALSE),0))=0,0.35,IFERROR(VLOOKUP(C80,Monsters!$T$4:$AH$15,8,FALSE),0))/(1+0.08*AK79))),MIN(('Rules &amp; Formulas'!B15+25*AJ80),M79))</f>
        <v/>
      </c>
      <c r="N80" s="7">
        <f>(1+0.08+0.12*AA80+0.12*AB80+0.16*AC80)</f>
        <v/>
      </c>
      <c r="O80" s="7">
        <f>((AD80&gt;=1)*1*(1+0.3*AE80))</f>
        <v/>
      </c>
      <c r="P80" s="7">
        <f>IF(OR(B80="Hunt",B80="Go AFK"),(('Rules &amp; Formulas'!B4*N79*('Rules &amp; Formulas'!B5+O79)*IFERROR(VLOOKUP(C80,Monsters!$T$4:$AH$15,10,FALSE),0)*IFERROR(VLOOKUP(C80,Monsters!$T$4:$AH$15,9,FALSE),0))*'Rules &amp; Formulas'!B6),"")</f>
        <v/>
      </c>
      <c r="Q80" s="7">
        <f>IF(OR(B80="Hunt",B80="Go AFK"),('Rules &amp; Formulas'!B4*N79*('Rules &amp; Formulas'!B5+O79)*IFERROR(VLOOKUP(C80,Monsters!$T$4:$AH$15,10,FALSE),0)*IFERROR(VLOOKUP(C80,Monsters!$T$4:$AH$15,9,FALSE),0)),"")</f>
        <v/>
      </c>
      <c r="R80" s="7">
        <f>IF(AND((E80="OK"),B80="Hunt"),IF(B80="Hunt",(('Rules &amp; Formulas'!B4*N79*('Rules &amp; Formulas'!B5+O79)*IFERROR(VLOOKUP(C80,Monsters!$T$4:$AH$15,10,FALSE),0)*IFERROR(VLOOKUP(C80,Monsters!$T$4:$AH$15,9,FALSE),0))*'Rules &amp; Formulas'!B6)*IF(D80="",0,D80),0),IF(AND((E80="OK"),B80="Go AFK"),IF(B80="Go AFK",MIN(IF((IF((IFERROR(VLOOKUP(C80,Monsters!$T$4:$AH$15,8,FALSE),0))=0,0.35,IFERROR(VLOOKUP(C80,Monsters!$T$4:$AH$15,8,FALSE),0))/(1+0.08*AK79))&lt;=0,999999,FLOOR(MIN(('Rules &amp; Formulas'!B15+25*AJ79),M79+('Rules &amp; Formulas'!B14+0.4*AJ79)*(MIN(IF(B80="Go AFK",IF(D80="",0,D80),0),Z79/60)*60))/(IF((IFERROR(VLOOKUP(C80,Monsters!$T$4:$AH$15,8,FALSE),0))=0,0.35,IFERROR(VLOOKUP(C80,Monsters!$T$4:$AH$15,8,FALSE),0))/(1+0.08*AK79)),1)),('Rules &amp; Formulas'!B4*N79*('Rules &amp; Formulas'!B5+O79)*IFERROR(VLOOKUP(C80,Monsters!$T$4:$AH$15,10,FALSE),0)*IFERROR(VLOOKUP(C80,Monsters!$T$4:$AH$15,9,FALSE),0))*(MIN(IF(B80="Go AFK",IF(D80="",0,D80),0),Z79/60)*60)),0),0))</f>
        <v/>
      </c>
      <c r="S80" s="7">
        <f>(105/'Rules &amp; Formulas'!B10)*'Rules &amp; Formulas'!B11</f>
        <v/>
      </c>
      <c r="T80" s="7">
        <f>IF(AD79&gt;=1,(MAX(1,ROUND('Rules &amp; Formulas'!B18*(1+0.3*AE79)*(1+0.4*AF79),0)))*(1000/'Rules &amp; Formulas'!B19)*MIN(0.95,'Rules &amp; Formulas'!B20*SQRT(1+0.55*(AG79&gt;=1))),0)</f>
        <v/>
      </c>
      <c r="U80" s="7">
        <f>S80+T80</f>
        <v/>
      </c>
      <c r="V80" s="7">
        <f>IF(I79&gt;=IF((IFERROR(VLOOKUP(C80,Monsters!$T$4:$AH$15,15,FALSE),0))=0,120,IFERROR(VLOOKUP(C80,Monsters!$T$4:$AH$15,15,FALSE),0)),"YES","no")</f>
        <v/>
      </c>
      <c r="W80" s="7">
        <f>IF(AND(B80="Fight boss",E80="OK"),IF((((105/'Rules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Formulas'!B20*SQRT(1+0.55*(AG79&gt;=1))),0)))),"")</f>
        <v/>
      </c>
      <c r="X80" s="7">
        <f>IF(AND(B80="Fight boss",E80="OK"),IF((IF((((105/'Rules &amp; Formulas'!B10)*'Rules &amp; Formulas'!B11+IF(AD79&gt;=1,(MAX(1,ROUND('Rules &amp; Formulas'!B18*(1+0.3*AE79)*(1+0.4*AF79),0)))*(1000/'Rules &amp; Formulas'!B19)*MIN(0.95,'Rules &amp; Formulas'!B20*SQRT(1+0.55*(AG79&gt;=1))),0)))&lt;=0,9999,(IFERROR(VLOOKUP(C80,Monsters!$T$4:$AH$15,2,FALSE),0))/(((105/'Rules &amp; Formulas'!B10)*'Rules &amp; Formulas'!B11+IF(AD79&gt;=1,(MAX(1,ROUND('Rules &amp; Formulas'!B18*(1+0.3*AE79)*(1+0.4*AF79),0)))*(1000/'Rules &amp; Formulas'!B19)*MIN(0.95,'Rules &amp; Formulas'!B20*SQRT(1+0.55*(AG79&gt;=1))),0))))&lt;='Rules &amp; Formulas'!B12),"WIN","LOSE"),"")</f>
        <v/>
      </c>
      <c r="Y80" s="7">
        <f>IF(B80="Go AFK",MIN(IF(B80="Go AFK",IF(D80="",0,D80),0),Z79/60),"")</f>
        <v/>
      </c>
      <c r="Z80" s="7">
        <f>('Rules &amp; Formulas'!B13+30*AI80)</f>
        <v/>
      </c>
      <c r="AA80">
        <f>COUNTIFS($B$3:$B80,"Buy upgrade",$C$3:$C80,"Idle Power")</f>
        <v/>
      </c>
      <c r="AB80">
        <f>COUNTIFS($B$3:$B80,"Buy upgrade",$C$3:$C80,"Iron Blade")</f>
        <v/>
      </c>
      <c r="AC80">
        <f>COUNTIFS($B$3:$B80,"Buy upgrade",$C$3:$C80,"Steel Blade")</f>
        <v/>
      </c>
      <c r="AD80">
        <f>COUNTIFS($B$3:$B80,"Hire hunter",$C$3:$C80,"Briar")+COUNTIFS($B$3:$B80,"Buy upgrade",$C$3:$C80,"Hire Briar")</f>
        <v/>
      </c>
      <c r="AE80">
        <f>COUNTIFS($B$3:$B80,"Buy upgrade",$C$3:$C80,"Hunter Power")</f>
        <v/>
      </c>
      <c r="AF80">
        <f>COUNTIFS($B$3:$B80,"Buy upgrade",$C$3:$C80,"Bigger Hits")</f>
        <v/>
      </c>
      <c r="AG80">
        <f>COUNTIFS($B$3:$B80,"Buy upgrade",$C$3:$C80,"Swift Walk")</f>
        <v/>
      </c>
      <c r="AH80">
        <f>COUNTIFS($B$3:$B80,"Buy upgrade",$C$3:$C80,"Loot Luck")</f>
        <v/>
      </c>
      <c r="AI80">
        <f>COUNTIFS($B$3:$B80,"Buy upgrade",$C$3:$C80,"Offline Cap")</f>
        <v/>
      </c>
      <c r="AJ80">
        <f>COUNTIFS($B$3:$B80,"Buy upgrade",$C$3:$C80,"Bigger Food Stock")</f>
        <v/>
      </c>
      <c r="AK80">
        <f>COUNTIFS($B$3:$B80,"Buy upgrade",$C$3:$C80,"Food Efficiency")</f>
        <v/>
      </c>
    </row>
    <row r="81">
      <c r="A81" t="n">
        <v>79</v>
      </c>
      <c r="B81" s="6" t="n"/>
      <c r="C81" s="6" t="n"/>
      <c r="D81" s="6" t="n"/>
      <c r="E81" s="7">
        <f>IF(B81="","",IF(OR(B81="Hunt",B81="Go AFK"),IF(C81="","Can't","OK"),IF(B81="Fight boss",IF(I80&lt;IF((IFERROR(VLOOKUP(C81,Monsters!$T$4:$AH$15,15,FALSE),0))=0,120,IFERROR(VLOOKUP(C81,Monsters!$T$4:$AH$15,15,FALSE),0)),"Can't","OK"),IF(B81="Hire hunter",IF(AND(C81="Briar",AD80&gt;=1),"Can't",IF(H80&lt;IF(C81="Briar",140,IF(C81="Quill",3650,IF(C81="Moss",4850,IF(C81="Ember",12200,0)))),"Can't","OK")),IF(OR(B81="Buy upgrade",B81="Forge/Scrapwork buy"),IF(IFERROR(VLOOKUP(C81,Upgrades!$N$4:$T$47,2,FALSE),0)="points","Can't",IF(IFERROR(VLOOKUP(C81,Upgrades!$N$4:$T$47,2,FALSE),0)="gold",IF(H80&lt;IFERROR(FLOOR(IFERROR(VLOOKUP(C81,Upgrades!$N$4:$T$47,3,FALSE),0)*(IFERROR(VLOOKUP(C81,Upgrades!$N$4:$T$47,4,FALSE),0)^(COUNTIFS($B$3:$B80,"Buy upgrade",$C$3:$C80,C81)+COUNTIFS($B$3:$B80,"Hire hunter",$C$3:$C80,C81)+COUNTIFS($B$3:$B80,"Forge/Scrapwork buy",$C$3:$C80,C81))),1),0),"Can't","OK"),IF(IFERROR(VLOOKUP(C81,Upgrades!$N$4:$T$47,2,FALSE),0)="scraps",IF(J80&lt;IFERROR(FLOOR(IFERROR(VLOOKUP(C81,Upgrades!$N$4:$T$47,3,FALSE),0)*(IFERROR(VLOOKUP(C81,Upgrades!$N$4:$T$47,4,FALSE),0)^(COUNTIFS($B$3:$B80,"Buy upgrade",$C$3:$C80,C81)+COUNTIFS($B$3:$B80,"Hire hunter",$C$3:$C80,C81)+COUNTIFS($B$3:$B80,"Forge/Scrapwork buy",$C$3:$C80,C81))),1),0),"Can't","OK"),IF(IFERROR(VLOOKUP(C81,Upgrades!$N$4:$T$47,2,FALSE),0)="mats","Can't","OK")))),"Check")))))</f>
        <v/>
      </c>
      <c r="F81" s="7">
        <f>IF(B81="","",IF(AND(B81="Fight boss",I80&lt;IF((IFERROR(VLOOKUP(C81,Monsters!$T$4:$AH$15,15,FALSE),0))=0,120,IFERROR(VLOOKUP(C81,Monsters!$T$4:$AH$15,15,FALSE),0))),"Can't — need "&amp;TEXT(IF((IFERROR(VLOOKUP(C81,Monsters!$T$4:$AH$15,15,FALSE),0))=0,120,IFERROR(VLOOKUP(C81,Monsters!$T$4:$AH$15,15,FALSE),0))-I80,"0.0")&amp;" more Slayer points on the meter",IF(AND(B81="Hire hunter",C81="Briar",AD80&gt;=1),"Can't — already hired",IF(AND(B81="Hire hunter",H80&lt;IF(C81="Briar",140,IF(C81="Quill",3650,IF(C81="Moss",4850,IF(C81="Ember",12200,0))))),"Can't — need "&amp;TEXT(IF(C81="Briar",140,IF(C81="Quill",3650,IF(C81="Moss",4850,IF(C81="Ember",12200,0))))-H80,"0")&amp;" more gold",IF(AND(OR(B81="Buy upgrade",B81="Forge/Scrapwork buy"),IFERROR(VLOOKUP(C81,Upgrades!$N$4:$T$47,2,FALSE),0)="points"),"Can't — Sp-wallet spends not tracked here",IF(AND(OR(B81="Buy upgrade",B81="Forge/Scrapwork buy"),IFERROR(VLOOKUP(C81,Upgrades!$N$4:$T$47,2,FALSE),0)="gold",H80&lt;IFERROR(FLOOR(IFERROR(VLOOKUP(C81,Upgrades!$N$4:$T$47,3,FALSE),0)*(IFERROR(VLOOKUP(C81,Upgrades!$N$4:$T$47,4,FALSE),0)^(COUNTIFS($B$3:$B80,"Buy upgrade",$C$3:$C80,C81)+COUNTIFS($B$3:$B80,"Hire hunter",$C$3:$C80,C81)+COUNTIFS($B$3:$B80,"Forge/Scrapwork buy",$C$3:$C80,C81))),1),0)),"Can't — need "&amp;TEXT(IFERROR(FLOOR(IFERROR(VLOOKUP(C81,Upgrades!$N$4:$T$47,3,FALSE),0)*(IFERROR(VLOOKUP(C81,Upgrades!$N$4:$T$47,4,FALSE),0)^(COUNTIFS($B$3:$B80,"Buy upgrade",$C$3:$C80,C81)+COUNTIFS($B$3:$B80,"Hire hunter",$C$3:$C80,C81)+COUNTIFS($B$3:$B80,"Forge/Scrapwork buy",$C$3:$C80,C81))),1),0)-H80,"0")&amp;" more gold",IF(AND(OR(B81="Buy upgrade",B81="Forge/Scrapwork buy"),IFERROR(VLOOKUP(C81,Upgrades!$N$4:$T$47,2,FALSE),0)="scraps",J80&lt;IFERROR(FLOOR(IFERROR(VLOOKUP(C81,Upgrades!$N$4:$T$47,3,FALSE),0)*(IFERROR(VLOOKUP(C81,Upgrades!$N$4:$T$47,4,FALSE),0)^(COUNTIFS($B$3:$B80,"Buy upgrade",$C$3:$C80,C81)+COUNTIFS($B$3:$B80,"Hire hunter",$C$3:$C80,C81)+COUNTIFS($B$3:$B80,"Forge/Scrapwork buy",$C$3:$C80,C81))),1),0)),"Can't — need "&amp;TEXT(IFERROR(FLOOR(IFERROR(VLOOKUP(C81,Upgrades!$N$4:$T$47,3,FALSE),0)*(IFERROR(VLOOKUP(C81,Upgrades!$N$4:$T$47,4,FALSE),0)^(COUNTIFS($B$3:$B80,"Buy upgrade",$C$3:$C80,C81)+COUNTIFS($B$3:$B80,"Hire hunter",$C$3:$C80,C81)+COUNTIFS($B$3:$B80,"Forge/Scrapwork buy",$C$3:$C80,C81))),1),0)-J80,"0")&amp;" more scraps",IF(AND(B81="Fight boss",E81="OK",(IF((((105/'Rules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Formulas'!B12)),"WIN — boss down, next Level unlocks",IF(AND(B81="Fight boss",E81="OK"),"LOSE — TTK "&amp;TEXT(IF((((105/'Rules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Formulas'!B20*SQRT(1+0.55*(AG80&gt;=1))),0)))),"0")&amp;"s &gt; patience "&amp;TEXT('Rules &amp; Formulas'!B12,"0")&amp;"s (leave resets HP)",IF(B81="Go AFK","AFK resolved (see AFK counted h)","Applied")))))))))</f>
        <v/>
      </c>
      <c r="G81" s="7">
        <f>IF(AND((E81="OK"),B81="Fight boss",(IF((((105/'Rules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Formulas'!B12),C81="Elder Thornpelt"),2,IF(AND((E81="OK"),B81="Fight boss",(IF((((105/'Rules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Formulas'!B12),C81="Ashfang Alpha"),3,G80))</f>
        <v/>
      </c>
      <c r="H81" s="7">
        <f>MAX(0,H80+IF(AND((E81="OK"),B81="Hunt"),(IF(B81="Hunt",(('Rules &amp; Formulas'!B4*N80*('Rules &amp; Formulas'!B5+O80)*IFERROR(VLOOKUP(C81,Monsters!$T$4:$AH$15,10,FALSE),0)*IFERROR(VLOOKUP(C81,Monsters!$T$4:$AH$15,9,FALSE),0))*'Rules &amp; Formulas'!B6)*IF(D81="",0,D81),0))*(IFERROR(VLOOKUP(C81,Monsters!$T$4:$AH$15,3,FALSE),0))*(1+0.1*AH80)+(IF(OR(B81&lt;&gt;"Hunt",IFERROR(VLOOKUP(C81,Monsters!$T$4:$AH$15,6,FALSE),0)=0),0,FLOOR((IF(B81="Hunt",(('Rules &amp; Formulas'!B4*N80*('Rules &amp; Formulas'!B5+O80)*IFERROR(VLOOKUP(C81,Monsters!$T$4:$AH$15,10,FALSE),0)*IFERROR(VLOOKUP(C81,Monsters!$T$4:$AH$15,9,FALSE),0))*'Rules &amp; Formulas'!B6)*IF(D81="",0,D81),0))/MAX(1,IFERROR(VLOOKUP(C81,Monsters!$T$4:$AH$15,6,FALSE),0)),1)))*(IFERROR(VLOOKUP(C81,Monsters!$T$4:$AH$15,7,FALSE),0))*0.5*(1+0.1*AH80),0)+IF(AND((E81="OK"),B81="Go AFK"),(IF(B81="Go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AFK",IF(D81="",0,D81),0),Z80/60)*60)),0))*(IFERROR(VLOOKUP(C81,Monsters!$T$4:$AH$15,3,FALSE),0))*(1+0.1*AH80)+(IF(OR(B81&lt;&gt;"Go AFK",IFERROR(VLOOKUP(C81,Monsters!$T$4:$AH$15,6,FALSE),0)=0),0,FLOOR((IF(B81="Go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AFK",IF(D81="",0,D81),0),Z80/60)*60)),0))/MAX(1,IFERROR(VLOOKUP(C81,Monsters!$T$4:$AH$15,6,FALSE),0)),1)))*(IFERROR(VLOOKUP(C81,Monsters!$T$4:$AH$15,7,FALSE),0))*0.5*(1+0.1*AH80),0)+IF(AND((E81="OK"),B81="Fight boss",(IF((((105/'Rules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Formulas'!B12)),IFERROR(VLOOKUP(C81,Monsters!$T$4:$AH$15,3,FALSE),0),0)-IF(AND((E81="OK"),OR(B81="Buy upgrade",B81="Forge/Scrapwork buy"),IFERROR(VLOOKUP(C81,Upgrades!$N$4:$T$47,2,FALSE),0)="gold"),IFERROR(FLOOR(IFERROR(VLOOKUP(C81,Upgrades!$N$4:$T$47,3,FALSE),0)*(IFERROR(VLOOKUP(C81,Upgrades!$N$4:$T$47,4,FALSE),0)^(COUNTIFS($B$3:$B80,"Buy upgrade",$C$3:$C80,C81)+COUNTIFS($B$3:$B80,"Hire hunter",$C$3:$C80,C81)+COUNTIFS($B$3:$B80,"Forge/Scrapwork buy",$C$3:$C80,C81))),1),0),0)-IF(AND((E81="OK"),B81="Hire hunter"),IF(C81="Briar",140,IF(C81="Quill",3650,IF(C81="Moss",4850,IF(C81="Ember",12200,0)))),0))</f>
        <v/>
      </c>
      <c r="I81" s="7">
        <f>IF(AND((E81="OK"),B81="Fight boss",(IF((((105/'Rules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Formulas'!B12)),0,MIN(IF(G80&lt;=1,120,IF(G80=2,280,600)),I80+IF(AND((E81="OK"),B81="Hunt"),((IF(B81="Hunt",(('Rules &amp; Formulas'!B4*N80*('Rules &amp; Formulas'!B5+O80)*IFERROR(VLOOKUP(C81,Monsters!$T$4:$AH$15,10,FALSE),0)*IFERROR(VLOOKUP(C81,Monsters!$T$4:$AH$15,9,FALSE),0))*'Rules &amp; Formulas'!B6)*IF(D81="",0,D81),0))*(IFERROR(VLOOKUP(C81,Monsters!$T$4:$AH$15,4,FALSE),0))+(IF(OR(B81&lt;&gt;"Hunt",IFERROR(VLOOKUP(C81,Monsters!$T$4:$AH$15,6,FALSE),0)=0),0,FLOOR((IF(B81="Hunt",(('Rules &amp; Formulas'!B4*N80*('Rules &amp; Formulas'!B5+O80)*IFERROR(VLOOKUP(C81,Monsters!$T$4:$AH$15,10,FALSE),0)*IFERROR(VLOOKUP(C81,Monsters!$T$4:$AH$15,9,FALSE),0))*'Rules &amp; Formulas'!B6)*IF(D81="",0,D81),0))/MAX(1,IFERROR(VLOOKUP(C81,Monsters!$T$4:$AH$15,6,FALSE),0)),1)))*(IFERROR(VLOOKUP(C81,Monsters!$T$4:$AH$15,7,FALSE),0))),0)+IF(AND((E81="OK"),B81="Go AFK"),((IF(B81="Go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AFK",IF(D81="",0,D81),0),Z80/60)*60)),0))*(IFERROR(VLOOKUP(C81,Monsters!$T$4:$AH$15,4,FALSE),0))+(IF(OR(B81&lt;&gt;"Go AFK",IFERROR(VLOOKUP(C81,Monsters!$T$4:$AH$15,6,FALSE),0)=0),0,FLOOR((IF(B81="Go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AFK",IF(D81="",0,D81),0),Z80/60)*60)),0))/MAX(1,IFERROR(VLOOKUP(C81,Monsters!$T$4:$AH$15,6,FALSE),0)),1)))*(IFERROR(VLOOKUP(C81,Monsters!$T$4:$AH$15,7,FALSE),0))),0)))</f>
        <v/>
      </c>
      <c r="J81" s="7">
        <f>MAX(0,J80+IF(AND((E81="OK"),B81="Hunt"),(IF(B81="Hunt",(('Rules &amp; Formulas'!B4*N80*('Rules &amp; Formulas'!B5+O80)*IFERROR(VLOOKUP(C81,Monsters!$T$4:$AH$15,10,FALSE),0)*IFERROR(VLOOKUP(C81,Monsters!$T$4:$AH$15,9,FALSE),0))*'Rules &amp; Formulas'!B6)*IF(D81="",0,D81),0))*(IFERROR(VLOOKUP(C81,Monsters!$T$4:$AH$15,5,FALSE),0)),0)+IF(AND((E81="OK"),B81="Go AFK"),(IF(B81="Go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AFK",IF(D81="",0,D81),0),Z80/60)*60)),0))*(IFERROR(VLOOKUP(C81,Monsters!$T$4:$AH$15,5,FALSE),0)),0)-IF(AND((E81="OK"),OR(B81="Buy upgrade",B81="Forge/Scrapwork buy"),IFERROR(VLOOKUP(C81,Upgrades!$N$4:$T$47,2,FALSE),0)="scraps"),IFERROR(FLOOR(IFERROR(VLOOKUP(C81,Upgrades!$N$4:$T$47,3,FALSE),0)*(IFERROR(VLOOKUP(C81,Upgrades!$N$4:$T$47,4,FALSE),0)^(COUNTIFS($B$3:$B80,"Buy upgrade",$C$3:$C80,C81)+COUNTIFS($B$3:$B80,"Hire hunter",$C$3:$C80,C81)+COUNTIFS($B$3:$B80,"Forge/Scrapwork buy",$C$3:$C80,C81))),1),0),0))</f>
        <v/>
      </c>
      <c r="K81" s="7">
        <f>MAX(0,K80+IF(AND((E81="OK"),B81="Hunt"),IF(C81="Thornpelt Bear",(IF(B81="Hunt",(('Rules &amp; Formulas'!B4*N80*('Rules &amp; Formulas'!B5+O80)*IFERROR(VLOOKUP(C81,Monsters!$T$4:$AH$15,10,FALSE),0)*IFERROR(VLOOKUP(C81,Monsters!$T$4:$AH$15,9,FALSE),0))*'Rules &amp; Formulas'!B6)*IF(D81="",0,D81),0))*0.12,0),0)+IF(AND((E81="OK"),B81="Go AFK"),IF(C81="Thornpelt Bear",(IF(B81="Go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AFK",IF(D81="",0,D81),0),Z80/60)*60)),0))*0.12,0),0))</f>
        <v/>
      </c>
      <c r="L81" s="7">
        <f>MAX(0,L80+IF(AND((E81="OK"),B81="Hunt"),IF(C81="Dire Thornpelt",(IF(B81="Hunt",(('Rules &amp; Formulas'!B4*N80*('Rules &amp; Formulas'!B5+O80)*IFERROR(VLOOKUP(C81,Monsters!$T$4:$AH$15,10,FALSE),0)*IFERROR(VLOOKUP(C81,Monsters!$T$4:$AH$15,9,FALSE),0))*'Rules &amp; Formulas'!B6)*IF(D81="",0,D81),0))*0.1,0),0)+IF(AND((E81="OK"),B81="Go AFK"),IF(C81="Dire Thornpelt",(IF(B81="Go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AFK",IF(D81="",0,D81),0),Z80/60)*60)),0))*0.1,0),0))</f>
        <v/>
      </c>
      <c r="M81" s="7">
        <f>IF(AND((E81="OK"),B81="Go AFK"),MAX(0,MIN(('Rules &amp; Formulas'!B15+25*AJ80),M80+('Rules &amp; Formulas'!B14+0.4*AJ80)*(MIN(IF(B81="Go AFK",IF(D81="",0,D81),0),Z80/60)*60))-(IF(B81="Go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AFK",IF(D81="",0,D81),0),Z80/60)*60)),0))*(IF((IFERROR(VLOOKUP(C81,Monsters!$T$4:$AH$15,8,FALSE),0))=0,0.35,IFERROR(VLOOKUP(C81,Monsters!$T$4:$AH$15,8,FALSE),0))/(1+0.08*AK80))),MIN(('Rules &amp; Formulas'!B15+25*AJ81),M80))</f>
        <v/>
      </c>
      <c r="N81" s="7">
        <f>(1+0.08+0.12*AA81+0.12*AB81+0.16*AC81)</f>
        <v/>
      </c>
      <c r="O81" s="7">
        <f>((AD81&gt;=1)*1*(1+0.3*AE81))</f>
        <v/>
      </c>
      <c r="P81" s="7">
        <f>IF(OR(B81="Hunt",B81="Go AFK"),(('Rules &amp; Formulas'!B4*N80*('Rules &amp; Formulas'!B5+O80)*IFERROR(VLOOKUP(C81,Monsters!$T$4:$AH$15,10,FALSE),0)*IFERROR(VLOOKUP(C81,Monsters!$T$4:$AH$15,9,FALSE),0))*'Rules &amp; Formulas'!B6),"")</f>
        <v/>
      </c>
      <c r="Q81" s="7">
        <f>IF(OR(B81="Hunt",B81="Go AFK"),('Rules &amp; Formulas'!B4*N80*('Rules &amp; Formulas'!B5+O80)*IFERROR(VLOOKUP(C81,Monsters!$T$4:$AH$15,10,FALSE),0)*IFERROR(VLOOKUP(C81,Monsters!$T$4:$AH$15,9,FALSE),0)),"")</f>
        <v/>
      </c>
      <c r="R81" s="7">
        <f>IF(AND((E81="OK"),B81="Hunt"),IF(B81="Hunt",(('Rules &amp; Formulas'!B4*N80*('Rules &amp; Formulas'!B5+O80)*IFERROR(VLOOKUP(C81,Monsters!$T$4:$AH$15,10,FALSE),0)*IFERROR(VLOOKUP(C81,Monsters!$T$4:$AH$15,9,FALSE),0))*'Rules &amp; Formulas'!B6)*IF(D81="",0,D81),0),IF(AND((E81="OK"),B81="Go AFK"),IF(B81="Go AFK",MIN(IF((IF((IFERROR(VLOOKUP(C81,Monsters!$T$4:$AH$15,8,FALSE),0))=0,0.35,IFERROR(VLOOKUP(C81,Monsters!$T$4:$AH$15,8,FALSE),0))/(1+0.08*AK80))&lt;=0,999999,FLOOR(MIN(('Rules &amp; Formulas'!B15+25*AJ80),M80+('Rules &amp; Formulas'!B14+0.4*AJ80)*(MIN(IF(B81="Go AFK",IF(D81="",0,D81),0),Z80/60)*60))/(IF((IFERROR(VLOOKUP(C81,Monsters!$T$4:$AH$15,8,FALSE),0))=0,0.35,IFERROR(VLOOKUP(C81,Monsters!$T$4:$AH$15,8,FALSE),0))/(1+0.08*AK80)),1)),('Rules &amp; Formulas'!B4*N80*('Rules &amp; Formulas'!B5+O80)*IFERROR(VLOOKUP(C81,Monsters!$T$4:$AH$15,10,FALSE),0)*IFERROR(VLOOKUP(C81,Monsters!$T$4:$AH$15,9,FALSE),0))*(MIN(IF(B81="Go AFK",IF(D81="",0,D81),0),Z80/60)*60)),0),0))</f>
        <v/>
      </c>
      <c r="S81" s="7">
        <f>(105/'Rules &amp; Formulas'!B10)*'Rules &amp; Formulas'!B11</f>
        <v/>
      </c>
      <c r="T81" s="7">
        <f>IF(AD80&gt;=1,(MAX(1,ROUND('Rules &amp; Formulas'!B18*(1+0.3*AE80)*(1+0.4*AF80),0)))*(1000/'Rules &amp; Formulas'!B19)*MIN(0.95,'Rules &amp; Formulas'!B20*SQRT(1+0.55*(AG80&gt;=1))),0)</f>
        <v/>
      </c>
      <c r="U81" s="7">
        <f>S81+T81</f>
        <v/>
      </c>
      <c r="V81" s="7">
        <f>IF(I80&gt;=IF((IFERROR(VLOOKUP(C81,Monsters!$T$4:$AH$15,15,FALSE),0))=0,120,IFERROR(VLOOKUP(C81,Monsters!$T$4:$AH$15,15,FALSE),0)),"YES","no")</f>
        <v/>
      </c>
      <c r="W81" s="7">
        <f>IF(AND(B81="Fight boss",E81="OK"),IF((((105/'Rules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Formulas'!B20*SQRT(1+0.55*(AG80&gt;=1))),0)))),"")</f>
        <v/>
      </c>
      <c r="X81" s="7">
        <f>IF(AND(B81="Fight boss",E81="OK"),IF((IF((((105/'Rules &amp; Formulas'!B10)*'Rules &amp; Formulas'!B11+IF(AD80&gt;=1,(MAX(1,ROUND('Rules &amp; Formulas'!B18*(1+0.3*AE80)*(1+0.4*AF80),0)))*(1000/'Rules &amp; Formulas'!B19)*MIN(0.95,'Rules &amp; Formulas'!B20*SQRT(1+0.55*(AG80&gt;=1))),0)))&lt;=0,9999,(IFERROR(VLOOKUP(C81,Monsters!$T$4:$AH$15,2,FALSE),0))/(((105/'Rules &amp; Formulas'!B10)*'Rules &amp; Formulas'!B11+IF(AD80&gt;=1,(MAX(1,ROUND('Rules &amp; Formulas'!B18*(1+0.3*AE80)*(1+0.4*AF80),0)))*(1000/'Rules &amp; Formulas'!B19)*MIN(0.95,'Rules &amp; Formulas'!B20*SQRT(1+0.55*(AG80&gt;=1))),0))))&lt;='Rules &amp; Formulas'!B12),"WIN","LOSE"),"")</f>
        <v/>
      </c>
      <c r="Y81" s="7">
        <f>IF(B81="Go AFK",MIN(IF(B81="Go AFK",IF(D81="",0,D81),0),Z80/60),"")</f>
        <v/>
      </c>
      <c r="Z81" s="7">
        <f>('Rules &amp; Formulas'!B13+30*AI81)</f>
        <v/>
      </c>
      <c r="AA81">
        <f>COUNTIFS($B$3:$B81,"Buy upgrade",$C$3:$C81,"Idle Power")</f>
        <v/>
      </c>
      <c r="AB81">
        <f>COUNTIFS($B$3:$B81,"Buy upgrade",$C$3:$C81,"Iron Blade")</f>
        <v/>
      </c>
      <c r="AC81">
        <f>COUNTIFS($B$3:$B81,"Buy upgrade",$C$3:$C81,"Steel Blade")</f>
        <v/>
      </c>
      <c r="AD81">
        <f>COUNTIFS($B$3:$B81,"Hire hunter",$C$3:$C81,"Briar")+COUNTIFS($B$3:$B81,"Buy upgrade",$C$3:$C81,"Hire Briar")</f>
        <v/>
      </c>
      <c r="AE81">
        <f>COUNTIFS($B$3:$B81,"Buy upgrade",$C$3:$C81,"Hunter Power")</f>
        <v/>
      </c>
      <c r="AF81">
        <f>COUNTIFS($B$3:$B81,"Buy upgrade",$C$3:$C81,"Bigger Hits")</f>
        <v/>
      </c>
      <c r="AG81">
        <f>COUNTIFS($B$3:$B81,"Buy upgrade",$C$3:$C81,"Swift Walk")</f>
        <v/>
      </c>
      <c r="AH81">
        <f>COUNTIFS($B$3:$B81,"Buy upgrade",$C$3:$C81,"Loot Luck")</f>
        <v/>
      </c>
      <c r="AI81">
        <f>COUNTIFS($B$3:$B81,"Buy upgrade",$C$3:$C81,"Offline Cap")</f>
        <v/>
      </c>
      <c r="AJ81">
        <f>COUNTIFS($B$3:$B81,"Buy upgrade",$C$3:$C81,"Bigger Food Stock")</f>
        <v/>
      </c>
      <c r="AK81">
        <f>COUNTIFS($B$3:$B81,"Buy upgrade",$C$3:$C81,"Food Efficiency")</f>
        <v/>
      </c>
    </row>
    <row r="82">
      <c r="A82" t="n">
        <v>80</v>
      </c>
      <c r="B82" s="6" t="n"/>
      <c r="C82" s="6" t="n"/>
      <c r="D82" s="6" t="n"/>
      <c r="E82" s="7">
        <f>IF(B82="","",IF(OR(B82="Hunt",B82="Go AFK"),IF(C82="","Can't","OK"),IF(B82="Fight boss",IF(I81&lt;IF((IFERROR(VLOOKUP(C82,Monsters!$T$4:$AH$15,15,FALSE),0))=0,120,IFERROR(VLOOKUP(C82,Monsters!$T$4:$AH$15,15,FALSE),0)),"Can't","OK"),IF(B82="Hire hunter",IF(AND(C82="Briar",AD81&gt;=1),"Can't",IF(H81&lt;IF(C82="Briar",140,IF(C82="Quill",3650,IF(C82="Moss",4850,IF(C82="Ember",12200,0)))),"Can't","OK")),IF(OR(B82="Buy upgrade",B82="Forge/Scrapwork buy"),IF(IFERROR(VLOOKUP(C82,Upgrades!$N$4:$T$47,2,FALSE),0)="points","Can't",IF(IFERROR(VLOOKUP(C82,Upgrades!$N$4:$T$47,2,FALSE),0)="gold",IF(H81&lt;IFERROR(FLOOR(IFERROR(VLOOKUP(C82,Upgrades!$N$4:$T$47,3,FALSE),0)*(IFERROR(VLOOKUP(C82,Upgrades!$N$4:$T$47,4,FALSE),0)^(COUNTIFS($B$3:$B81,"Buy upgrade",$C$3:$C81,C82)+COUNTIFS($B$3:$B81,"Hire hunter",$C$3:$C81,C82)+COUNTIFS($B$3:$B81,"Forge/Scrapwork buy",$C$3:$C81,C82))),1),0),"Can't","OK"),IF(IFERROR(VLOOKUP(C82,Upgrades!$N$4:$T$47,2,FALSE),0)="scraps",IF(J81&lt;IFERROR(FLOOR(IFERROR(VLOOKUP(C82,Upgrades!$N$4:$T$47,3,FALSE),0)*(IFERROR(VLOOKUP(C82,Upgrades!$N$4:$T$47,4,FALSE),0)^(COUNTIFS($B$3:$B81,"Buy upgrade",$C$3:$C81,C82)+COUNTIFS($B$3:$B81,"Hire hunter",$C$3:$C81,C82)+COUNTIFS($B$3:$B81,"Forge/Scrapwork buy",$C$3:$C81,C82))),1),0),"Can't","OK"),IF(IFERROR(VLOOKUP(C82,Upgrades!$N$4:$T$47,2,FALSE),0)="mats","Can't","OK")))),"Check")))))</f>
        <v/>
      </c>
      <c r="F82" s="7">
        <f>IF(B82="","",IF(AND(B82="Fight boss",I81&lt;IF((IFERROR(VLOOKUP(C82,Monsters!$T$4:$AH$15,15,FALSE),0))=0,120,IFERROR(VLOOKUP(C82,Monsters!$T$4:$AH$15,15,FALSE),0))),"Can't — need "&amp;TEXT(IF((IFERROR(VLOOKUP(C82,Monsters!$T$4:$AH$15,15,FALSE),0))=0,120,IFERROR(VLOOKUP(C82,Monsters!$T$4:$AH$15,15,FALSE),0))-I81,"0.0")&amp;" more Slayer points on the meter",IF(AND(B82="Hire hunter",C82="Briar",AD81&gt;=1),"Can't — already hired",IF(AND(B82="Hire hunter",H81&lt;IF(C82="Briar",140,IF(C82="Quill",3650,IF(C82="Moss",4850,IF(C82="Ember",12200,0))))),"Can't — need "&amp;TEXT(IF(C82="Briar",140,IF(C82="Quill",3650,IF(C82="Moss",4850,IF(C82="Ember",12200,0))))-H81,"0")&amp;" more gold",IF(AND(OR(B82="Buy upgrade",B82="Forge/Scrapwork buy"),IFERROR(VLOOKUP(C82,Upgrades!$N$4:$T$47,2,FALSE),0)="points"),"Can't — Sp-wallet spends not tracked here",IF(AND(OR(B82="Buy upgrade",B82="Forge/Scrapwork buy"),IFERROR(VLOOKUP(C82,Upgrades!$N$4:$T$47,2,FALSE),0)="gold",H81&lt;IFERROR(FLOOR(IFERROR(VLOOKUP(C82,Upgrades!$N$4:$T$47,3,FALSE),0)*(IFERROR(VLOOKUP(C82,Upgrades!$N$4:$T$47,4,FALSE),0)^(COUNTIFS($B$3:$B81,"Buy upgrade",$C$3:$C81,C82)+COUNTIFS($B$3:$B81,"Hire hunter",$C$3:$C81,C82)+COUNTIFS($B$3:$B81,"Forge/Scrapwork buy",$C$3:$C81,C82))),1),0)),"Can't — need "&amp;TEXT(IFERROR(FLOOR(IFERROR(VLOOKUP(C82,Upgrades!$N$4:$T$47,3,FALSE),0)*(IFERROR(VLOOKUP(C82,Upgrades!$N$4:$T$47,4,FALSE),0)^(COUNTIFS($B$3:$B81,"Buy upgrade",$C$3:$C81,C82)+COUNTIFS($B$3:$B81,"Hire hunter",$C$3:$C81,C82)+COUNTIFS($B$3:$B81,"Forge/Scrapwork buy",$C$3:$C81,C82))),1),0)-H81,"0")&amp;" more gold",IF(AND(OR(B82="Buy upgrade",B82="Forge/Scrapwork buy"),IFERROR(VLOOKUP(C82,Upgrades!$N$4:$T$47,2,FALSE),0)="scraps",J81&lt;IFERROR(FLOOR(IFERROR(VLOOKUP(C82,Upgrades!$N$4:$T$47,3,FALSE),0)*(IFERROR(VLOOKUP(C82,Upgrades!$N$4:$T$47,4,FALSE),0)^(COUNTIFS($B$3:$B81,"Buy upgrade",$C$3:$C81,C82)+COUNTIFS($B$3:$B81,"Hire hunter",$C$3:$C81,C82)+COUNTIFS($B$3:$B81,"Forge/Scrapwork buy",$C$3:$C81,C82))),1),0)),"Can't — need "&amp;TEXT(IFERROR(FLOOR(IFERROR(VLOOKUP(C82,Upgrades!$N$4:$T$47,3,FALSE),0)*(IFERROR(VLOOKUP(C82,Upgrades!$N$4:$T$47,4,FALSE),0)^(COUNTIFS($B$3:$B81,"Buy upgrade",$C$3:$C81,C82)+COUNTIFS($B$3:$B81,"Hire hunter",$C$3:$C81,C82)+COUNTIFS($B$3:$B81,"Forge/Scrapwork buy",$C$3:$C81,C82))),1),0)-J81,"0")&amp;" more scraps",IF(AND(B82="Fight boss",E82="OK",(IF((((105/'Rules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Formulas'!B12)),"WIN — boss down, next Level unlocks",IF(AND(B82="Fight boss",E82="OK"),"LOSE — TTK "&amp;TEXT(IF((((105/'Rules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Formulas'!B20*SQRT(1+0.55*(AG81&gt;=1))),0)))),"0")&amp;"s &gt; patience "&amp;TEXT('Rules &amp; Formulas'!B12,"0")&amp;"s (leave resets HP)",IF(B82="Go AFK","AFK resolved (see AFK counted h)","Applied")))))))))</f>
        <v/>
      </c>
      <c r="G82" s="7">
        <f>IF(AND((E82="OK"),B82="Fight boss",(IF((((105/'Rules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Formulas'!B12),C82="Elder Thornpelt"),2,IF(AND((E82="OK"),B82="Fight boss",(IF((((105/'Rules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Formulas'!B12),C82="Ashfang Alpha"),3,G81))</f>
        <v/>
      </c>
      <c r="H82" s="7">
        <f>MAX(0,H81+IF(AND((E82="OK"),B82="Hunt"),(IF(B82="Hunt",(('Rules &amp; Formulas'!B4*N81*('Rules &amp; Formulas'!B5+O81)*IFERROR(VLOOKUP(C82,Monsters!$T$4:$AH$15,10,FALSE),0)*IFERROR(VLOOKUP(C82,Monsters!$T$4:$AH$15,9,FALSE),0))*'Rules &amp; Formulas'!B6)*IF(D82="",0,D82),0))*(IFERROR(VLOOKUP(C82,Monsters!$T$4:$AH$15,3,FALSE),0))*(1+0.1*AH81)+(IF(OR(B82&lt;&gt;"Hunt",IFERROR(VLOOKUP(C82,Monsters!$T$4:$AH$15,6,FALSE),0)=0),0,FLOOR((IF(B82="Hunt",(('Rules &amp; Formulas'!B4*N81*('Rules &amp; Formulas'!B5+O81)*IFERROR(VLOOKUP(C82,Monsters!$T$4:$AH$15,10,FALSE),0)*IFERROR(VLOOKUP(C82,Monsters!$T$4:$AH$15,9,FALSE),0))*'Rules &amp; Formulas'!B6)*IF(D82="",0,D82),0))/MAX(1,IFERROR(VLOOKUP(C82,Monsters!$T$4:$AH$15,6,FALSE),0)),1)))*(IFERROR(VLOOKUP(C82,Monsters!$T$4:$AH$15,7,FALSE),0))*0.5*(1+0.1*AH81),0)+IF(AND((E82="OK"),B82="Go AFK"),(IF(B82="Go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AFK",IF(D82="",0,D82),0),Z81/60)*60)),0))*(IFERROR(VLOOKUP(C82,Monsters!$T$4:$AH$15,3,FALSE),0))*(1+0.1*AH81)+(IF(OR(B82&lt;&gt;"Go AFK",IFERROR(VLOOKUP(C82,Monsters!$T$4:$AH$15,6,FALSE),0)=0),0,FLOOR((IF(B82="Go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AFK",IF(D82="",0,D82),0),Z81/60)*60)),0))/MAX(1,IFERROR(VLOOKUP(C82,Monsters!$T$4:$AH$15,6,FALSE),0)),1)))*(IFERROR(VLOOKUP(C82,Monsters!$T$4:$AH$15,7,FALSE),0))*0.5*(1+0.1*AH81),0)+IF(AND((E82="OK"),B82="Fight boss",(IF((((105/'Rules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Formulas'!B12)),IFERROR(VLOOKUP(C82,Monsters!$T$4:$AH$15,3,FALSE),0),0)-IF(AND((E82="OK"),OR(B82="Buy upgrade",B82="Forge/Scrapwork buy"),IFERROR(VLOOKUP(C82,Upgrades!$N$4:$T$47,2,FALSE),0)="gold"),IFERROR(FLOOR(IFERROR(VLOOKUP(C82,Upgrades!$N$4:$T$47,3,FALSE),0)*(IFERROR(VLOOKUP(C82,Upgrades!$N$4:$T$47,4,FALSE),0)^(COUNTIFS($B$3:$B81,"Buy upgrade",$C$3:$C81,C82)+COUNTIFS($B$3:$B81,"Hire hunter",$C$3:$C81,C82)+COUNTIFS($B$3:$B81,"Forge/Scrapwork buy",$C$3:$C81,C82))),1),0),0)-IF(AND((E82="OK"),B82="Hire hunter"),IF(C82="Briar",140,IF(C82="Quill",3650,IF(C82="Moss",4850,IF(C82="Ember",12200,0)))),0))</f>
        <v/>
      </c>
      <c r="I82" s="7">
        <f>IF(AND((E82="OK"),B82="Fight boss",(IF((((105/'Rules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Formulas'!B12)),0,MIN(IF(G81&lt;=1,120,IF(G81=2,280,600)),I81+IF(AND((E82="OK"),B82="Hunt"),((IF(B82="Hunt",(('Rules &amp; Formulas'!B4*N81*('Rules &amp; Formulas'!B5+O81)*IFERROR(VLOOKUP(C82,Monsters!$T$4:$AH$15,10,FALSE),0)*IFERROR(VLOOKUP(C82,Monsters!$T$4:$AH$15,9,FALSE),0))*'Rules &amp; Formulas'!B6)*IF(D82="",0,D82),0))*(IFERROR(VLOOKUP(C82,Monsters!$T$4:$AH$15,4,FALSE),0))+(IF(OR(B82&lt;&gt;"Hunt",IFERROR(VLOOKUP(C82,Monsters!$T$4:$AH$15,6,FALSE),0)=0),0,FLOOR((IF(B82="Hunt",(('Rules &amp; Formulas'!B4*N81*('Rules &amp; Formulas'!B5+O81)*IFERROR(VLOOKUP(C82,Monsters!$T$4:$AH$15,10,FALSE),0)*IFERROR(VLOOKUP(C82,Monsters!$T$4:$AH$15,9,FALSE),0))*'Rules &amp; Formulas'!B6)*IF(D82="",0,D82),0))/MAX(1,IFERROR(VLOOKUP(C82,Monsters!$T$4:$AH$15,6,FALSE),0)),1)))*(IFERROR(VLOOKUP(C82,Monsters!$T$4:$AH$15,7,FALSE),0))),0)+IF(AND((E82="OK"),B82="Go AFK"),((IF(B82="Go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AFK",IF(D82="",0,D82),0),Z81/60)*60)),0))*(IFERROR(VLOOKUP(C82,Monsters!$T$4:$AH$15,4,FALSE),0))+(IF(OR(B82&lt;&gt;"Go AFK",IFERROR(VLOOKUP(C82,Monsters!$T$4:$AH$15,6,FALSE),0)=0),0,FLOOR((IF(B82="Go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AFK",IF(D82="",0,D82),0),Z81/60)*60)),0))/MAX(1,IFERROR(VLOOKUP(C82,Monsters!$T$4:$AH$15,6,FALSE),0)),1)))*(IFERROR(VLOOKUP(C82,Monsters!$T$4:$AH$15,7,FALSE),0))),0)))</f>
        <v/>
      </c>
      <c r="J82" s="7">
        <f>MAX(0,J81+IF(AND((E82="OK"),B82="Hunt"),(IF(B82="Hunt",(('Rules &amp; Formulas'!B4*N81*('Rules &amp; Formulas'!B5+O81)*IFERROR(VLOOKUP(C82,Monsters!$T$4:$AH$15,10,FALSE),0)*IFERROR(VLOOKUP(C82,Monsters!$T$4:$AH$15,9,FALSE),0))*'Rules &amp; Formulas'!B6)*IF(D82="",0,D82),0))*(IFERROR(VLOOKUP(C82,Monsters!$T$4:$AH$15,5,FALSE),0)),0)+IF(AND((E82="OK"),B82="Go AFK"),(IF(B82="Go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AFK",IF(D82="",0,D82),0),Z81/60)*60)),0))*(IFERROR(VLOOKUP(C82,Monsters!$T$4:$AH$15,5,FALSE),0)),0)-IF(AND((E82="OK"),OR(B82="Buy upgrade",B82="Forge/Scrapwork buy"),IFERROR(VLOOKUP(C82,Upgrades!$N$4:$T$47,2,FALSE),0)="scraps"),IFERROR(FLOOR(IFERROR(VLOOKUP(C82,Upgrades!$N$4:$T$47,3,FALSE),0)*(IFERROR(VLOOKUP(C82,Upgrades!$N$4:$T$47,4,FALSE),0)^(COUNTIFS($B$3:$B81,"Buy upgrade",$C$3:$C81,C82)+COUNTIFS($B$3:$B81,"Hire hunter",$C$3:$C81,C82)+COUNTIFS($B$3:$B81,"Forge/Scrapwork buy",$C$3:$C81,C82))),1),0),0))</f>
        <v/>
      </c>
      <c r="K82" s="7">
        <f>MAX(0,K81+IF(AND((E82="OK"),B82="Hunt"),IF(C82="Thornpelt Bear",(IF(B82="Hunt",(('Rules &amp; Formulas'!B4*N81*('Rules &amp; Formulas'!B5+O81)*IFERROR(VLOOKUP(C82,Monsters!$T$4:$AH$15,10,FALSE),0)*IFERROR(VLOOKUP(C82,Monsters!$T$4:$AH$15,9,FALSE),0))*'Rules &amp; Formulas'!B6)*IF(D82="",0,D82),0))*0.12,0),0)+IF(AND((E82="OK"),B82="Go AFK"),IF(C82="Thornpelt Bear",(IF(B82="Go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AFK",IF(D82="",0,D82),0),Z81/60)*60)),0))*0.12,0),0))</f>
        <v/>
      </c>
      <c r="L82" s="7">
        <f>MAX(0,L81+IF(AND((E82="OK"),B82="Hunt"),IF(C82="Dire Thornpelt",(IF(B82="Hunt",(('Rules &amp; Formulas'!B4*N81*('Rules &amp; Formulas'!B5+O81)*IFERROR(VLOOKUP(C82,Monsters!$T$4:$AH$15,10,FALSE),0)*IFERROR(VLOOKUP(C82,Monsters!$T$4:$AH$15,9,FALSE),0))*'Rules &amp; Formulas'!B6)*IF(D82="",0,D82),0))*0.1,0),0)+IF(AND((E82="OK"),B82="Go AFK"),IF(C82="Dire Thornpelt",(IF(B82="Go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AFK",IF(D82="",0,D82),0),Z81/60)*60)),0))*0.1,0),0))</f>
        <v/>
      </c>
      <c r="M82" s="7">
        <f>IF(AND((E82="OK"),B82="Go AFK"),MAX(0,MIN(('Rules &amp; Formulas'!B15+25*AJ81),M81+('Rules &amp; Formulas'!B14+0.4*AJ81)*(MIN(IF(B82="Go AFK",IF(D82="",0,D82),0),Z81/60)*60))-(IF(B82="Go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AFK",IF(D82="",0,D82),0),Z81/60)*60)),0))*(IF((IFERROR(VLOOKUP(C82,Monsters!$T$4:$AH$15,8,FALSE),0))=0,0.35,IFERROR(VLOOKUP(C82,Monsters!$T$4:$AH$15,8,FALSE),0))/(1+0.08*AK81))),MIN(('Rules &amp; Formulas'!B15+25*AJ82),M81))</f>
        <v/>
      </c>
      <c r="N82" s="7">
        <f>(1+0.08+0.12*AA82+0.12*AB82+0.16*AC82)</f>
        <v/>
      </c>
      <c r="O82" s="7">
        <f>((AD82&gt;=1)*1*(1+0.3*AE82))</f>
        <v/>
      </c>
      <c r="P82" s="7">
        <f>IF(OR(B82="Hunt",B82="Go AFK"),(('Rules &amp; Formulas'!B4*N81*('Rules &amp; Formulas'!B5+O81)*IFERROR(VLOOKUP(C82,Monsters!$T$4:$AH$15,10,FALSE),0)*IFERROR(VLOOKUP(C82,Monsters!$T$4:$AH$15,9,FALSE),0))*'Rules &amp; Formulas'!B6),"")</f>
        <v/>
      </c>
      <c r="Q82" s="7">
        <f>IF(OR(B82="Hunt",B82="Go AFK"),('Rules &amp; Formulas'!B4*N81*('Rules &amp; Formulas'!B5+O81)*IFERROR(VLOOKUP(C82,Monsters!$T$4:$AH$15,10,FALSE),0)*IFERROR(VLOOKUP(C82,Monsters!$T$4:$AH$15,9,FALSE),0)),"")</f>
        <v/>
      </c>
      <c r="R82" s="7">
        <f>IF(AND((E82="OK"),B82="Hunt"),IF(B82="Hunt",(('Rules &amp; Formulas'!B4*N81*('Rules &amp; Formulas'!B5+O81)*IFERROR(VLOOKUP(C82,Monsters!$T$4:$AH$15,10,FALSE),0)*IFERROR(VLOOKUP(C82,Monsters!$T$4:$AH$15,9,FALSE),0))*'Rules &amp; Formulas'!B6)*IF(D82="",0,D82),0),IF(AND((E82="OK"),B82="Go AFK"),IF(B82="Go AFK",MIN(IF((IF((IFERROR(VLOOKUP(C82,Monsters!$T$4:$AH$15,8,FALSE),0))=0,0.35,IFERROR(VLOOKUP(C82,Monsters!$T$4:$AH$15,8,FALSE),0))/(1+0.08*AK81))&lt;=0,999999,FLOOR(MIN(('Rules &amp; Formulas'!B15+25*AJ81),M81+('Rules &amp; Formulas'!B14+0.4*AJ81)*(MIN(IF(B82="Go AFK",IF(D82="",0,D82),0),Z81/60)*60))/(IF((IFERROR(VLOOKUP(C82,Monsters!$T$4:$AH$15,8,FALSE),0))=0,0.35,IFERROR(VLOOKUP(C82,Monsters!$T$4:$AH$15,8,FALSE),0))/(1+0.08*AK81)),1)),('Rules &amp; Formulas'!B4*N81*('Rules &amp; Formulas'!B5+O81)*IFERROR(VLOOKUP(C82,Monsters!$T$4:$AH$15,10,FALSE),0)*IFERROR(VLOOKUP(C82,Monsters!$T$4:$AH$15,9,FALSE),0))*(MIN(IF(B82="Go AFK",IF(D82="",0,D82),0),Z81/60)*60)),0),0))</f>
        <v/>
      </c>
      <c r="S82" s="7">
        <f>(105/'Rules &amp; Formulas'!B10)*'Rules &amp; Formulas'!B11</f>
        <v/>
      </c>
      <c r="T82" s="7">
        <f>IF(AD81&gt;=1,(MAX(1,ROUND('Rules &amp; Formulas'!B18*(1+0.3*AE81)*(1+0.4*AF81),0)))*(1000/'Rules &amp; Formulas'!B19)*MIN(0.95,'Rules &amp; Formulas'!B20*SQRT(1+0.55*(AG81&gt;=1))),0)</f>
        <v/>
      </c>
      <c r="U82" s="7">
        <f>S82+T82</f>
        <v/>
      </c>
      <c r="V82" s="7">
        <f>IF(I81&gt;=IF((IFERROR(VLOOKUP(C82,Monsters!$T$4:$AH$15,15,FALSE),0))=0,120,IFERROR(VLOOKUP(C82,Monsters!$T$4:$AH$15,15,FALSE),0)),"YES","no")</f>
        <v/>
      </c>
      <c r="W82" s="7">
        <f>IF(AND(B82="Fight boss",E82="OK"),IF((((105/'Rules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Formulas'!B20*SQRT(1+0.55*(AG81&gt;=1))),0)))),"")</f>
        <v/>
      </c>
      <c r="X82" s="7">
        <f>IF(AND(B82="Fight boss",E82="OK"),IF((IF((((105/'Rules &amp; Formulas'!B10)*'Rules &amp; Formulas'!B11+IF(AD81&gt;=1,(MAX(1,ROUND('Rules &amp; Formulas'!B18*(1+0.3*AE81)*(1+0.4*AF81),0)))*(1000/'Rules &amp; Formulas'!B19)*MIN(0.95,'Rules &amp; Formulas'!B20*SQRT(1+0.55*(AG81&gt;=1))),0)))&lt;=0,9999,(IFERROR(VLOOKUP(C82,Monsters!$T$4:$AH$15,2,FALSE),0))/(((105/'Rules &amp; Formulas'!B10)*'Rules &amp; Formulas'!B11+IF(AD81&gt;=1,(MAX(1,ROUND('Rules &amp; Formulas'!B18*(1+0.3*AE81)*(1+0.4*AF81),0)))*(1000/'Rules &amp; Formulas'!B19)*MIN(0.95,'Rules &amp; Formulas'!B20*SQRT(1+0.55*(AG81&gt;=1))),0))))&lt;='Rules &amp; Formulas'!B12),"WIN","LOSE"),"")</f>
        <v/>
      </c>
      <c r="Y82" s="7">
        <f>IF(B82="Go AFK",MIN(IF(B82="Go AFK",IF(D82="",0,D82),0),Z81/60),"")</f>
        <v/>
      </c>
      <c r="Z82" s="7">
        <f>('Rules &amp; Formulas'!B13+30*AI82)</f>
        <v/>
      </c>
      <c r="AA82">
        <f>COUNTIFS($B$3:$B82,"Buy upgrade",$C$3:$C82,"Idle Power")</f>
        <v/>
      </c>
      <c r="AB82">
        <f>COUNTIFS($B$3:$B82,"Buy upgrade",$C$3:$C82,"Iron Blade")</f>
        <v/>
      </c>
      <c r="AC82">
        <f>COUNTIFS($B$3:$B82,"Buy upgrade",$C$3:$C82,"Steel Blade")</f>
        <v/>
      </c>
      <c r="AD82">
        <f>COUNTIFS($B$3:$B82,"Hire hunter",$C$3:$C82,"Briar")+COUNTIFS($B$3:$B82,"Buy upgrade",$C$3:$C82,"Hire Briar")</f>
        <v/>
      </c>
      <c r="AE82">
        <f>COUNTIFS($B$3:$B82,"Buy upgrade",$C$3:$C82,"Hunter Power")</f>
        <v/>
      </c>
      <c r="AF82">
        <f>COUNTIFS($B$3:$B82,"Buy upgrade",$C$3:$C82,"Bigger Hits")</f>
        <v/>
      </c>
      <c r="AG82">
        <f>COUNTIFS($B$3:$B82,"Buy upgrade",$C$3:$C82,"Swift Walk")</f>
        <v/>
      </c>
      <c r="AH82">
        <f>COUNTIFS($B$3:$B82,"Buy upgrade",$C$3:$C82,"Loot Luck")</f>
        <v/>
      </c>
      <c r="AI82">
        <f>COUNTIFS($B$3:$B82,"Buy upgrade",$C$3:$C82,"Offline Cap")</f>
        <v/>
      </c>
      <c r="AJ82">
        <f>COUNTIFS($B$3:$B82,"Buy upgrade",$C$3:$C82,"Bigger Food Stock")</f>
        <v/>
      </c>
      <c r="AK82">
        <f>COUNTIFS($B$3:$B82,"Buy upgrade",$C$3:$C82,"Food Efficiency")</f>
        <v/>
      </c>
    </row>
    <row r="83">
      <c r="A83" t="n">
        <v>81</v>
      </c>
      <c r="B83" s="6" t="n"/>
      <c r="C83" s="6" t="n"/>
      <c r="D83" s="6" t="n"/>
      <c r="E83" s="7">
        <f>IF(B83="","",IF(OR(B83="Hunt",B83="Go AFK"),IF(C83="","Can't","OK"),IF(B83="Fight boss",IF(I82&lt;IF((IFERROR(VLOOKUP(C83,Monsters!$T$4:$AH$15,15,FALSE),0))=0,120,IFERROR(VLOOKUP(C83,Monsters!$T$4:$AH$15,15,FALSE),0)),"Can't","OK"),IF(B83="Hire hunter",IF(AND(C83="Briar",AD82&gt;=1),"Can't",IF(H82&lt;IF(C83="Briar",140,IF(C83="Quill",3650,IF(C83="Moss",4850,IF(C83="Ember",12200,0)))),"Can't","OK")),IF(OR(B83="Buy upgrade",B83="Forge/Scrapwork buy"),IF(IFERROR(VLOOKUP(C83,Upgrades!$N$4:$T$47,2,FALSE),0)="points","Can't",IF(IFERROR(VLOOKUP(C83,Upgrades!$N$4:$T$47,2,FALSE),0)="gold",IF(H82&lt;IFERROR(FLOOR(IFERROR(VLOOKUP(C83,Upgrades!$N$4:$T$47,3,FALSE),0)*(IFERROR(VLOOKUP(C83,Upgrades!$N$4:$T$47,4,FALSE),0)^(COUNTIFS($B$3:$B82,"Buy upgrade",$C$3:$C82,C83)+COUNTIFS($B$3:$B82,"Hire hunter",$C$3:$C82,C83)+COUNTIFS($B$3:$B82,"Forge/Scrapwork buy",$C$3:$C82,C83))),1),0),"Can't","OK"),IF(IFERROR(VLOOKUP(C83,Upgrades!$N$4:$T$47,2,FALSE),0)="scraps",IF(J82&lt;IFERROR(FLOOR(IFERROR(VLOOKUP(C83,Upgrades!$N$4:$T$47,3,FALSE),0)*(IFERROR(VLOOKUP(C83,Upgrades!$N$4:$T$47,4,FALSE),0)^(COUNTIFS($B$3:$B82,"Buy upgrade",$C$3:$C82,C83)+COUNTIFS($B$3:$B82,"Hire hunter",$C$3:$C82,C83)+COUNTIFS($B$3:$B82,"Forge/Scrapwork buy",$C$3:$C82,C83))),1),0),"Can't","OK"),IF(IFERROR(VLOOKUP(C83,Upgrades!$N$4:$T$47,2,FALSE),0)="mats","Can't","OK")))),"Check")))))</f>
        <v/>
      </c>
      <c r="F83" s="7">
        <f>IF(B83="","",IF(AND(B83="Fight boss",I82&lt;IF((IFERROR(VLOOKUP(C83,Monsters!$T$4:$AH$15,15,FALSE),0))=0,120,IFERROR(VLOOKUP(C83,Monsters!$T$4:$AH$15,15,FALSE),0))),"Can't — need "&amp;TEXT(IF((IFERROR(VLOOKUP(C83,Monsters!$T$4:$AH$15,15,FALSE),0))=0,120,IFERROR(VLOOKUP(C83,Monsters!$T$4:$AH$15,15,FALSE),0))-I82,"0.0")&amp;" more Slayer points on the meter",IF(AND(B83="Hire hunter",C83="Briar",AD82&gt;=1),"Can't — already hired",IF(AND(B83="Hire hunter",H82&lt;IF(C83="Briar",140,IF(C83="Quill",3650,IF(C83="Moss",4850,IF(C83="Ember",12200,0))))),"Can't — need "&amp;TEXT(IF(C83="Briar",140,IF(C83="Quill",3650,IF(C83="Moss",4850,IF(C83="Ember",12200,0))))-H82,"0")&amp;" more gold",IF(AND(OR(B83="Buy upgrade",B83="Forge/Scrapwork buy"),IFERROR(VLOOKUP(C83,Upgrades!$N$4:$T$47,2,FALSE),0)="points"),"Can't — Sp-wallet spends not tracked here",IF(AND(OR(B83="Buy upgrade",B83="Forge/Scrapwork buy"),IFERROR(VLOOKUP(C83,Upgrades!$N$4:$T$47,2,FALSE),0)="gold",H82&lt;IFERROR(FLOOR(IFERROR(VLOOKUP(C83,Upgrades!$N$4:$T$47,3,FALSE),0)*(IFERROR(VLOOKUP(C83,Upgrades!$N$4:$T$47,4,FALSE),0)^(COUNTIFS($B$3:$B82,"Buy upgrade",$C$3:$C82,C83)+COUNTIFS($B$3:$B82,"Hire hunter",$C$3:$C82,C83)+COUNTIFS($B$3:$B82,"Forge/Scrapwork buy",$C$3:$C82,C83))),1),0)),"Can't — need "&amp;TEXT(IFERROR(FLOOR(IFERROR(VLOOKUP(C83,Upgrades!$N$4:$T$47,3,FALSE),0)*(IFERROR(VLOOKUP(C83,Upgrades!$N$4:$T$47,4,FALSE),0)^(COUNTIFS($B$3:$B82,"Buy upgrade",$C$3:$C82,C83)+COUNTIFS($B$3:$B82,"Hire hunter",$C$3:$C82,C83)+COUNTIFS($B$3:$B82,"Forge/Scrapwork buy",$C$3:$C82,C83))),1),0)-H82,"0")&amp;" more gold",IF(AND(OR(B83="Buy upgrade",B83="Forge/Scrapwork buy"),IFERROR(VLOOKUP(C83,Upgrades!$N$4:$T$47,2,FALSE),0)="scraps",J82&lt;IFERROR(FLOOR(IFERROR(VLOOKUP(C83,Upgrades!$N$4:$T$47,3,FALSE),0)*(IFERROR(VLOOKUP(C83,Upgrades!$N$4:$T$47,4,FALSE),0)^(COUNTIFS($B$3:$B82,"Buy upgrade",$C$3:$C82,C83)+COUNTIFS($B$3:$B82,"Hire hunter",$C$3:$C82,C83)+COUNTIFS($B$3:$B82,"Forge/Scrapwork buy",$C$3:$C82,C83))),1),0)),"Can't — need "&amp;TEXT(IFERROR(FLOOR(IFERROR(VLOOKUP(C83,Upgrades!$N$4:$T$47,3,FALSE),0)*(IFERROR(VLOOKUP(C83,Upgrades!$N$4:$T$47,4,FALSE),0)^(COUNTIFS($B$3:$B82,"Buy upgrade",$C$3:$C82,C83)+COUNTIFS($B$3:$B82,"Hire hunter",$C$3:$C82,C83)+COUNTIFS($B$3:$B82,"Forge/Scrapwork buy",$C$3:$C82,C83))),1),0)-J82,"0")&amp;" more scraps",IF(AND(B83="Fight boss",E83="OK",(IF((((105/'Rules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Formulas'!B12)),"WIN — boss down, next Level unlocks",IF(AND(B83="Fight boss",E83="OK"),"LOSE — TTK "&amp;TEXT(IF((((105/'Rules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Formulas'!B20*SQRT(1+0.55*(AG82&gt;=1))),0)))),"0")&amp;"s &gt; patience "&amp;TEXT('Rules &amp; Formulas'!B12,"0")&amp;"s (leave resets HP)",IF(B83="Go AFK","AFK resolved (see AFK counted h)","Applied")))))))))</f>
        <v/>
      </c>
      <c r="G83" s="7">
        <f>IF(AND((E83="OK"),B83="Fight boss",(IF((((105/'Rules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Formulas'!B12),C83="Elder Thornpelt"),2,IF(AND((E83="OK"),B83="Fight boss",(IF((((105/'Rules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Formulas'!B12),C83="Ashfang Alpha"),3,G82))</f>
        <v/>
      </c>
      <c r="H83" s="7">
        <f>MAX(0,H82+IF(AND((E83="OK"),B83="Hunt"),(IF(B83="Hunt",(('Rules &amp; Formulas'!B4*N82*('Rules &amp; Formulas'!B5+O82)*IFERROR(VLOOKUP(C83,Monsters!$T$4:$AH$15,10,FALSE),0)*IFERROR(VLOOKUP(C83,Monsters!$T$4:$AH$15,9,FALSE),0))*'Rules &amp; Formulas'!B6)*IF(D83="",0,D83),0))*(IFERROR(VLOOKUP(C83,Monsters!$T$4:$AH$15,3,FALSE),0))*(1+0.1*AH82)+(IF(OR(B83&lt;&gt;"Hunt",IFERROR(VLOOKUP(C83,Monsters!$T$4:$AH$15,6,FALSE),0)=0),0,FLOOR((IF(B83="Hunt",(('Rules &amp; Formulas'!B4*N82*('Rules &amp; Formulas'!B5+O82)*IFERROR(VLOOKUP(C83,Monsters!$T$4:$AH$15,10,FALSE),0)*IFERROR(VLOOKUP(C83,Monsters!$T$4:$AH$15,9,FALSE),0))*'Rules &amp; Formulas'!B6)*IF(D83="",0,D83),0))/MAX(1,IFERROR(VLOOKUP(C83,Monsters!$T$4:$AH$15,6,FALSE),0)),1)))*(IFERROR(VLOOKUP(C83,Monsters!$T$4:$AH$15,7,FALSE),0))*0.5*(1+0.1*AH82),0)+IF(AND((E83="OK"),B83="Go AFK"),(IF(B83="Go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AFK",IF(D83="",0,D83),0),Z82/60)*60)),0))*(IFERROR(VLOOKUP(C83,Monsters!$T$4:$AH$15,3,FALSE),0))*(1+0.1*AH82)+(IF(OR(B83&lt;&gt;"Go AFK",IFERROR(VLOOKUP(C83,Monsters!$T$4:$AH$15,6,FALSE),0)=0),0,FLOOR((IF(B83="Go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AFK",IF(D83="",0,D83),0),Z82/60)*60)),0))/MAX(1,IFERROR(VLOOKUP(C83,Monsters!$T$4:$AH$15,6,FALSE),0)),1)))*(IFERROR(VLOOKUP(C83,Monsters!$T$4:$AH$15,7,FALSE),0))*0.5*(1+0.1*AH82),0)+IF(AND((E83="OK"),B83="Fight boss",(IF((((105/'Rules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Formulas'!B12)),IFERROR(VLOOKUP(C83,Monsters!$T$4:$AH$15,3,FALSE),0),0)-IF(AND((E83="OK"),OR(B83="Buy upgrade",B83="Forge/Scrapwork buy"),IFERROR(VLOOKUP(C83,Upgrades!$N$4:$T$47,2,FALSE),0)="gold"),IFERROR(FLOOR(IFERROR(VLOOKUP(C83,Upgrades!$N$4:$T$47,3,FALSE),0)*(IFERROR(VLOOKUP(C83,Upgrades!$N$4:$T$47,4,FALSE),0)^(COUNTIFS($B$3:$B82,"Buy upgrade",$C$3:$C82,C83)+COUNTIFS($B$3:$B82,"Hire hunter",$C$3:$C82,C83)+COUNTIFS($B$3:$B82,"Forge/Scrapwork buy",$C$3:$C82,C83))),1),0),0)-IF(AND((E83="OK"),B83="Hire hunter"),IF(C83="Briar",140,IF(C83="Quill",3650,IF(C83="Moss",4850,IF(C83="Ember",12200,0)))),0))</f>
        <v/>
      </c>
      <c r="I83" s="7">
        <f>IF(AND((E83="OK"),B83="Fight boss",(IF((((105/'Rules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Formulas'!B12)),0,MIN(IF(G82&lt;=1,120,IF(G82=2,280,600)),I82+IF(AND((E83="OK"),B83="Hunt"),((IF(B83="Hunt",(('Rules &amp; Formulas'!B4*N82*('Rules &amp; Formulas'!B5+O82)*IFERROR(VLOOKUP(C83,Monsters!$T$4:$AH$15,10,FALSE),0)*IFERROR(VLOOKUP(C83,Monsters!$T$4:$AH$15,9,FALSE),0))*'Rules &amp; Formulas'!B6)*IF(D83="",0,D83),0))*(IFERROR(VLOOKUP(C83,Monsters!$T$4:$AH$15,4,FALSE),0))+(IF(OR(B83&lt;&gt;"Hunt",IFERROR(VLOOKUP(C83,Monsters!$T$4:$AH$15,6,FALSE),0)=0),0,FLOOR((IF(B83="Hunt",(('Rules &amp; Formulas'!B4*N82*('Rules &amp; Formulas'!B5+O82)*IFERROR(VLOOKUP(C83,Monsters!$T$4:$AH$15,10,FALSE),0)*IFERROR(VLOOKUP(C83,Monsters!$T$4:$AH$15,9,FALSE),0))*'Rules &amp; Formulas'!B6)*IF(D83="",0,D83),0))/MAX(1,IFERROR(VLOOKUP(C83,Monsters!$T$4:$AH$15,6,FALSE),0)),1)))*(IFERROR(VLOOKUP(C83,Monsters!$T$4:$AH$15,7,FALSE),0))),0)+IF(AND((E83="OK"),B83="Go AFK"),((IF(B83="Go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AFK",IF(D83="",0,D83),0),Z82/60)*60)),0))*(IFERROR(VLOOKUP(C83,Monsters!$T$4:$AH$15,4,FALSE),0))+(IF(OR(B83&lt;&gt;"Go AFK",IFERROR(VLOOKUP(C83,Monsters!$T$4:$AH$15,6,FALSE),0)=0),0,FLOOR((IF(B83="Go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AFK",IF(D83="",0,D83),0),Z82/60)*60)),0))/MAX(1,IFERROR(VLOOKUP(C83,Monsters!$T$4:$AH$15,6,FALSE),0)),1)))*(IFERROR(VLOOKUP(C83,Monsters!$T$4:$AH$15,7,FALSE),0))),0)))</f>
        <v/>
      </c>
      <c r="J83" s="7">
        <f>MAX(0,J82+IF(AND((E83="OK"),B83="Hunt"),(IF(B83="Hunt",(('Rules &amp; Formulas'!B4*N82*('Rules &amp; Formulas'!B5+O82)*IFERROR(VLOOKUP(C83,Monsters!$T$4:$AH$15,10,FALSE),0)*IFERROR(VLOOKUP(C83,Monsters!$T$4:$AH$15,9,FALSE),0))*'Rules &amp; Formulas'!B6)*IF(D83="",0,D83),0))*(IFERROR(VLOOKUP(C83,Monsters!$T$4:$AH$15,5,FALSE),0)),0)+IF(AND((E83="OK"),B83="Go AFK"),(IF(B83="Go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AFK",IF(D83="",0,D83),0),Z82/60)*60)),0))*(IFERROR(VLOOKUP(C83,Monsters!$T$4:$AH$15,5,FALSE),0)),0)-IF(AND((E83="OK"),OR(B83="Buy upgrade",B83="Forge/Scrapwork buy"),IFERROR(VLOOKUP(C83,Upgrades!$N$4:$T$47,2,FALSE),0)="scraps"),IFERROR(FLOOR(IFERROR(VLOOKUP(C83,Upgrades!$N$4:$T$47,3,FALSE),0)*(IFERROR(VLOOKUP(C83,Upgrades!$N$4:$T$47,4,FALSE),0)^(COUNTIFS($B$3:$B82,"Buy upgrade",$C$3:$C82,C83)+COUNTIFS($B$3:$B82,"Hire hunter",$C$3:$C82,C83)+COUNTIFS($B$3:$B82,"Forge/Scrapwork buy",$C$3:$C82,C83))),1),0),0))</f>
        <v/>
      </c>
      <c r="K83" s="7">
        <f>MAX(0,K82+IF(AND((E83="OK"),B83="Hunt"),IF(C83="Thornpelt Bear",(IF(B83="Hunt",(('Rules &amp; Formulas'!B4*N82*('Rules &amp; Formulas'!B5+O82)*IFERROR(VLOOKUP(C83,Monsters!$T$4:$AH$15,10,FALSE),0)*IFERROR(VLOOKUP(C83,Monsters!$T$4:$AH$15,9,FALSE),0))*'Rules &amp; Formulas'!B6)*IF(D83="",0,D83),0))*0.12,0),0)+IF(AND((E83="OK"),B83="Go AFK"),IF(C83="Thornpelt Bear",(IF(B83="Go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AFK",IF(D83="",0,D83),0),Z82/60)*60)),0))*0.12,0),0))</f>
        <v/>
      </c>
      <c r="L83" s="7">
        <f>MAX(0,L82+IF(AND((E83="OK"),B83="Hunt"),IF(C83="Dire Thornpelt",(IF(B83="Hunt",(('Rules &amp; Formulas'!B4*N82*('Rules &amp; Formulas'!B5+O82)*IFERROR(VLOOKUP(C83,Monsters!$T$4:$AH$15,10,FALSE),0)*IFERROR(VLOOKUP(C83,Monsters!$T$4:$AH$15,9,FALSE),0))*'Rules &amp; Formulas'!B6)*IF(D83="",0,D83),0))*0.1,0),0)+IF(AND((E83="OK"),B83="Go AFK"),IF(C83="Dire Thornpelt",(IF(B83="Go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AFK",IF(D83="",0,D83),0),Z82/60)*60)),0))*0.1,0),0))</f>
        <v/>
      </c>
      <c r="M83" s="7">
        <f>IF(AND((E83="OK"),B83="Go AFK"),MAX(0,MIN(('Rules &amp; Formulas'!B15+25*AJ82),M82+('Rules &amp; Formulas'!B14+0.4*AJ82)*(MIN(IF(B83="Go AFK",IF(D83="",0,D83),0),Z82/60)*60))-(IF(B83="Go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AFK",IF(D83="",0,D83),0),Z82/60)*60)),0))*(IF((IFERROR(VLOOKUP(C83,Monsters!$T$4:$AH$15,8,FALSE),0))=0,0.35,IFERROR(VLOOKUP(C83,Monsters!$T$4:$AH$15,8,FALSE),0))/(1+0.08*AK82))),MIN(('Rules &amp; Formulas'!B15+25*AJ83),M82))</f>
        <v/>
      </c>
      <c r="N83" s="7">
        <f>(1+0.08+0.12*AA83+0.12*AB83+0.16*AC83)</f>
        <v/>
      </c>
      <c r="O83" s="7">
        <f>((AD83&gt;=1)*1*(1+0.3*AE83))</f>
        <v/>
      </c>
      <c r="P83" s="7">
        <f>IF(OR(B83="Hunt",B83="Go AFK"),(('Rules &amp; Formulas'!B4*N82*('Rules &amp; Formulas'!B5+O82)*IFERROR(VLOOKUP(C83,Monsters!$T$4:$AH$15,10,FALSE),0)*IFERROR(VLOOKUP(C83,Monsters!$T$4:$AH$15,9,FALSE),0))*'Rules &amp; Formulas'!B6),"")</f>
        <v/>
      </c>
      <c r="Q83" s="7">
        <f>IF(OR(B83="Hunt",B83="Go AFK"),('Rules &amp; Formulas'!B4*N82*('Rules &amp; Formulas'!B5+O82)*IFERROR(VLOOKUP(C83,Monsters!$T$4:$AH$15,10,FALSE),0)*IFERROR(VLOOKUP(C83,Monsters!$T$4:$AH$15,9,FALSE),0)),"")</f>
        <v/>
      </c>
      <c r="R83" s="7">
        <f>IF(AND((E83="OK"),B83="Hunt"),IF(B83="Hunt",(('Rules &amp; Formulas'!B4*N82*('Rules &amp; Formulas'!B5+O82)*IFERROR(VLOOKUP(C83,Monsters!$T$4:$AH$15,10,FALSE),0)*IFERROR(VLOOKUP(C83,Monsters!$T$4:$AH$15,9,FALSE),0))*'Rules &amp; Formulas'!B6)*IF(D83="",0,D83),0),IF(AND((E83="OK"),B83="Go AFK"),IF(B83="Go AFK",MIN(IF((IF((IFERROR(VLOOKUP(C83,Monsters!$T$4:$AH$15,8,FALSE),0))=0,0.35,IFERROR(VLOOKUP(C83,Monsters!$T$4:$AH$15,8,FALSE),0))/(1+0.08*AK82))&lt;=0,999999,FLOOR(MIN(('Rules &amp; Formulas'!B15+25*AJ82),M82+('Rules &amp; Formulas'!B14+0.4*AJ82)*(MIN(IF(B83="Go AFK",IF(D83="",0,D83),0),Z82/60)*60))/(IF((IFERROR(VLOOKUP(C83,Monsters!$T$4:$AH$15,8,FALSE),0))=0,0.35,IFERROR(VLOOKUP(C83,Monsters!$T$4:$AH$15,8,FALSE),0))/(1+0.08*AK82)),1)),('Rules &amp; Formulas'!B4*N82*('Rules &amp; Formulas'!B5+O82)*IFERROR(VLOOKUP(C83,Monsters!$T$4:$AH$15,10,FALSE),0)*IFERROR(VLOOKUP(C83,Monsters!$T$4:$AH$15,9,FALSE),0))*(MIN(IF(B83="Go AFK",IF(D83="",0,D83),0),Z82/60)*60)),0),0))</f>
        <v/>
      </c>
      <c r="S83" s="7">
        <f>(105/'Rules &amp; Formulas'!B10)*'Rules &amp; Formulas'!B11</f>
        <v/>
      </c>
      <c r="T83" s="7">
        <f>IF(AD82&gt;=1,(MAX(1,ROUND('Rules &amp; Formulas'!B18*(1+0.3*AE82)*(1+0.4*AF82),0)))*(1000/'Rules &amp; Formulas'!B19)*MIN(0.95,'Rules &amp; Formulas'!B20*SQRT(1+0.55*(AG82&gt;=1))),0)</f>
        <v/>
      </c>
      <c r="U83" s="7">
        <f>S83+T83</f>
        <v/>
      </c>
      <c r="V83" s="7">
        <f>IF(I82&gt;=IF((IFERROR(VLOOKUP(C83,Monsters!$T$4:$AH$15,15,FALSE),0))=0,120,IFERROR(VLOOKUP(C83,Monsters!$T$4:$AH$15,15,FALSE),0)),"YES","no")</f>
        <v/>
      </c>
      <c r="W83" s="7">
        <f>IF(AND(B83="Fight boss",E83="OK"),IF((((105/'Rules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Formulas'!B20*SQRT(1+0.55*(AG82&gt;=1))),0)))),"")</f>
        <v/>
      </c>
      <c r="X83" s="7">
        <f>IF(AND(B83="Fight boss",E83="OK"),IF((IF((((105/'Rules &amp; Formulas'!B10)*'Rules &amp; Formulas'!B11+IF(AD82&gt;=1,(MAX(1,ROUND('Rules &amp; Formulas'!B18*(1+0.3*AE82)*(1+0.4*AF82),0)))*(1000/'Rules &amp; Formulas'!B19)*MIN(0.95,'Rules &amp; Formulas'!B20*SQRT(1+0.55*(AG82&gt;=1))),0)))&lt;=0,9999,(IFERROR(VLOOKUP(C83,Monsters!$T$4:$AH$15,2,FALSE),0))/(((105/'Rules &amp; Formulas'!B10)*'Rules &amp; Formulas'!B11+IF(AD82&gt;=1,(MAX(1,ROUND('Rules &amp; Formulas'!B18*(1+0.3*AE82)*(1+0.4*AF82),0)))*(1000/'Rules &amp; Formulas'!B19)*MIN(0.95,'Rules &amp; Formulas'!B20*SQRT(1+0.55*(AG82&gt;=1))),0))))&lt;='Rules &amp; Formulas'!B12),"WIN","LOSE"),"")</f>
        <v/>
      </c>
      <c r="Y83" s="7">
        <f>IF(B83="Go AFK",MIN(IF(B83="Go AFK",IF(D83="",0,D83),0),Z82/60),"")</f>
        <v/>
      </c>
      <c r="Z83" s="7">
        <f>('Rules &amp; Formulas'!B13+30*AI83)</f>
        <v/>
      </c>
      <c r="AA83">
        <f>COUNTIFS($B$3:$B83,"Buy upgrade",$C$3:$C83,"Idle Power")</f>
        <v/>
      </c>
      <c r="AB83">
        <f>COUNTIFS($B$3:$B83,"Buy upgrade",$C$3:$C83,"Iron Blade")</f>
        <v/>
      </c>
      <c r="AC83">
        <f>COUNTIFS($B$3:$B83,"Buy upgrade",$C$3:$C83,"Steel Blade")</f>
        <v/>
      </c>
      <c r="AD83">
        <f>COUNTIFS($B$3:$B83,"Hire hunter",$C$3:$C83,"Briar")+COUNTIFS($B$3:$B83,"Buy upgrade",$C$3:$C83,"Hire Briar")</f>
        <v/>
      </c>
      <c r="AE83">
        <f>COUNTIFS($B$3:$B83,"Buy upgrade",$C$3:$C83,"Hunter Power")</f>
        <v/>
      </c>
      <c r="AF83">
        <f>COUNTIFS($B$3:$B83,"Buy upgrade",$C$3:$C83,"Bigger Hits")</f>
        <v/>
      </c>
      <c r="AG83">
        <f>COUNTIFS($B$3:$B83,"Buy upgrade",$C$3:$C83,"Swift Walk")</f>
        <v/>
      </c>
      <c r="AH83">
        <f>COUNTIFS($B$3:$B83,"Buy upgrade",$C$3:$C83,"Loot Luck")</f>
        <v/>
      </c>
      <c r="AI83">
        <f>COUNTIFS($B$3:$B83,"Buy upgrade",$C$3:$C83,"Offline Cap")</f>
        <v/>
      </c>
      <c r="AJ83">
        <f>COUNTIFS($B$3:$B83,"Buy upgrade",$C$3:$C83,"Bigger Food Stock")</f>
        <v/>
      </c>
      <c r="AK83">
        <f>COUNTIFS($B$3:$B83,"Buy upgrade",$C$3:$C83,"Food Efficiency")</f>
        <v/>
      </c>
    </row>
    <row r="84">
      <c r="A84" t="n">
        <v>82</v>
      </c>
      <c r="B84" s="6" t="n"/>
      <c r="C84" s="6" t="n"/>
      <c r="D84" s="6" t="n"/>
      <c r="E84" s="7">
        <f>IF(B84="","",IF(OR(B84="Hunt",B84="Go AFK"),IF(C84="","Can't","OK"),IF(B84="Fight boss",IF(I83&lt;IF((IFERROR(VLOOKUP(C84,Monsters!$T$4:$AH$15,15,FALSE),0))=0,120,IFERROR(VLOOKUP(C84,Monsters!$T$4:$AH$15,15,FALSE),0)),"Can't","OK"),IF(B84="Hire hunter",IF(AND(C84="Briar",AD83&gt;=1),"Can't",IF(H83&lt;IF(C84="Briar",140,IF(C84="Quill",3650,IF(C84="Moss",4850,IF(C84="Ember",12200,0)))),"Can't","OK")),IF(OR(B84="Buy upgrade",B84="Forge/Scrapwork buy"),IF(IFERROR(VLOOKUP(C84,Upgrades!$N$4:$T$47,2,FALSE),0)="points","Can't",IF(IFERROR(VLOOKUP(C84,Upgrades!$N$4:$T$47,2,FALSE),0)="gold",IF(H83&lt;IFERROR(FLOOR(IFERROR(VLOOKUP(C84,Upgrades!$N$4:$T$47,3,FALSE),0)*(IFERROR(VLOOKUP(C84,Upgrades!$N$4:$T$47,4,FALSE),0)^(COUNTIFS($B$3:$B83,"Buy upgrade",$C$3:$C83,C84)+COUNTIFS($B$3:$B83,"Hire hunter",$C$3:$C83,C84)+COUNTIFS($B$3:$B83,"Forge/Scrapwork buy",$C$3:$C83,C84))),1),0),"Can't","OK"),IF(IFERROR(VLOOKUP(C84,Upgrades!$N$4:$T$47,2,FALSE),0)="scraps",IF(J83&lt;IFERROR(FLOOR(IFERROR(VLOOKUP(C84,Upgrades!$N$4:$T$47,3,FALSE),0)*(IFERROR(VLOOKUP(C84,Upgrades!$N$4:$T$47,4,FALSE),0)^(COUNTIFS($B$3:$B83,"Buy upgrade",$C$3:$C83,C84)+COUNTIFS($B$3:$B83,"Hire hunter",$C$3:$C83,C84)+COUNTIFS($B$3:$B83,"Forge/Scrapwork buy",$C$3:$C83,C84))),1),0),"Can't","OK"),IF(IFERROR(VLOOKUP(C84,Upgrades!$N$4:$T$47,2,FALSE),0)="mats","Can't","OK")))),"Check")))))</f>
        <v/>
      </c>
      <c r="F84" s="7">
        <f>IF(B84="","",IF(AND(B84="Fight boss",I83&lt;IF((IFERROR(VLOOKUP(C84,Monsters!$T$4:$AH$15,15,FALSE),0))=0,120,IFERROR(VLOOKUP(C84,Monsters!$T$4:$AH$15,15,FALSE),0))),"Can't — need "&amp;TEXT(IF((IFERROR(VLOOKUP(C84,Monsters!$T$4:$AH$15,15,FALSE),0))=0,120,IFERROR(VLOOKUP(C84,Monsters!$T$4:$AH$15,15,FALSE),0))-I83,"0.0")&amp;" more Slayer points on the meter",IF(AND(B84="Hire hunter",C84="Briar",AD83&gt;=1),"Can't — already hired",IF(AND(B84="Hire hunter",H83&lt;IF(C84="Briar",140,IF(C84="Quill",3650,IF(C84="Moss",4850,IF(C84="Ember",12200,0))))),"Can't — need "&amp;TEXT(IF(C84="Briar",140,IF(C84="Quill",3650,IF(C84="Moss",4850,IF(C84="Ember",12200,0))))-H83,"0")&amp;" more gold",IF(AND(OR(B84="Buy upgrade",B84="Forge/Scrapwork buy"),IFERROR(VLOOKUP(C84,Upgrades!$N$4:$T$47,2,FALSE),0)="points"),"Can't — Sp-wallet spends not tracked here",IF(AND(OR(B84="Buy upgrade",B84="Forge/Scrapwork buy"),IFERROR(VLOOKUP(C84,Upgrades!$N$4:$T$47,2,FALSE),0)="gold",H83&lt;IFERROR(FLOOR(IFERROR(VLOOKUP(C84,Upgrades!$N$4:$T$47,3,FALSE),0)*(IFERROR(VLOOKUP(C84,Upgrades!$N$4:$T$47,4,FALSE),0)^(COUNTIFS($B$3:$B83,"Buy upgrade",$C$3:$C83,C84)+COUNTIFS($B$3:$B83,"Hire hunter",$C$3:$C83,C84)+COUNTIFS($B$3:$B83,"Forge/Scrapwork buy",$C$3:$C83,C84))),1),0)),"Can't — need "&amp;TEXT(IFERROR(FLOOR(IFERROR(VLOOKUP(C84,Upgrades!$N$4:$T$47,3,FALSE),0)*(IFERROR(VLOOKUP(C84,Upgrades!$N$4:$T$47,4,FALSE),0)^(COUNTIFS($B$3:$B83,"Buy upgrade",$C$3:$C83,C84)+COUNTIFS($B$3:$B83,"Hire hunter",$C$3:$C83,C84)+COUNTIFS($B$3:$B83,"Forge/Scrapwork buy",$C$3:$C83,C84))),1),0)-H83,"0")&amp;" more gold",IF(AND(OR(B84="Buy upgrade",B84="Forge/Scrapwork buy"),IFERROR(VLOOKUP(C84,Upgrades!$N$4:$T$47,2,FALSE),0)="scraps",J83&lt;IFERROR(FLOOR(IFERROR(VLOOKUP(C84,Upgrades!$N$4:$T$47,3,FALSE),0)*(IFERROR(VLOOKUP(C84,Upgrades!$N$4:$T$47,4,FALSE),0)^(COUNTIFS($B$3:$B83,"Buy upgrade",$C$3:$C83,C84)+COUNTIFS($B$3:$B83,"Hire hunter",$C$3:$C83,C84)+COUNTIFS($B$3:$B83,"Forge/Scrapwork buy",$C$3:$C83,C84))),1),0)),"Can't — need "&amp;TEXT(IFERROR(FLOOR(IFERROR(VLOOKUP(C84,Upgrades!$N$4:$T$47,3,FALSE),0)*(IFERROR(VLOOKUP(C84,Upgrades!$N$4:$T$47,4,FALSE),0)^(COUNTIFS($B$3:$B83,"Buy upgrade",$C$3:$C83,C84)+COUNTIFS($B$3:$B83,"Hire hunter",$C$3:$C83,C84)+COUNTIFS($B$3:$B83,"Forge/Scrapwork buy",$C$3:$C83,C84))),1),0)-J83,"0")&amp;" more scraps",IF(AND(B84="Fight boss",E84="OK",(IF((((105/'Rules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Formulas'!B12)),"WIN — boss down, next Level unlocks",IF(AND(B84="Fight boss",E84="OK"),"LOSE — TTK "&amp;TEXT(IF((((105/'Rules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Formulas'!B20*SQRT(1+0.55*(AG83&gt;=1))),0)))),"0")&amp;"s &gt; patience "&amp;TEXT('Rules &amp; Formulas'!B12,"0")&amp;"s (leave resets HP)",IF(B84="Go AFK","AFK resolved (see AFK counted h)","Applied")))))))))</f>
        <v/>
      </c>
      <c r="G84" s="7">
        <f>IF(AND((E84="OK"),B84="Fight boss",(IF((((105/'Rules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Formulas'!B12),C84="Elder Thornpelt"),2,IF(AND((E84="OK"),B84="Fight boss",(IF((((105/'Rules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Formulas'!B12),C84="Ashfang Alpha"),3,G83))</f>
        <v/>
      </c>
      <c r="H84" s="7">
        <f>MAX(0,H83+IF(AND((E84="OK"),B84="Hunt"),(IF(B84="Hunt",(('Rules &amp; Formulas'!B4*N83*('Rules &amp; Formulas'!B5+O83)*IFERROR(VLOOKUP(C84,Monsters!$T$4:$AH$15,10,FALSE),0)*IFERROR(VLOOKUP(C84,Monsters!$T$4:$AH$15,9,FALSE),0))*'Rules &amp; Formulas'!B6)*IF(D84="",0,D84),0))*(IFERROR(VLOOKUP(C84,Monsters!$T$4:$AH$15,3,FALSE),0))*(1+0.1*AH83)+(IF(OR(B84&lt;&gt;"Hunt",IFERROR(VLOOKUP(C84,Monsters!$T$4:$AH$15,6,FALSE),0)=0),0,FLOOR((IF(B84="Hunt",(('Rules &amp; Formulas'!B4*N83*('Rules &amp; Formulas'!B5+O83)*IFERROR(VLOOKUP(C84,Monsters!$T$4:$AH$15,10,FALSE),0)*IFERROR(VLOOKUP(C84,Monsters!$T$4:$AH$15,9,FALSE),0))*'Rules &amp; Formulas'!B6)*IF(D84="",0,D84),0))/MAX(1,IFERROR(VLOOKUP(C84,Monsters!$T$4:$AH$15,6,FALSE),0)),1)))*(IFERROR(VLOOKUP(C84,Monsters!$T$4:$AH$15,7,FALSE),0))*0.5*(1+0.1*AH83),0)+IF(AND((E84="OK"),B84="Go AFK"),(IF(B84="Go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AFK",IF(D84="",0,D84),0),Z83/60)*60)),0))*(IFERROR(VLOOKUP(C84,Monsters!$T$4:$AH$15,3,FALSE),0))*(1+0.1*AH83)+(IF(OR(B84&lt;&gt;"Go AFK",IFERROR(VLOOKUP(C84,Monsters!$T$4:$AH$15,6,FALSE),0)=0),0,FLOOR((IF(B84="Go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AFK",IF(D84="",0,D84),0),Z83/60)*60)),0))/MAX(1,IFERROR(VLOOKUP(C84,Monsters!$T$4:$AH$15,6,FALSE),0)),1)))*(IFERROR(VLOOKUP(C84,Monsters!$T$4:$AH$15,7,FALSE),0))*0.5*(1+0.1*AH83),0)+IF(AND((E84="OK"),B84="Fight boss",(IF((((105/'Rules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Formulas'!B12)),IFERROR(VLOOKUP(C84,Monsters!$T$4:$AH$15,3,FALSE),0),0)-IF(AND((E84="OK"),OR(B84="Buy upgrade",B84="Forge/Scrapwork buy"),IFERROR(VLOOKUP(C84,Upgrades!$N$4:$T$47,2,FALSE),0)="gold"),IFERROR(FLOOR(IFERROR(VLOOKUP(C84,Upgrades!$N$4:$T$47,3,FALSE),0)*(IFERROR(VLOOKUP(C84,Upgrades!$N$4:$T$47,4,FALSE),0)^(COUNTIFS($B$3:$B83,"Buy upgrade",$C$3:$C83,C84)+COUNTIFS($B$3:$B83,"Hire hunter",$C$3:$C83,C84)+COUNTIFS($B$3:$B83,"Forge/Scrapwork buy",$C$3:$C83,C84))),1),0),0)-IF(AND((E84="OK"),B84="Hire hunter"),IF(C84="Briar",140,IF(C84="Quill",3650,IF(C84="Moss",4850,IF(C84="Ember",12200,0)))),0))</f>
        <v/>
      </c>
      <c r="I84" s="7">
        <f>IF(AND((E84="OK"),B84="Fight boss",(IF((((105/'Rules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Formulas'!B12)),0,MIN(IF(G83&lt;=1,120,IF(G83=2,280,600)),I83+IF(AND((E84="OK"),B84="Hunt"),((IF(B84="Hunt",(('Rules &amp; Formulas'!B4*N83*('Rules &amp; Formulas'!B5+O83)*IFERROR(VLOOKUP(C84,Monsters!$T$4:$AH$15,10,FALSE),0)*IFERROR(VLOOKUP(C84,Monsters!$T$4:$AH$15,9,FALSE),0))*'Rules &amp; Formulas'!B6)*IF(D84="",0,D84),0))*(IFERROR(VLOOKUP(C84,Monsters!$T$4:$AH$15,4,FALSE),0))+(IF(OR(B84&lt;&gt;"Hunt",IFERROR(VLOOKUP(C84,Monsters!$T$4:$AH$15,6,FALSE),0)=0),0,FLOOR((IF(B84="Hunt",(('Rules &amp; Formulas'!B4*N83*('Rules &amp; Formulas'!B5+O83)*IFERROR(VLOOKUP(C84,Monsters!$T$4:$AH$15,10,FALSE),0)*IFERROR(VLOOKUP(C84,Monsters!$T$4:$AH$15,9,FALSE),0))*'Rules &amp; Formulas'!B6)*IF(D84="",0,D84),0))/MAX(1,IFERROR(VLOOKUP(C84,Monsters!$T$4:$AH$15,6,FALSE),0)),1)))*(IFERROR(VLOOKUP(C84,Monsters!$T$4:$AH$15,7,FALSE),0))),0)+IF(AND((E84="OK"),B84="Go AFK"),((IF(B84="Go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AFK",IF(D84="",0,D84),0),Z83/60)*60)),0))*(IFERROR(VLOOKUP(C84,Monsters!$T$4:$AH$15,4,FALSE),0))+(IF(OR(B84&lt;&gt;"Go AFK",IFERROR(VLOOKUP(C84,Monsters!$T$4:$AH$15,6,FALSE),0)=0),0,FLOOR((IF(B84="Go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AFK",IF(D84="",0,D84),0),Z83/60)*60)),0))/MAX(1,IFERROR(VLOOKUP(C84,Monsters!$T$4:$AH$15,6,FALSE),0)),1)))*(IFERROR(VLOOKUP(C84,Monsters!$T$4:$AH$15,7,FALSE),0))),0)))</f>
        <v/>
      </c>
      <c r="J84" s="7">
        <f>MAX(0,J83+IF(AND((E84="OK"),B84="Hunt"),(IF(B84="Hunt",(('Rules &amp; Formulas'!B4*N83*('Rules &amp; Formulas'!B5+O83)*IFERROR(VLOOKUP(C84,Monsters!$T$4:$AH$15,10,FALSE),0)*IFERROR(VLOOKUP(C84,Monsters!$T$4:$AH$15,9,FALSE),0))*'Rules &amp; Formulas'!B6)*IF(D84="",0,D84),0))*(IFERROR(VLOOKUP(C84,Monsters!$T$4:$AH$15,5,FALSE),0)),0)+IF(AND((E84="OK"),B84="Go AFK"),(IF(B84="Go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AFK",IF(D84="",0,D84),0),Z83/60)*60)),0))*(IFERROR(VLOOKUP(C84,Monsters!$T$4:$AH$15,5,FALSE),0)),0)-IF(AND((E84="OK"),OR(B84="Buy upgrade",B84="Forge/Scrapwork buy"),IFERROR(VLOOKUP(C84,Upgrades!$N$4:$T$47,2,FALSE),0)="scraps"),IFERROR(FLOOR(IFERROR(VLOOKUP(C84,Upgrades!$N$4:$T$47,3,FALSE),0)*(IFERROR(VLOOKUP(C84,Upgrades!$N$4:$T$47,4,FALSE),0)^(COUNTIFS($B$3:$B83,"Buy upgrade",$C$3:$C83,C84)+COUNTIFS($B$3:$B83,"Hire hunter",$C$3:$C83,C84)+COUNTIFS($B$3:$B83,"Forge/Scrapwork buy",$C$3:$C83,C84))),1),0),0))</f>
        <v/>
      </c>
      <c r="K84" s="7">
        <f>MAX(0,K83+IF(AND((E84="OK"),B84="Hunt"),IF(C84="Thornpelt Bear",(IF(B84="Hunt",(('Rules &amp; Formulas'!B4*N83*('Rules &amp; Formulas'!B5+O83)*IFERROR(VLOOKUP(C84,Monsters!$T$4:$AH$15,10,FALSE),0)*IFERROR(VLOOKUP(C84,Monsters!$T$4:$AH$15,9,FALSE),0))*'Rules &amp; Formulas'!B6)*IF(D84="",0,D84),0))*0.12,0),0)+IF(AND((E84="OK"),B84="Go AFK"),IF(C84="Thornpelt Bear",(IF(B84="Go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AFK",IF(D84="",0,D84),0),Z83/60)*60)),0))*0.12,0),0))</f>
        <v/>
      </c>
      <c r="L84" s="7">
        <f>MAX(0,L83+IF(AND((E84="OK"),B84="Hunt"),IF(C84="Dire Thornpelt",(IF(B84="Hunt",(('Rules &amp; Formulas'!B4*N83*('Rules &amp; Formulas'!B5+O83)*IFERROR(VLOOKUP(C84,Monsters!$T$4:$AH$15,10,FALSE),0)*IFERROR(VLOOKUP(C84,Monsters!$T$4:$AH$15,9,FALSE),0))*'Rules &amp; Formulas'!B6)*IF(D84="",0,D84),0))*0.1,0),0)+IF(AND((E84="OK"),B84="Go AFK"),IF(C84="Dire Thornpelt",(IF(B84="Go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AFK",IF(D84="",0,D84),0),Z83/60)*60)),0))*0.1,0),0))</f>
        <v/>
      </c>
      <c r="M84" s="7">
        <f>IF(AND((E84="OK"),B84="Go AFK"),MAX(0,MIN(('Rules &amp; Formulas'!B15+25*AJ83),M83+('Rules &amp; Formulas'!B14+0.4*AJ83)*(MIN(IF(B84="Go AFK",IF(D84="",0,D84),0),Z83/60)*60))-(IF(B84="Go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AFK",IF(D84="",0,D84),0),Z83/60)*60)),0))*(IF((IFERROR(VLOOKUP(C84,Monsters!$T$4:$AH$15,8,FALSE),0))=0,0.35,IFERROR(VLOOKUP(C84,Monsters!$T$4:$AH$15,8,FALSE),0))/(1+0.08*AK83))),MIN(('Rules &amp; Formulas'!B15+25*AJ84),M83))</f>
        <v/>
      </c>
      <c r="N84" s="7">
        <f>(1+0.08+0.12*AA84+0.12*AB84+0.16*AC84)</f>
        <v/>
      </c>
      <c r="O84" s="7">
        <f>((AD84&gt;=1)*1*(1+0.3*AE84))</f>
        <v/>
      </c>
      <c r="P84" s="7">
        <f>IF(OR(B84="Hunt",B84="Go AFK"),(('Rules &amp; Formulas'!B4*N83*('Rules &amp; Formulas'!B5+O83)*IFERROR(VLOOKUP(C84,Monsters!$T$4:$AH$15,10,FALSE),0)*IFERROR(VLOOKUP(C84,Monsters!$T$4:$AH$15,9,FALSE),0))*'Rules &amp; Formulas'!B6),"")</f>
        <v/>
      </c>
      <c r="Q84" s="7">
        <f>IF(OR(B84="Hunt",B84="Go AFK"),('Rules &amp; Formulas'!B4*N83*('Rules &amp; Formulas'!B5+O83)*IFERROR(VLOOKUP(C84,Monsters!$T$4:$AH$15,10,FALSE),0)*IFERROR(VLOOKUP(C84,Monsters!$T$4:$AH$15,9,FALSE),0)),"")</f>
        <v/>
      </c>
      <c r="R84" s="7">
        <f>IF(AND((E84="OK"),B84="Hunt"),IF(B84="Hunt",(('Rules &amp; Formulas'!B4*N83*('Rules &amp; Formulas'!B5+O83)*IFERROR(VLOOKUP(C84,Monsters!$T$4:$AH$15,10,FALSE),0)*IFERROR(VLOOKUP(C84,Monsters!$T$4:$AH$15,9,FALSE),0))*'Rules &amp; Formulas'!B6)*IF(D84="",0,D84),0),IF(AND((E84="OK"),B84="Go AFK"),IF(B84="Go AFK",MIN(IF((IF((IFERROR(VLOOKUP(C84,Monsters!$T$4:$AH$15,8,FALSE),0))=0,0.35,IFERROR(VLOOKUP(C84,Monsters!$T$4:$AH$15,8,FALSE),0))/(1+0.08*AK83))&lt;=0,999999,FLOOR(MIN(('Rules &amp; Formulas'!B15+25*AJ83),M83+('Rules &amp; Formulas'!B14+0.4*AJ83)*(MIN(IF(B84="Go AFK",IF(D84="",0,D84),0),Z83/60)*60))/(IF((IFERROR(VLOOKUP(C84,Monsters!$T$4:$AH$15,8,FALSE),0))=0,0.35,IFERROR(VLOOKUP(C84,Monsters!$T$4:$AH$15,8,FALSE),0))/(1+0.08*AK83)),1)),('Rules &amp; Formulas'!B4*N83*('Rules &amp; Formulas'!B5+O83)*IFERROR(VLOOKUP(C84,Monsters!$T$4:$AH$15,10,FALSE),0)*IFERROR(VLOOKUP(C84,Monsters!$T$4:$AH$15,9,FALSE),0))*(MIN(IF(B84="Go AFK",IF(D84="",0,D84),0),Z83/60)*60)),0),0))</f>
        <v/>
      </c>
      <c r="S84" s="7">
        <f>(105/'Rules &amp; Formulas'!B10)*'Rules &amp; Formulas'!B11</f>
        <v/>
      </c>
      <c r="T84" s="7">
        <f>IF(AD83&gt;=1,(MAX(1,ROUND('Rules &amp; Formulas'!B18*(1+0.3*AE83)*(1+0.4*AF83),0)))*(1000/'Rules &amp; Formulas'!B19)*MIN(0.95,'Rules &amp; Formulas'!B20*SQRT(1+0.55*(AG83&gt;=1))),0)</f>
        <v/>
      </c>
      <c r="U84" s="7">
        <f>S84+T84</f>
        <v/>
      </c>
      <c r="V84" s="7">
        <f>IF(I83&gt;=IF((IFERROR(VLOOKUP(C84,Monsters!$T$4:$AH$15,15,FALSE),0))=0,120,IFERROR(VLOOKUP(C84,Monsters!$T$4:$AH$15,15,FALSE),0)),"YES","no")</f>
        <v/>
      </c>
      <c r="W84" s="7">
        <f>IF(AND(B84="Fight boss",E84="OK"),IF((((105/'Rules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Formulas'!B20*SQRT(1+0.55*(AG83&gt;=1))),0)))),"")</f>
        <v/>
      </c>
      <c r="X84" s="7">
        <f>IF(AND(B84="Fight boss",E84="OK"),IF((IF((((105/'Rules &amp; Formulas'!B10)*'Rules &amp; Formulas'!B11+IF(AD83&gt;=1,(MAX(1,ROUND('Rules &amp; Formulas'!B18*(1+0.3*AE83)*(1+0.4*AF83),0)))*(1000/'Rules &amp; Formulas'!B19)*MIN(0.95,'Rules &amp; Formulas'!B20*SQRT(1+0.55*(AG83&gt;=1))),0)))&lt;=0,9999,(IFERROR(VLOOKUP(C84,Monsters!$T$4:$AH$15,2,FALSE),0))/(((105/'Rules &amp; Formulas'!B10)*'Rules &amp; Formulas'!B11+IF(AD83&gt;=1,(MAX(1,ROUND('Rules &amp; Formulas'!B18*(1+0.3*AE83)*(1+0.4*AF83),0)))*(1000/'Rules &amp; Formulas'!B19)*MIN(0.95,'Rules &amp; Formulas'!B20*SQRT(1+0.55*(AG83&gt;=1))),0))))&lt;='Rules &amp; Formulas'!B12),"WIN","LOSE"),"")</f>
        <v/>
      </c>
      <c r="Y84" s="7">
        <f>IF(B84="Go AFK",MIN(IF(B84="Go AFK",IF(D84="",0,D84),0),Z83/60),"")</f>
        <v/>
      </c>
      <c r="Z84" s="7">
        <f>('Rules &amp; Formulas'!B13+30*AI84)</f>
        <v/>
      </c>
      <c r="AA84">
        <f>COUNTIFS($B$3:$B84,"Buy upgrade",$C$3:$C84,"Idle Power")</f>
        <v/>
      </c>
      <c r="AB84">
        <f>COUNTIFS($B$3:$B84,"Buy upgrade",$C$3:$C84,"Iron Blade")</f>
        <v/>
      </c>
      <c r="AC84">
        <f>COUNTIFS($B$3:$B84,"Buy upgrade",$C$3:$C84,"Steel Blade")</f>
        <v/>
      </c>
      <c r="AD84">
        <f>COUNTIFS($B$3:$B84,"Hire hunter",$C$3:$C84,"Briar")+COUNTIFS($B$3:$B84,"Buy upgrade",$C$3:$C84,"Hire Briar")</f>
        <v/>
      </c>
      <c r="AE84">
        <f>COUNTIFS($B$3:$B84,"Buy upgrade",$C$3:$C84,"Hunter Power")</f>
        <v/>
      </c>
      <c r="AF84">
        <f>COUNTIFS($B$3:$B84,"Buy upgrade",$C$3:$C84,"Bigger Hits")</f>
        <v/>
      </c>
      <c r="AG84">
        <f>COUNTIFS($B$3:$B84,"Buy upgrade",$C$3:$C84,"Swift Walk")</f>
        <v/>
      </c>
      <c r="AH84">
        <f>COUNTIFS($B$3:$B84,"Buy upgrade",$C$3:$C84,"Loot Luck")</f>
        <v/>
      </c>
      <c r="AI84">
        <f>COUNTIFS($B$3:$B84,"Buy upgrade",$C$3:$C84,"Offline Cap")</f>
        <v/>
      </c>
      <c r="AJ84">
        <f>COUNTIFS($B$3:$B84,"Buy upgrade",$C$3:$C84,"Bigger Food Stock")</f>
        <v/>
      </c>
      <c r="AK84">
        <f>COUNTIFS($B$3:$B84,"Buy upgrade",$C$3:$C84,"Food Efficiency")</f>
        <v/>
      </c>
    </row>
    <row r="85">
      <c r="A85" t="n">
        <v>83</v>
      </c>
      <c r="B85" s="6" t="n"/>
      <c r="C85" s="6" t="n"/>
      <c r="D85" s="6" t="n"/>
      <c r="E85" s="7">
        <f>IF(B85="","",IF(OR(B85="Hunt",B85="Go AFK"),IF(C85="","Can't","OK"),IF(B85="Fight boss",IF(I84&lt;IF((IFERROR(VLOOKUP(C85,Monsters!$T$4:$AH$15,15,FALSE),0))=0,120,IFERROR(VLOOKUP(C85,Monsters!$T$4:$AH$15,15,FALSE),0)),"Can't","OK"),IF(B85="Hire hunter",IF(AND(C85="Briar",AD84&gt;=1),"Can't",IF(H84&lt;IF(C85="Briar",140,IF(C85="Quill",3650,IF(C85="Moss",4850,IF(C85="Ember",12200,0)))),"Can't","OK")),IF(OR(B85="Buy upgrade",B85="Forge/Scrapwork buy"),IF(IFERROR(VLOOKUP(C85,Upgrades!$N$4:$T$47,2,FALSE),0)="points","Can't",IF(IFERROR(VLOOKUP(C85,Upgrades!$N$4:$T$47,2,FALSE),0)="gold",IF(H84&lt;IFERROR(FLOOR(IFERROR(VLOOKUP(C85,Upgrades!$N$4:$T$47,3,FALSE),0)*(IFERROR(VLOOKUP(C85,Upgrades!$N$4:$T$47,4,FALSE),0)^(COUNTIFS($B$3:$B84,"Buy upgrade",$C$3:$C84,C85)+COUNTIFS($B$3:$B84,"Hire hunter",$C$3:$C84,C85)+COUNTIFS($B$3:$B84,"Forge/Scrapwork buy",$C$3:$C84,C85))),1),0),"Can't","OK"),IF(IFERROR(VLOOKUP(C85,Upgrades!$N$4:$T$47,2,FALSE),0)="scraps",IF(J84&lt;IFERROR(FLOOR(IFERROR(VLOOKUP(C85,Upgrades!$N$4:$T$47,3,FALSE),0)*(IFERROR(VLOOKUP(C85,Upgrades!$N$4:$T$47,4,FALSE),0)^(COUNTIFS($B$3:$B84,"Buy upgrade",$C$3:$C84,C85)+COUNTIFS($B$3:$B84,"Hire hunter",$C$3:$C84,C85)+COUNTIFS($B$3:$B84,"Forge/Scrapwork buy",$C$3:$C84,C85))),1),0),"Can't","OK"),IF(IFERROR(VLOOKUP(C85,Upgrades!$N$4:$T$47,2,FALSE),0)="mats","Can't","OK")))),"Check")))))</f>
        <v/>
      </c>
      <c r="F85" s="7">
        <f>IF(B85="","",IF(AND(B85="Fight boss",I84&lt;IF((IFERROR(VLOOKUP(C85,Monsters!$T$4:$AH$15,15,FALSE),0))=0,120,IFERROR(VLOOKUP(C85,Monsters!$T$4:$AH$15,15,FALSE),0))),"Can't — need "&amp;TEXT(IF((IFERROR(VLOOKUP(C85,Monsters!$T$4:$AH$15,15,FALSE),0))=0,120,IFERROR(VLOOKUP(C85,Monsters!$T$4:$AH$15,15,FALSE),0))-I84,"0.0")&amp;" more Slayer points on the meter",IF(AND(B85="Hire hunter",C85="Briar",AD84&gt;=1),"Can't — already hired",IF(AND(B85="Hire hunter",H84&lt;IF(C85="Briar",140,IF(C85="Quill",3650,IF(C85="Moss",4850,IF(C85="Ember",12200,0))))),"Can't — need "&amp;TEXT(IF(C85="Briar",140,IF(C85="Quill",3650,IF(C85="Moss",4850,IF(C85="Ember",12200,0))))-H84,"0")&amp;" more gold",IF(AND(OR(B85="Buy upgrade",B85="Forge/Scrapwork buy"),IFERROR(VLOOKUP(C85,Upgrades!$N$4:$T$47,2,FALSE),0)="points"),"Can't — Sp-wallet spends not tracked here",IF(AND(OR(B85="Buy upgrade",B85="Forge/Scrapwork buy"),IFERROR(VLOOKUP(C85,Upgrades!$N$4:$T$47,2,FALSE),0)="gold",H84&lt;IFERROR(FLOOR(IFERROR(VLOOKUP(C85,Upgrades!$N$4:$T$47,3,FALSE),0)*(IFERROR(VLOOKUP(C85,Upgrades!$N$4:$T$47,4,FALSE),0)^(COUNTIFS($B$3:$B84,"Buy upgrade",$C$3:$C84,C85)+COUNTIFS($B$3:$B84,"Hire hunter",$C$3:$C84,C85)+COUNTIFS($B$3:$B84,"Forge/Scrapwork buy",$C$3:$C84,C85))),1),0)),"Can't — need "&amp;TEXT(IFERROR(FLOOR(IFERROR(VLOOKUP(C85,Upgrades!$N$4:$T$47,3,FALSE),0)*(IFERROR(VLOOKUP(C85,Upgrades!$N$4:$T$47,4,FALSE),0)^(COUNTIFS($B$3:$B84,"Buy upgrade",$C$3:$C84,C85)+COUNTIFS($B$3:$B84,"Hire hunter",$C$3:$C84,C85)+COUNTIFS($B$3:$B84,"Forge/Scrapwork buy",$C$3:$C84,C85))),1),0)-H84,"0")&amp;" more gold",IF(AND(OR(B85="Buy upgrade",B85="Forge/Scrapwork buy"),IFERROR(VLOOKUP(C85,Upgrades!$N$4:$T$47,2,FALSE),0)="scraps",J84&lt;IFERROR(FLOOR(IFERROR(VLOOKUP(C85,Upgrades!$N$4:$T$47,3,FALSE),0)*(IFERROR(VLOOKUP(C85,Upgrades!$N$4:$T$47,4,FALSE),0)^(COUNTIFS($B$3:$B84,"Buy upgrade",$C$3:$C84,C85)+COUNTIFS($B$3:$B84,"Hire hunter",$C$3:$C84,C85)+COUNTIFS($B$3:$B84,"Forge/Scrapwork buy",$C$3:$C84,C85))),1),0)),"Can't — need "&amp;TEXT(IFERROR(FLOOR(IFERROR(VLOOKUP(C85,Upgrades!$N$4:$T$47,3,FALSE),0)*(IFERROR(VLOOKUP(C85,Upgrades!$N$4:$T$47,4,FALSE),0)^(COUNTIFS($B$3:$B84,"Buy upgrade",$C$3:$C84,C85)+COUNTIFS($B$3:$B84,"Hire hunter",$C$3:$C84,C85)+COUNTIFS($B$3:$B84,"Forge/Scrapwork buy",$C$3:$C84,C85))),1),0)-J84,"0")&amp;" more scraps",IF(AND(B85="Fight boss",E85="OK",(IF((((105/'Rules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Formulas'!B12)),"WIN — boss down, next Level unlocks",IF(AND(B85="Fight boss",E85="OK"),"LOSE — TTK "&amp;TEXT(IF((((105/'Rules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Formulas'!B20*SQRT(1+0.55*(AG84&gt;=1))),0)))),"0")&amp;"s &gt; patience "&amp;TEXT('Rules &amp; Formulas'!B12,"0")&amp;"s (leave resets HP)",IF(B85="Go AFK","AFK resolved (see AFK counted h)","Applied")))))))))</f>
        <v/>
      </c>
      <c r="G85" s="7">
        <f>IF(AND((E85="OK"),B85="Fight boss",(IF((((105/'Rules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Formulas'!B12),C85="Elder Thornpelt"),2,IF(AND((E85="OK"),B85="Fight boss",(IF((((105/'Rules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Formulas'!B12),C85="Ashfang Alpha"),3,G84))</f>
        <v/>
      </c>
      <c r="H85" s="7">
        <f>MAX(0,H84+IF(AND((E85="OK"),B85="Hunt"),(IF(B85="Hunt",(('Rules &amp; Formulas'!B4*N84*('Rules &amp; Formulas'!B5+O84)*IFERROR(VLOOKUP(C85,Monsters!$T$4:$AH$15,10,FALSE),0)*IFERROR(VLOOKUP(C85,Monsters!$T$4:$AH$15,9,FALSE),0))*'Rules &amp; Formulas'!B6)*IF(D85="",0,D85),0))*(IFERROR(VLOOKUP(C85,Monsters!$T$4:$AH$15,3,FALSE),0))*(1+0.1*AH84)+(IF(OR(B85&lt;&gt;"Hunt",IFERROR(VLOOKUP(C85,Monsters!$T$4:$AH$15,6,FALSE),0)=0),0,FLOOR((IF(B85="Hunt",(('Rules &amp; Formulas'!B4*N84*('Rules &amp; Formulas'!B5+O84)*IFERROR(VLOOKUP(C85,Monsters!$T$4:$AH$15,10,FALSE),0)*IFERROR(VLOOKUP(C85,Monsters!$T$4:$AH$15,9,FALSE),0))*'Rules &amp; Formulas'!B6)*IF(D85="",0,D85),0))/MAX(1,IFERROR(VLOOKUP(C85,Monsters!$T$4:$AH$15,6,FALSE),0)),1)))*(IFERROR(VLOOKUP(C85,Monsters!$T$4:$AH$15,7,FALSE),0))*0.5*(1+0.1*AH84),0)+IF(AND((E85="OK"),B85="Go AFK"),(IF(B85="Go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AFK",IF(D85="",0,D85),0),Z84/60)*60)),0))*(IFERROR(VLOOKUP(C85,Monsters!$T$4:$AH$15,3,FALSE),0))*(1+0.1*AH84)+(IF(OR(B85&lt;&gt;"Go AFK",IFERROR(VLOOKUP(C85,Monsters!$T$4:$AH$15,6,FALSE),0)=0),0,FLOOR((IF(B85="Go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AFK",IF(D85="",0,D85),0),Z84/60)*60)),0))/MAX(1,IFERROR(VLOOKUP(C85,Monsters!$T$4:$AH$15,6,FALSE),0)),1)))*(IFERROR(VLOOKUP(C85,Monsters!$T$4:$AH$15,7,FALSE),0))*0.5*(1+0.1*AH84),0)+IF(AND((E85="OK"),B85="Fight boss",(IF((((105/'Rules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Formulas'!B12)),IFERROR(VLOOKUP(C85,Monsters!$T$4:$AH$15,3,FALSE),0),0)-IF(AND((E85="OK"),OR(B85="Buy upgrade",B85="Forge/Scrapwork buy"),IFERROR(VLOOKUP(C85,Upgrades!$N$4:$T$47,2,FALSE),0)="gold"),IFERROR(FLOOR(IFERROR(VLOOKUP(C85,Upgrades!$N$4:$T$47,3,FALSE),0)*(IFERROR(VLOOKUP(C85,Upgrades!$N$4:$T$47,4,FALSE),0)^(COUNTIFS($B$3:$B84,"Buy upgrade",$C$3:$C84,C85)+COUNTIFS($B$3:$B84,"Hire hunter",$C$3:$C84,C85)+COUNTIFS($B$3:$B84,"Forge/Scrapwork buy",$C$3:$C84,C85))),1),0),0)-IF(AND((E85="OK"),B85="Hire hunter"),IF(C85="Briar",140,IF(C85="Quill",3650,IF(C85="Moss",4850,IF(C85="Ember",12200,0)))),0))</f>
        <v/>
      </c>
      <c r="I85" s="7">
        <f>IF(AND((E85="OK"),B85="Fight boss",(IF((((105/'Rules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Formulas'!B12)),0,MIN(IF(G84&lt;=1,120,IF(G84=2,280,600)),I84+IF(AND((E85="OK"),B85="Hunt"),((IF(B85="Hunt",(('Rules &amp; Formulas'!B4*N84*('Rules &amp; Formulas'!B5+O84)*IFERROR(VLOOKUP(C85,Monsters!$T$4:$AH$15,10,FALSE),0)*IFERROR(VLOOKUP(C85,Monsters!$T$4:$AH$15,9,FALSE),0))*'Rules &amp; Formulas'!B6)*IF(D85="",0,D85),0))*(IFERROR(VLOOKUP(C85,Monsters!$T$4:$AH$15,4,FALSE),0))+(IF(OR(B85&lt;&gt;"Hunt",IFERROR(VLOOKUP(C85,Monsters!$T$4:$AH$15,6,FALSE),0)=0),0,FLOOR((IF(B85="Hunt",(('Rules &amp; Formulas'!B4*N84*('Rules &amp; Formulas'!B5+O84)*IFERROR(VLOOKUP(C85,Monsters!$T$4:$AH$15,10,FALSE),0)*IFERROR(VLOOKUP(C85,Monsters!$T$4:$AH$15,9,FALSE),0))*'Rules &amp; Formulas'!B6)*IF(D85="",0,D85),0))/MAX(1,IFERROR(VLOOKUP(C85,Monsters!$T$4:$AH$15,6,FALSE),0)),1)))*(IFERROR(VLOOKUP(C85,Monsters!$T$4:$AH$15,7,FALSE),0))),0)+IF(AND((E85="OK"),B85="Go AFK"),((IF(B85="Go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AFK",IF(D85="",0,D85),0),Z84/60)*60)),0))*(IFERROR(VLOOKUP(C85,Monsters!$T$4:$AH$15,4,FALSE),0))+(IF(OR(B85&lt;&gt;"Go AFK",IFERROR(VLOOKUP(C85,Monsters!$T$4:$AH$15,6,FALSE),0)=0),0,FLOOR((IF(B85="Go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AFK",IF(D85="",0,D85),0),Z84/60)*60)),0))/MAX(1,IFERROR(VLOOKUP(C85,Monsters!$T$4:$AH$15,6,FALSE),0)),1)))*(IFERROR(VLOOKUP(C85,Monsters!$T$4:$AH$15,7,FALSE),0))),0)))</f>
        <v/>
      </c>
      <c r="J85" s="7">
        <f>MAX(0,J84+IF(AND((E85="OK"),B85="Hunt"),(IF(B85="Hunt",(('Rules &amp; Formulas'!B4*N84*('Rules &amp; Formulas'!B5+O84)*IFERROR(VLOOKUP(C85,Monsters!$T$4:$AH$15,10,FALSE),0)*IFERROR(VLOOKUP(C85,Monsters!$T$4:$AH$15,9,FALSE),0))*'Rules &amp; Formulas'!B6)*IF(D85="",0,D85),0))*(IFERROR(VLOOKUP(C85,Monsters!$T$4:$AH$15,5,FALSE),0)),0)+IF(AND((E85="OK"),B85="Go AFK"),(IF(B85="Go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AFK",IF(D85="",0,D85),0),Z84/60)*60)),0))*(IFERROR(VLOOKUP(C85,Monsters!$T$4:$AH$15,5,FALSE),0)),0)-IF(AND((E85="OK"),OR(B85="Buy upgrade",B85="Forge/Scrapwork buy"),IFERROR(VLOOKUP(C85,Upgrades!$N$4:$T$47,2,FALSE),0)="scraps"),IFERROR(FLOOR(IFERROR(VLOOKUP(C85,Upgrades!$N$4:$T$47,3,FALSE),0)*(IFERROR(VLOOKUP(C85,Upgrades!$N$4:$T$47,4,FALSE),0)^(COUNTIFS($B$3:$B84,"Buy upgrade",$C$3:$C84,C85)+COUNTIFS($B$3:$B84,"Hire hunter",$C$3:$C84,C85)+COUNTIFS($B$3:$B84,"Forge/Scrapwork buy",$C$3:$C84,C85))),1),0),0))</f>
        <v/>
      </c>
      <c r="K85" s="7">
        <f>MAX(0,K84+IF(AND((E85="OK"),B85="Hunt"),IF(C85="Thornpelt Bear",(IF(B85="Hunt",(('Rules &amp; Formulas'!B4*N84*('Rules &amp; Formulas'!B5+O84)*IFERROR(VLOOKUP(C85,Monsters!$T$4:$AH$15,10,FALSE),0)*IFERROR(VLOOKUP(C85,Monsters!$T$4:$AH$15,9,FALSE),0))*'Rules &amp; Formulas'!B6)*IF(D85="",0,D85),0))*0.12,0),0)+IF(AND((E85="OK"),B85="Go AFK"),IF(C85="Thornpelt Bear",(IF(B85="Go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AFK",IF(D85="",0,D85),0),Z84/60)*60)),0))*0.12,0),0))</f>
        <v/>
      </c>
      <c r="L85" s="7">
        <f>MAX(0,L84+IF(AND((E85="OK"),B85="Hunt"),IF(C85="Dire Thornpelt",(IF(B85="Hunt",(('Rules &amp; Formulas'!B4*N84*('Rules &amp; Formulas'!B5+O84)*IFERROR(VLOOKUP(C85,Monsters!$T$4:$AH$15,10,FALSE),0)*IFERROR(VLOOKUP(C85,Monsters!$T$4:$AH$15,9,FALSE),0))*'Rules &amp; Formulas'!B6)*IF(D85="",0,D85),0))*0.1,0),0)+IF(AND((E85="OK"),B85="Go AFK"),IF(C85="Dire Thornpelt",(IF(B85="Go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AFK",IF(D85="",0,D85),0),Z84/60)*60)),0))*0.1,0),0))</f>
        <v/>
      </c>
      <c r="M85" s="7">
        <f>IF(AND((E85="OK"),B85="Go AFK"),MAX(0,MIN(('Rules &amp; Formulas'!B15+25*AJ84),M84+('Rules &amp; Formulas'!B14+0.4*AJ84)*(MIN(IF(B85="Go AFK",IF(D85="",0,D85),0),Z84/60)*60))-(IF(B85="Go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AFK",IF(D85="",0,D85),0),Z84/60)*60)),0))*(IF((IFERROR(VLOOKUP(C85,Monsters!$T$4:$AH$15,8,FALSE),0))=0,0.35,IFERROR(VLOOKUP(C85,Monsters!$T$4:$AH$15,8,FALSE),0))/(1+0.08*AK84))),MIN(('Rules &amp; Formulas'!B15+25*AJ85),M84))</f>
        <v/>
      </c>
      <c r="N85" s="7">
        <f>(1+0.08+0.12*AA85+0.12*AB85+0.16*AC85)</f>
        <v/>
      </c>
      <c r="O85" s="7">
        <f>((AD85&gt;=1)*1*(1+0.3*AE85))</f>
        <v/>
      </c>
      <c r="P85" s="7">
        <f>IF(OR(B85="Hunt",B85="Go AFK"),(('Rules &amp; Formulas'!B4*N84*('Rules &amp; Formulas'!B5+O84)*IFERROR(VLOOKUP(C85,Monsters!$T$4:$AH$15,10,FALSE),0)*IFERROR(VLOOKUP(C85,Monsters!$T$4:$AH$15,9,FALSE),0))*'Rules &amp; Formulas'!B6),"")</f>
        <v/>
      </c>
      <c r="Q85" s="7">
        <f>IF(OR(B85="Hunt",B85="Go AFK"),('Rules &amp; Formulas'!B4*N84*('Rules &amp; Formulas'!B5+O84)*IFERROR(VLOOKUP(C85,Monsters!$T$4:$AH$15,10,FALSE),0)*IFERROR(VLOOKUP(C85,Monsters!$T$4:$AH$15,9,FALSE),0)),"")</f>
        <v/>
      </c>
      <c r="R85" s="7">
        <f>IF(AND((E85="OK"),B85="Hunt"),IF(B85="Hunt",(('Rules &amp; Formulas'!B4*N84*('Rules &amp; Formulas'!B5+O84)*IFERROR(VLOOKUP(C85,Monsters!$T$4:$AH$15,10,FALSE),0)*IFERROR(VLOOKUP(C85,Monsters!$T$4:$AH$15,9,FALSE),0))*'Rules &amp; Formulas'!B6)*IF(D85="",0,D85),0),IF(AND((E85="OK"),B85="Go AFK"),IF(B85="Go AFK",MIN(IF((IF((IFERROR(VLOOKUP(C85,Monsters!$T$4:$AH$15,8,FALSE),0))=0,0.35,IFERROR(VLOOKUP(C85,Monsters!$T$4:$AH$15,8,FALSE),0))/(1+0.08*AK84))&lt;=0,999999,FLOOR(MIN(('Rules &amp; Formulas'!B15+25*AJ84),M84+('Rules &amp; Formulas'!B14+0.4*AJ84)*(MIN(IF(B85="Go AFK",IF(D85="",0,D85),0),Z84/60)*60))/(IF((IFERROR(VLOOKUP(C85,Monsters!$T$4:$AH$15,8,FALSE),0))=0,0.35,IFERROR(VLOOKUP(C85,Monsters!$T$4:$AH$15,8,FALSE),0))/(1+0.08*AK84)),1)),('Rules &amp; Formulas'!B4*N84*('Rules &amp; Formulas'!B5+O84)*IFERROR(VLOOKUP(C85,Monsters!$T$4:$AH$15,10,FALSE),0)*IFERROR(VLOOKUP(C85,Monsters!$T$4:$AH$15,9,FALSE),0))*(MIN(IF(B85="Go AFK",IF(D85="",0,D85),0),Z84/60)*60)),0),0))</f>
        <v/>
      </c>
      <c r="S85" s="7">
        <f>(105/'Rules &amp; Formulas'!B10)*'Rules &amp; Formulas'!B11</f>
        <v/>
      </c>
      <c r="T85" s="7">
        <f>IF(AD84&gt;=1,(MAX(1,ROUND('Rules &amp; Formulas'!B18*(1+0.3*AE84)*(1+0.4*AF84),0)))*(1000/'Rules &amp; Formulas'!B19)*MIN(0.95,'Rules &amp; Formulas'!B20*SQRT(1+0.55*(AG84&gt;=1))),0)</f>
        <v/>
      </c>
      <c r="U85" s="7">
        <f>S85+T85</f>
        <v/>
      </c>
      <c r="V85" s="7">
        <f>IF(I84&gt;=IF((IFERROR(VLOOKUP(C85,Monsters!$T$4:$AH$15,15,FALSE),0))=0,120,IFERROR(VLOOKUP(C85,Monsters!$T$4:$AH$15,15,FALSE),0)),"YES","no")</f>
        <v/>
      </c>
      <c r="W85" s="7">
        <f>IF(AND(B85="Fight boss",E85="OK"),IF((((105/'Rules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Formulas'!B20*SQRT(1+0.55*(AG84&gt;=1))),0)))),"")</f>
        <v/>
      </c>
      <c r="X85" s="7">
        <f>IF(AND(B85="Fight boss",E85="OK"),IF((IF((((105/'Rules &amp; Formulas'!B10)*'Rules &amp; Formulas'!B11+IF(AD84&gt;=1,(MAX(1,ROUND('Rules &amp; Formulas'!B18*(1+0.3*AE84)*(1+0.4*AF84),0)))*(1000/'Rules &amp; Formulas'!B19)*MIN(0.95,'Rules &amp; Formulas'!B20*SQRT(1+0.55*(AG84&gt;=1))),0)))&lt;=0,9999,(IFERROR(VLOOKUP(C85,Monsters!$T$4:$AH$15,2,FALSE),0))/(((105/'Rules &amp; Formulas'!B10)*'Rules &amp; Formulas'!B11+IF(AD84&gt;=1,(MAX(1,ROUND('Rules &amp; Formulas'!B18*(1+0.3*AE84)*(1+0.4*AF84),0)))*(1000/'Rules &amp; Formulas'!B19)*MIN(0.95,'Rules &amp; Formulas'!B20*SQRT(1+0.55*(AG84&gt;=1))),0))))&lt;='Rules &amp; Formulas'!B12),"WIN","LOSE"),"")</f>
        <v/>
      </c>
      <c r="Y85" s="7">
        <f>IF(B85="Go AFK",MIN(IF(B85="Go AFK",IF(D85="",0,D85),0),Z84/60),"")</f>
        <v/>
      </c>
      <c r="Z85" s="7">
        <f>('Rules &amp; Formulas'!B13+30*AI85)</f>
        <v/>
      </c>
      <c r="AA85">
        <f>COUNTIFS($B$3:$B85,"Buy upgrade",$C$3:$C85,"Idle Power")</f>
        <v/>
      </c>
      <c r="AB85">
        <f>COUNTIFS($B$3:$B85,"Buy upgrade",$C$3:$C85,"Iron Blade")</f>
        <v/>
      </c>
      <c r="AC85">
        <f>COUNTIFS($B$3:$B85,"Buy upgrade",$C$3:$C85,"Steel Blade")</f>
        <v/>
      </c>
      <c r="AD85">
        <f>COUNTIFS($B$3:$B85,"Hire hunter",$C$3:$C85,"Briar")+COUNTIFS($B$3:$B85,"Buy upgrade",$C$3:$C85,"Hire Briar")</f>
        <v/>
      </c>
      <c r="AE85">
        <f>COUNTIFS($B$3:$B85,"Buy upgrade",$C$3:$C85,"Hunter Power")</f>
        <v/>
      </c>
      <c r="AF85">
        <f>COUNTIFS($B$3:$B85,"Buy upgrade",$C$3:$C85,"Bigger Hits")</f>
        <v/>
      </c>
      <c r="AG85">
        <f>COUNTIFS($B$3:$B85,"Buy upgrade",$C$3:$C85,"Swift Walk")</f>
        <v/>
      </c>
      <c r="AH85">
        <f>COUNTIFS($B$3:$B85,"Buy upgrade",$C$3:$C85,"Loot Luck")</f>
        <v/>
      </c>
      <c r="AI85">
        <f>COUNTIFS($B$3:$B85,"Buy upgrade",$C$3:$C85,"Offline Cap")</f>
        <v/>
      </c>
      <c r="AJ85">
        <f>COUNTIFS($B$3:$B85,"Buy upgrade",$C$3:$C85,"Bigger Food Stock")</f>
        <v/>
      </c>
      <c r="AK85">
        <f>COUNTIFS($B$3:$B85,"Buy upgrade",$C$3:$C85,"Food Efficiency")</f>
        <v/>
      </c>
    </row>
    <row r="86">
      <c r="A86" t="n">
        <v>84</v>
      </c>
      <c r="B86" s="6" t="n"/>
      <c r="C86" s="6" t="n"/>
      <c r="D86" s="6" t="n"/>
      <c r="E86" s="7">
        <f>IF(B86="","",IF(OR(B86="Hunt",B86="Go AFK"),IF(C86="","Can't","OK"),IF(B86="Fight boss",IF(I85&lt;IF((IFERROR(VLOOKUP(C86,Monsters!$T$4:$AH$15,15,FALSE),0))=0,120,IFERROR(VLOOKUP(C86,Monsters!$T$4:$AH$15,15,FALSE),0)),"Can't","OK"),IF(B86="Hire hunter",IF(AND(C86="Briar",AD85&gt;=1),"Can't",IF(H85&lt;IF(C86="Briar",140,IF(C86="Quill",3650,IF(C86="Moss",4850,IF(C86="Ember",12200,0)))),"Can't","OK")),IF(OR(B86="Buy upgrade",B86="Forge/Scrapwork buy"),IF(IFERROR(VLOOKUP(C86,Upgrades!$N$4:$T$47,2,FALSE),0)="points","Can't",IF(IFERROR(VLOOKUP(C86,Upgrades!$N$4:$T$47,2,FALSE),0)="gold",IF(H85&lt;IFERROR(FLOOR(IFERROR(VLOOKUP(C86,Upgrades!$N$4:$T$47,3,FALSE),0)*(IFERROR(VLOOKUP(C86,Upgrades!$N$4:$T$47,4,FALSE),0)^(COUNTIFS($B$3:$B85,"Buy upgrade",$C$3:$C85,C86)+COUNTIFS($B$3:$B85,"Hire hunter",$C$3:$C85,C86)+COUNTIFS($B$3:$B85,"Forge/Scrapwork buy",$C$3:$C85,C86))),1),0),"Can't","OK"),IF(IFERROR(VLOOKUP(C86,Upgrades!$N$4:$T$47,2,FALSE),0)="scraps",IF(J85&lt;IFERROR(FLOOR(IFERROR(VLOOKUP(C86,Upgrades!$N$4:$T$47,3,FALSE),0)*(IFERROR(VLOOKUP(C86,Upgrades!$N$4:$T$47,4,FALSE),0)^(COUNTIFS($B$3:$B85,"Buy upgrade",$C$3:$C85,C86)+COUNTIFS($B$3:$B85,"Hire hunter",$C$3:$C85,C86)+COUNTIFS($B$3:$B85,"Forge/Scrapwork buy",$C$3:$C85,C86))),1),0),"Can't","OK"),IF(IFERROR(VLOOKUP(C86,Upgrades!$N$4:$T$47,2,FALSE),0)="mats","Can't","OK")))),"Check")))))</f>
        <v/>
      </c>
      <c r="F86" s="7">
        <f>IF(B86="","",IF(AND(B86="Fight boss",I85&lt;IF((IFERROR(VLOOKUP(C86,Monsters!$T$4:$AH$15,15,FALSE),0))=0,120,IFERROR(VLOOKUP(C86,Monsters!$T$4:$AH$15,15,FALSE),0))),"Can't — need "&amp;TEXT(IF((IFERROR(VLOOKUP(C86,Monsters!$T$4:$AH$15,15,FALSE),0))=0,120,IFERROR(VLOOKUP(C86,Monsters!$T$4:$AH$15,15,FALSE),0))-I85,"0.0")&amp;" more Slayer points on the meter",IF(AND(B86="Hire hunter",C86="Briar",AD85&gt;=1),"Can't — already hired",IF(AND(B86="Hire hunter",H85&lt;IF(C86="Briar",140,IF(C86="Quill",3650,IF(C86="Moss",4850,IF(C86="Ember",12200,0))))),"Can't — need "&amp;TEXT(IF(C86="Briar",140,IF(C86="Quill",3650,IF(C86="Moss",4850,IF(C86="Ember",12200,0))))-H85,"0")&amp;" more gold",IF(AND(OR(B86="Buy upgrade",B86="Forge/Scrapwork buy"),IFERROR(VLOOKUP(C86,Upgrades!$N$4:$T$47,2,FALSE),0)="points"),"Can't — Sp-wallet spends not tracked here",IF(AND(OR(B86="Buy upgrade",B86="Forge/Scrapwork buy"),IFERROR(VLOOKUP(C86,Upgrades!$N$4:$T$47,2,FALSE),0)="gold",H85&lt;IFERROR(FLOOR(IFERROR(VLOOKUP(C86,Upgrades!$N$4:$T$47,3,FALSE),0)*(IFERROR(VLOOKUP(C86,Upgrades!$N$4:$T$47,4,FALSE),0)^(COUNTIFS($B$3:$B85,"Buy upgrade",$C$3:$C85,C86)+COUNTIFS($B$3:$B85,"Hire hunter",$C$3:$C85,C86)+COUNTIFS($B$3:$B85,"Forge/Scrapwork buy",$C$3:$C85,C86))),1),0)),"Can't — need "&amp;TEXT(IFERROR(FLOOR(IFERROR(VLOOKUP(C86,Upgrades!$N$4:$T$47,3,FALSE),0)*(IFERROR(VLOOKUP(C86,Upgrades!$N$4:$T$47,4,FALSE),0)^(COUNTIFS($B$3:$B85,"Buy upgrade",$C$3:$C85,C86)+COUNTIFS($B$3:$B85,"Hire hunter",$C$3:$C85,C86)+COUNTIFS($B$3:$B85,"Forge/Scrapwork buy",$C$3:$C85,C86))),1),0)-H85,"0")&amp;" more gold",IF(AND(OR(B86="Buy upgrade",B86="Forge/Scrapwork buy"),IFERROR(VLOOKUP(C86,Upgrades!$N$4:$T$47,2,FALSE),0)="scraps",J85&lt;IFERROR(FLOOR(IFERROR(VLOOKUP(C86,Upgrades!$N$4:$T$47,3,FALSE),0)*(IFERROR(VLOOKUP(C86,Upgrades!$N$4:$T$47,4,FALSE),0)^(COUNTIFS($B$3:$B85,"Buy upgrade",$C$3:$C85,C86)+COUNTIFS($B$3:$B85,"Hire hunter",$C$3:$C85,C86)+COUNTIFS($B$3:$B85,"Forge/Scrapwork buy",$C$3:$C85,C86))),1),0)),"Can't — need "&amp;TEXT(IFERROR(FLOOR(IFERROR(VLOOKUP(C86,Upgrades!$N$4:$T$47,3,FALSE),0)*(IFERROR(VLOOKUP(C86,Upgrades!$N$4:$T$47,4,FALSE),0)^(COUNTIFS($B$3:$B85,"Buy upgrade",$C$3:$C85,C86)+COUNTIFS($B$3:$B85,"Hire hunter",$C$3:$C85,C86)+COUNTIFS($B$3:$B85,"Forge/Scrapwork buy",$C$3:$C85,C86))),1),0)-J85,"0")&amp;" more scraps",IF(AND(B86="Fight boss",E86="OK",(IF((((105/'Rules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Formulas'!B12)),"WIN — boss down, next Level unlocks",IF(AND(B86="Fight boss",E86="OK"),"LOSE — TTK "&amp;TEXT(IF((((105/'Rules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Formulas'!B20*SQRT(1+0.55*(AG85&gt;=1))),0)))),"0")&amp;"s &gt; patience "&amp;TEXT('Rules &amp; Formulas'!B12,"0")&amp;"s (leave resets HP)",IF(B86="Go AFK","AFK resolved (see AFK counted h)","Applied")))))))))</f>
        <v/>
      </c>
      <c r="G86" s="7">
        <f>IF(AND((E86="OK"),B86="Fight boss",(IF((((105/'Rules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Formulas'!B12),C86="Elder Thornpelt"),2,IF(AND((E86="OK"),B86="Fight boss",(IF((((105/'Rules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Formulas'!B12),C86="Ashfang Alpha"),3,G85))</f>
        <v/>
      </c>
      <c r="H86" s="7">
        <f>MAX(0,H85+IF(AND((E86="OK"),B86="Hunt"),(IF(B86="Hunt",(('Rules &amp; Formulas'!B4*N85*('Rules &amp; Formulas'!B5+O85)*IFERROR(VLOOKUP(C86,Monsters!$T$4:$AH$15,10,FALSE),0)*IFERROR(VLOOKUP(C86,Monsters!$T$4:$AH$15,9,FALSE),0))*'Rules &amp; Formulas'!B6)*IF(D86="",0,D86),0))*(IFERROR(VLOOKUP(C86,Monsters!$T$4:$AH$15,3,FALSE),0))*(1+0.1*AH85)+(IF(OR(B86&lt;&gt;"Hunt",IFERROR(VLOOKUP(C86,Monsters!$T$4:$AH$15,6,FALSE),0)=0),0,FLOOR((IF(B86="Hunt",(('Rules &amp; Formulas'!B4*N85*('Rules &amp; Formulas'!B5+O85)*IFERROR(VLOOKUP(C86,Monsters!$T$4:$AH$15,10,FALSE),0)*IFERROR(VLOOKUP(C86,Monsters!$T$4:$AH$15,9,FALSE),0))*'Rules &amp; Formulas'!B6)*IF(D86="",0,D86),0))/MAX(1,IFERROR(VLOOKUP(C86,Monsters!$T$4:$AH$15,6,FALSE),0)),1)))*(IFERROR(VLOOKUP(C86,Monsters!$T$4:$AH$15,7,FALSE),0))*0.5*(1+0.1*AH85),0)+IF(AND((E86="OK"),B86="Go AFK"),(IF(B86="Go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AFK",IF(D86="",0,D86),0),Z85/60)*60)),0))*(IFERROR(VLOOKUP(C86,Monsters!$T$4:$AH$15,3,FALSE),0))*(1+0.1*AH85)+(IF(OR(B86&lt;&gt;"Go AFK",IFERROR(VLOOKUP(C86,Monsters!$T$4:$AH$15,6,FALSE),0)=0),0,FLOOR((IF(B86="Go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AFK",IF(D86="",0,D86),0),Z85/60)*60)),0))/MAX(1,IFERROR(VLOOKUP(C86,Monsters!$T$4:$AH$15,6,FALSE),0)),1)))*(IFERROR(VLOOKUP(C86,Monsters!$T$4:$AH$15,7,FALSE),0))*0.5*(1+0.1*AH85),0)+IF(AND((E86="OK"),B86="Fight boss",(IF((((105/'Rules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Formulas'!B12)),IFERROR(VLOOKUP(C86,Monsters!$T$4:$AH$15,3,FALSE),0),0)-IF(AND((E86="OK"),OR(B86="Buy upgrade",B86="Forge/Scrapwork buy"),IFERROR(VLOOKUP(C86,Upgrades!$N$4:$T$47,2,FALSE),0)="gold"),IFERROR(FLOOR(IFERROR(VLOOKUP(C86,Upgrades!$N$4:$T$47,3,FALSE),0)*(IFERROR(VLOOKUP(C86,Upgrades!$N$4:$T$47,4,FALSE),0)^(COUNTIFS($B$3:$B85,"Buy upgrade",$C$3:$C85,C86)+COUNTIFS($B$3:$B85,"Hire hunter",$C$3:$C85,C86)+COUNTIFS($B$3:$B85,"Forge/Scrapwork buy",$C$3:$C85,C86))),1),0),0)-IF(AND((E86="OK"),B86="Hire hunter"),IF(C86="Briar",140,IF(C86="Quill",3650,IF(C86="Moss",4850,IF(C86="Ember",12200,0)))),0))</f>
        <v/>
      </c>
      <c r="I86" s="7">
        <f>IF(AND((E86="OK"),B86="Fight boss",(IF((((105/'Rules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Formulas'!B12)),0,MIN(IF(G85&lt;=1,120,IF(G85=2,280,600)),I85+IF(AND((E86="OK"),B86="Hunt"),((IF(B86="Hunt",(('Rules &amp; Formulas'!B4*N85*('Rules &amp; Formulas'!B5+O85)*IFERROR(VLOOKUP(C86,Monsters!$T$4:$AH$15,10,FALSE),0)*IFERROR(VLOOKUP(C86,Monsters!$T$4:$AH$15,9,FALSE),0))*'Rules &amp; Formulas'!B6)*IF(D86="",0,D86),0))*(IFERROR(VLOOKUP(C86,Monsters!$T$4:$AH$15,4,FALSE),0))+(IF(OR(B86&lt;&gt;"Hunt",IFERROR(VLOOKUP(C86,Monsters!$T$4:$AH$15,6,FALSE),0)=0),0,FLOOR((IF(B86="Hunt",(('Rules &amp; Formulas'!B4*N85*('Rules &amp; Formulas'!B5+O85)*IFERROR(VLOOKUP(C86,Monsters!$T$4:$AH$15,10,FALSE),0)*IFERROR(VLOOKUP(C86,Monsters!$T$4:$AH$15,9,FALSE),0))*'Rules &amp; Formulas'!B6)*IF(D86="",0,D86),0))/MAX(1,IFERROR(VLOOKUP(C86,Monsters!$T$4:$AH$15,6,FALSE),0)),1)))*(IFERROR(VLOOKUP(C86,Monsters!$T$4:$AH$15,7,FALSE),0))),0)+IF(AND((E86="OK"),B86="Go AFK"),((IF(B86="Go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AFK",IF(D86="",0,D86),0),Z85/60)*60)),0))*(IFERROR(VLOOKUP(C86,Monsters!$T$4:$AH$15,4,FALSE),0))+(IF(OR(B86&lt;&gt;"Go AFK",IFERROR(VLOOKUP(C86,Monsters!$T$4:$AH$15,6,FALSE),0)=0),0,FLOOR((IF(B86="Go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AFK",IF(D86="",0,D86),0),Z85/60)*60)),0))/MAX(1,IFERROR(VLOOKUP(C86,Monsters!$T$4:$AH$15,6,FALSE),0)),1)))*(IFERROR(VLOOKUP(C86,Monsters!$T$4:$AH$15,7,FALSE),0))),0)))</f>
        <v/>
      </c>
      <c r="J86" s="7">
        <f>MAX(0,J85+IF(AND((E86="OK"),B86="Hunt"),(IF(B86="Hunt",(('Rules &amp; Formulas'!B4*N85*('Rules &amp; Formulas'!B5+O85)*IFERROR(VLOOKUP(C86,Monsters!$T$4:$AH$15,10,FALSE),0)*IFERROR(VLOOKUP(C86,Monsters!$T$4:$AH$15,9,FALSE),0))*'Rules &amp; Formulas'!B6)*IF(D86="",0,D86),0))*(IFERROR(VLOOKUP(C86,Monsters!$T$4:$AH$15,5,FALSE),0)),0)+IF(AND((E86="OK"),B86="Go AFK"),(IF(B86="Go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AFK",IF(D86="",0,D86),0),Z85/60)*60)),0))*(IFERROR(VLOOKUP(C86,Monsters!$T$4:$AH$15,5,FALSE),0)),0)-IF(AND((E86="OK"),OR(B86="Buy upgrade",B86="Forge/Scrapwork buy"),IFERROR(VLOOKUP(C86,Upgrades!$N$4:$T$47,2,FALSE),0)="scraps"),IFERROR(FLOOR(IFERROR(VLOOKUP(C86,Upgrades!$N$4:$T$47,3,FALSE),0)*(IFERROR(VLOOKUP(C86,Upgrades!$N$4:$T$47,4,FALSE),0)^(COUNTIFS($B$3:$B85,"Buy upgrade",$C$3:$C85,C86)+COUNTIFS($B$3:$B85,"Hire hunter",$C$3:$C85,C86)+COUNTIFS($B$3:$B85,"Forge/Scrapwork buy",$C$3:$C85,C86))),1),0),0))</f>
        <v/>
      </c>
      <c r="K86" s="7">
        <f>MAX(0,K85+IF(AND((E86="OK"),B86="Hunt"),IF(C86="Thornpelt Bear",(IF(B86="Hunt",(('Rules &amp; Formulas'!B4*N85*('Rules &amp; Formulas'!B5+O85)*IFERROR(VLOOKUP(C86,Monsters!$T$4:$AH$15,10,FALSE),0)*IFERROR(VLOOKUP(C86,Monsters!$T$4:$AH$15,9,FALSE),0))*'Rules &amp; Formulas'!B6)*IF(D86="",0,D86),0))*0.12,0),0)+IF(AND((E86="OK"),B86="Go AFK"),IF(C86="Thornpelt Bear",(IF(B86="Go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AFK",IF(D86="",0,D86),0),Z85/60)*60)),0))*0.12,0),0))</f>
        <v/>
      </c>
      <c r="L86" s="7">
        <f>MAX(0,L85+IF(AND((E86="OK"),B86="Hunt"),IF(C86="Dire Thornpelt",(IF(B86="Hunt",(('Rules &amp; Formulas'!B4*N85*('Rules &amp; Formulas'!B5+O85)*IFERROR(VLOOKUP(C86,Monsters!$T$4:$AH$15,10,FALSE),0)*IFERROR(VLOOKUP(C86,Monsters!$T$4:$AH$15,9,FALSE),0))*'Rules &amp; Formulas'!B6)*IF(D86="",0,D86),0))*0.1,0),0)+IF(AND((E86="OK"),B86="Go AFK"),IF(C86="Dire Thornpelt",(IF(B86="Go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AFK",IF(D86="",0,D86),0),Z85/60)*60)),0))*0.1,0),0))</f>
        <v/>
      </c>
      <c r="M86" s="7">
        <f>IF(AND((E86="OK"),B86="Go AFK"),MAX(0,MIN(('Rules &amp; Formulas'!B15+25*AJ85),M85+('Rules &amp; Formulas'!B14+0.4*AJ85)*(MIN(IF(B86="Go AFK",IF(D86="",0,D86),0),Z85/60)*60))-(IF(B86="Go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AFK",IF(D86="",0,D86),0),Z85/60)*60)),0))*(IF((IFERROR(VLOOKUP(C86,Monsters!$T$4:$AH$15,8,FALSE),0))=0,0.35,IFERROR(VLOOKUP(C86,Monsters!$T$4:$AH$15,8,FALSE),0))/(1+0.08*AK85))),MIN(('Rules &amp; Formulas'!B15+25*AJ86),M85))</f>
        <v/>
      </c>
      <c r="N86" s="7">
        <f>(1+0.08+0.12*AA86+0.12*AB86+0.16*AC86)</f>
        <v/>
      </c>
      <c r="O86" s="7">
        <f>((AD86&gt;=1)*1*(1+0.3*AE86))</f>
        <v/>
      </c>
      <c r="P86" s="7">
        <f>IF(OR(B86="Hunt",B86="Go AFK"),(('Rules &amp; Formulas'!B4*N85*('Rules &amp; Formulas'!B5+O85)*IFERROR(VLOOKUP(C86,Monsters!$T$4:$AH$15,10,FALSE),0)*IFERROR(VLOOKUP(C86,Monsters!$T$4:$AH$15,9,FALSE),0))*'Rules &amp; Formulas'!B6),"")</f>
        <v/>
      </c>
      <c r="Q86" s="7">
        <f>IF(OR(B86="Hunt",B86="Go AFK"),('Rules &amp; Formulas'!B4*N85*('Rules &amp; Formulas'!B5+O85)*IFERROR(VLOOKUP(C86,Monsters!$T$4:$AH$15,10,FALSE),0)*IFERROR(VLOOKUP(C86,Monsters!$T$4:$AH$15,9,FALSE),0)),"")</f>
        <v/>
      </c>
      <c r="R86" s="7">
        <f>IF(AND((E86="OK"),B86="Hunt"),IF(B86="Hunt",(('Rules &amp; Formulas'!B4*N85*('Rules &amp; Formulas'!B5+O85)*IFERROR(VLOOKUP(C86,Monsters!$T$4:$AH$15,10,FALSE),0)*IFERROR(VLOOKUP(C86,Monsters!$T$4:$AH$15,9,FALSE),0))*'Rules &amp; Formulas'!B6)*IF(D86="",0,D86),0),IF(AND((E86="OK"),B86="Go AFK"),IF(B86="Go AFK",MIN(IF((IF((IFERROR(VLOOKUP(C86,Monsters!$T$4:$AH$15,8,FALSE),0))=0,0.35,IFERROR(VLOOKUP(C86,Monsters!$T$4:$AH$15,8,FALSE),0))/(1+0.08*AK85))&lt;=0,999999,FLOOR(MIN(('Rules &amp; Formulas'!B15+25*AJ85),M85+('Rules &amp; Formulas'!B14+0.4*AJ85)*(MIN(IF(B86="Go AFK",IF(D86="",0,D86),0),Z85/60)*60))/(IF((IFERROR(VLOOKUP(C86,Monsters!$T$4:$AH$15,8,FALSE),0))=0,0.35,IFERROR(VLOOKUP(C86,Monsters!$T$4:$AH$15,8,FALSE),0))/(1+0.08*AK85)),1)),('Rules &amp; Formulas'!B4*N85*('Rules &amp; Formulas'!B5+O85)*IFERROR(VLOOKUP(C86,Monsters!$T$4:$AH$15,10,FALSE),0)*IFERROR(VLOOKUP(C86,Monsters!$T$4:$AH$15,9,FALSE),0))*(MIN(IF(B86="Go AFK",IF(D86="",0,D86),0),Z85/60)*60)),0),0))</f>
        <v/>
      </c>
      <c r="S86" s="7">
        <f>(105/'Rules &amp; Formulas'!B10)*'Rules &amp; Formulas'!B11</f>
        <v/>
      </c>
      <c r="T86" s="7">
        <f>IF(AD85&gt;=1,(MAX(1,ROUND('Rules &amp; Formulas'!B18*(1+0.3*AE85)*(1+0.4*AF85),0)))*(1000/'Rules &amp; Formulas'!B19)*MIN(0.95,'Rules &amp; Formulas'!B20*SQRT(1+0.55*(AG85&gt;=1))),0)</f>
        <v/>
      </c>
      <c r="U86" s="7">
        <f>S86+T86</f>
        <v/>
      </c>
      <c r="V86" s="7">
        <f>IF(I85&gt;=IF((IFERROR(VLOOKUP(C86,Monsters!$T$4:$AH$15,15,FALSE),0))=0,120,IFERROR(VLOOKUP(C86,Monsters!$T$4:$AH$15,15,FALSE),0)),"YES","no")</f>
        <v/>
      </c>
      <c r="W86" s="7">
        <f>IF(AND(B86="Fight boss",E86="OK"),IF((((105/'Rules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Formulas'!B20*SQRT(1+0.55*(AG85&gt;=1))),0)))),"")</f>
        <v/>
      </c>
      <c r="X86" s="7">
        <f>IF(AND(B86="Fight boss",E86="OK"),IF((IF((((105/'Rules &amp; Formulas'!B10)*'Rules &amp; Formulas'!B11+IF(AD85&gt;=1,(MAX(1,ROUND('Rules &amp; Formulas'!B18*(1+0.3*AE85)*(1+0.4*AF85),0)))*(1000/'Rules &amp; Formulas'!B19)*MIN(0.95,'Rules &amp; Formulas'!B20*SQRT(1+0.55*(AG85&gt;=1))),0)))&lt;=0,9999,(IFERROR(VLOOKUP(C86,Monsters!$T$4:$AH$15,2,FALSE),0))/(((105/'Rules &amp; Formulas'!B10)*'Rules &amp; Formulas'!B11+IF(AD85&gt;=1,(MAX(1,ROUND('Rules &amp; Formulas'!B18*(1+0.3*AE85)*(1+0.4*AF85),0)))*(1000/'Rules &amp; Formulas'!B19)*MIN(0.95,'Rules &amp; Formulas'!B20*SQRT(1+0.55*(AG85&gt;=1))),0))))&lt;='Rules &amp; Formulas'!B12),"WIN","LOSE"),"")</f>
        <v/>
      </c>
      <c r="Y86" s="7">
        <f>IF(B86="Go AFK",MIN(IF(B86="Go AFK",IF(D86="",0,D86),0),Z85/60),"")</f>
        <v/>
      </c>
      <c r="Z86" s="7">
        <f>('Rules &amp; Formulas'!B13+30*AI86)</f>
        <v/>
      </c>
      <c r="AA86">
        <f>COUNTIFS($B$3:$B86,"Buy upgrade",$C$3:$C86,"Idle Power")</f>
        <v/>
      </c>
      <c r="AB86">
        <f>COUNTIFS($B$3:$B86,"Buy upgrade",$C$3:$C86,"Iron Blade")</f>
        <v/>
      </c>
      <c r="AC86">
        <f>COUNTIFS($B$3:$B86,"Buy upgrade",$C$3:$C86,"Steel Blade")</f>
        <v/>
      </c>
      <c r="AD86">
        <f>COUNTIFS($B$3:$B86,"Hire hunter",$C$3:$C86,"Briar")+COUNTIFS($B$3:$B86,"Buy upgrade",$C$3:$C86,"Hire Briar")</f>
        <v/>
      </c>
      <c r="AE86">
        <f>COUNTIFS($B$3:$B86,"Buy upgrade",$C$3:$C86,"Hunter Power")</f>
        <v/>
      </c>
      <c r="AF86">
        <f>COUNTIFS($B$3:$B86,"Buy upgrade",$C$3:$C86,"Bigger Hits")</f>
        <v/>
      </c>
      <c r="AG86">
        <f>COUNTIFS($B$3:$B86,"Buy upgrade",$C$3:$C86,"Swift Walk")</f>
        <v/>
      </c>
      <c r="AH86">
        <f>COUNTIFS($B$3:$B86,"Buy upgrade",$C$3:$C86,"Loot Luck")</f>
        <v/>
      </c>
      <c r="AI86">
        <f>COUNTIFS($B$3:$B86,"Buy upgrade",$C$3:$C86,"Offline Cap")</f>
        <v/>
      </c>
      <c r="AJ86">
        <f>COUNTIFS($B$3:$B86,"Buy upgrade",$C$3:$C86,"Bigger Food Stock")</f>
        <v/>
      </c>
      <c r="AK86">
        <f>COUNTIFS($B$3:$B86,"Buy upgrade",$C$3:$C86,"Food Efficiency")</f>
        <v/>
      </c>
    </row>
    <row r="87">
      <c r="A87" t="n">
        <v>85</v>
      </c>
      <c r="B87" s="6" t="n"/>
      <c r="C87" s="6" t="n"/>
      <c r="D87" s="6" t="n"/>
      <c r="E87" s="7">
        <f>IF(B87="","",IF(OR(B87="Hunt",B87="Go AFK"),IF(C87="","Can't","OK"),IF(B87="Fight boss",IF(I86&lt;IF((IFERROR(VLOOKUP(C87,Monsters!$T$4:$AH$15,15,FALSE),0))=0,120,IFERROR(VLOOKUP(C87,Monsters!$T$4:$AH$15,15,FALSE),0)),"Can't","OK"),IF(B87="Hire hunter",IF(AND(C87="Briar",AD86&gt;=1),"Can't",IF(H86&lt;IF(C87="Briar",140,IF(C87="Quill",3650,IF(C87="Moss",4850,IF(C87="Ember",12200,0)))),"Can't","OK")),IF(OR(B87="Buy upgrade",B87="Forge/Scrapwork buy"),IF(IFERROR(VLOOKUP(C87,Upgrades!$N$4:$T$47,2,FALSE),0)="points","Can't",IF(IFERROR(VLOOKUP(C87,Upgrades!$N$4:$T$47,2,FALSE),0)="gold",IF(H86&lt;IFERROR(FLOOR(IFERROR(VLOOKUP(C87,Upgrades!$N$4:$T$47,3,FALSE),0)*(IFERROR(VLOOKUP(C87,Upgrades!$N$4:$T$47,4,FALSE),0)^(COUNTIFS($B$3:$B86,"Buy upgrade",$C$3:$C86,C87)+COUNTIFS($B$3:$B86,"Hire hunter",$C$3:$C86,C87)+COUNTIFS($B$3:$B86,"Forge/Scrapwork buy",$C$3:$C86,C87))),1),0),"Can't","OK"),IF(IFERROR(VLOOKUP(C87,Upgrades!$N$4:$T$47,2,FALSE),0)="scraps",IF(J86&lt;IFERROR(FLOOR(IFERROR(VLOOKUP(C87,Upgrades!$N$4:$T$47,3,FALSE),0)*(IFERROR(VLOOKUP(C87,Upgrades!$N$4:$T$47,4,FALSE),0)^(COUNTIFS($B$3:$B86,"Buy upgrade",$C$3:$C86,C87)+COUNTIFS($B$3:$B86,"Hire hunter",$C$3:$C86,C87)+COUNTIFS($B$3:$B86,"Forge/Scrapwork buy",$C$3:$C86,C87))),1),0),"Can't","OK"),IF(IFERROR(VLOOKUP(C87,Upgrades!$N$4:$T$47,2,FALSE),0)="mats","Can't","OK")))),"Check")))))</f>
        <v/>
      </c>
      <c r="F87" s="7">
        <f>IF(B87="","",IF(AND(B87="Fight boss",I86&lt;IF((IFERROR(VLOOKUP(C87,Monsters!$T$4:$AH$15,15,FALSE),0))=0,120,IFERROR(VLOOKUP(C87,Monsters!$T$4:$AH$15,15,FALSE),0))),"Can't — need "&amp;TEXT(IF((IFERROR(VLOOKUP(C87,Monsters!$T$4:$AH$15,15,FALSE),0))=0,120,IFERROR(VLOOKUP(C87,Monsters!$T$4:$AH$15,15,FALSE),0))-I86,"0.0")&amp;" more Slayer points on the meter",IF(AND(B87="Hire hunter",C87="Briar",AD86&gt;=1),"Can't — already hired",IF(AND(B87="Hire hunter",H86&lt;IF(C87="Briar",140,IF(C87="Quill",3650,IF(C87="Moss",4850,IF(C87="Ember",12200,0))))),"Can't — need "&amp;TEXT(IF(C87="Briar",140,IF(C87="Quill",3650,IF(C87="Moss",4850,IF(C87="Ember",12200,0))))-H86,"0")&amp;" more gold",IF(AND(OR(B87="Buy upgrade",B87="Forge/Scrapwork buy"),IFERROR(VLOOKUP(C87,Upgrades!$N$4:$T$47,2,FALSE),0)="points"),"Can't — Sp-wallet spends not tracked here",IF(AND(OR(B87="Buy upgrade",B87="Forge/Scrapwork buy"),IFERROR(VLOOKUP(C87,Upgrades!$N$4:$T$47,2,FALSE),0)="gold",H86&lt;IFERROR(FLOOR(IFERROR(VLOOKUP(C87,Upgrades!$N$4:$T$47,3,FALSE),0)*(IFERROR(VLOOKUP(C87,Upgrades!$N$4:$T$47,4,FALSE),0)^(COUNTIFS($B$3:$B86,"Buy upgrade",$C$3:$C86,C87)+COUNTIFS($B$3:$B86,"Hire hunter",$C$3:$C86,C87)+COUNTIFS($B$3:$B86,"Forge/Scrapwork buy",$C$3:$C86,C87))),1),0)),"Can't — need "&amp;TEXT(IFERROR(FLOOR(IFERROR(VLOOKUP(C87,Upgrades!$N$4:$T$47,3,FALSE),0)*(IFERROR(VLOOKUP(C87,Upgrades!$N$4:$T$47,4,FALSE),0)^(COUNTIFS($B$3:$B86,"Buy upgrade",$C$3:$C86,C87)+COUNTIFS($B$3:$B86,"Hire hunter",$C$3:$C86,C87)+COUNTIFS($B$3:$B86,"Forge/Scrapwork buy",$C$3:$C86,C87))),1),0)-H86,"0")&amp;" more gold",IF(AND(OR(B87="Buy upgrade",B87="Forge/Scrapwork buy"),IFERROR(VLOOKUP(C87,Upgrades!$N$4:$T$47,2,FALSE),0)="scraps",J86&lt;IFERROR(FLOOR(IFERROR(VLOOKUP(C87,Upgrades!$N$4:$T$47,3,FALSE),0)*(IFERROR(VLOOKUP(C87,Upgrades!$N$4:$T$47,4,FALSE),0)^(COUNTIFS($B$3:$B86,"Buy upgrade",$C$3:$C86,C87)+COUNTIFS($B$3:$B86,"Hire hunter",$C$3:$C86,C87)+COUNTIFS($B$3:$B86,"Forge/Scrapwork buy",$C$3:$C86,C87))),1),0)),"Can't — need "&amp;TEXT(IFERROR(FLOOR(IFERROR(VLOOKUP(C87,Upgrades!$N$4:$T$47,3,FALSE),0)*(IFERROR(VLOOKUP(C87,Upgrades!$N$4:$T$47,4,FALSE),0)^(COUNTIFS($B$3:$B86,"Buy upgrade",$C$3:$C86,C87)+COUNTIFS($B$3:$B86,"Hire hunter",$C$3:$C86,C87)+COUNTIFS($B$3:$B86,"Forge/Scrapwork buy",$C$3:$C86,C87))),1),0)-J86,"0")&amp;" more scraps",IF(AND(B87="Fight boss",E87="OK",(IF((((105/'Rules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Formulas'!B12)),"WIN — boss down, next Level unlocks",IF(AND(B87="Fight boss",E87="OK"),"LOSE — TTK "&amp;TEXT(IF((((105/'Rules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Formulas'!B20*SQRT(1+0.55*(AG86&gt;=1))),0)))),"0")&amp;"s &gt; patience "&amp;TEXT('Rules &amp; Formulas'!B12,"0")&amp;"s (leave resets HP)",IF(B87="Go AFK","AFK resolved (see AFK counted h)","Applied")))))))))</f>
        <v/>
      </c>
      <c r="G87" s="7">
        <f>IF(AND((E87="OK"),B87="Fight boss",(IF((((105/'Rules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Formulas'!B12),C87="Elder Thornpelt"),2,IF(AND((E87="OK"),B87="Fight boss",(IF((((105/'Rules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Formulas'!B12),C87="Ashfang Alpha"),3,G86))</f>
        <v/>
      </c>
      <c r="H87" s="7">
        <f>MAX(0,H86+IF(AND((E87="OK"),B87="Hunt"),(IF(B87="Hunt",(('Rules &amp; Formulas'!B4*N86*('Rules &amp; Formulas'!B5+O86)*IFERROR(VLOOKUP(C87,Monsters!$T$4:$AH$15,10,FALSE),0)*IFERROR(VLOOKUP(C87,Monsters!$T$4:$AH$15,9,FALSE),0))*'Rules &amp; Formulas'!B6)*IF(D87="",0,D87),0))*(IFERROR(VLOOKUP(C87,Monsters!$T$4:$AH$15,3,FALSE),0))*(1+0.1*AH86)+(IF(OR(B87&lt;&gt;"Hunt",IFERROR(VLOOKUP(C87,Monsters!$T$4:$AH$15,6,FALSE),0)=0),0,FLOOR((IF(B87="Hunt",(('Rules &amp; Formulas'!B4*N86*('Rules &amp; Formulas'!B5+O86)*IFERROR(VLOOKUP(C87,Monsters!$T$4:$AH$15,10,FALSE),0)*IFERROR(VLOOKUP(C87,Monsters!$T$4:$AH$15,9,FALSE),0))*'Rules &amp; Formulas'!B6)*IF(D87="",0,D87),0))/MAX(1,IFERROR(VLOOKUP(C87,Monsters!$T$4:$AH$15,6,FALSE),0)),1)))*(IFERROR(VLOOKUP(C87,Monsters!$T$4:$AH$15,7,FALSE),0))*0.5*(1+0.1*AH86),0)+IF(AND((E87="OK"),B87="Go AFK"),(IF(B87="Go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AFK",IF(D87="",0,D87),0),Z86/60)*60)),0))*(IFERROR(VLOOKUP(C87,Monsters!$T$4:$AH$15,3,FALSE),0))*(1+0.1*AH86)+(IF(OR(B87&lt;&gt;"Go AFK",IFERROR(VLOOKUP(C87,Monsters!$T$4:$AH$15,6,FALSE),0)=0),0,FLOOR((IF(B87="Go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AFK",IF(D87="",0,D87),0),Z86/60)*60)),0))/MAX(1,IFERROR(VLOOKUP(C87,Monsters!$T$4:$AH$15,6,FALSE),0)),1)))*(IFERROR(VLOOKUP(C87,Monsters!$T$4:$AH$15,7,FALSE),0))*0.5*(1+0.1*AH86),0)+IF(AND((E87="OK"),B87="Fight boss",(IF((((105/'Rules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Formulas'!B12)),IFERROR(VLOOKUP(C87,Monsters!$T$4:$AH$15,3,FALSE),0),0)-IF(AND((E87="OK"),OR(B87="Buy upgrade",B87="Forge/Scrapwork buy"),IFERROR(VLOOKUP(C87,Upgrades!$N$4:$T$47,2,FALSE),0)="gold"),IFERROR(FLOOR(IFERROR(VLOOKUP(C87,Upgrades!$N$4:$T$47,3,FALSE),0)*(IFERROR(VLOOKUP(C87,Upgrades!$N$4:$T$47,4,FALSE),0)^(COUNTIFS($B$3:$B86,"Buy upgrade",$C$3:$C86,C87)+COUNTIFS($B$3:$B86,"Hire hunter",$C$3:$C86,C87)+COUNTIFS($B$3:$B86,"Forge/Scrapwork buy",$C$3:$C86,C87))),1),0),0)-IF(AND((E87="OK"),B87="Hire hunter"),IF(C87="Briar",140,IF(C87="Quill",3650,IF(C87="Moss",4850,IF(C87="Ember",12200,0)))),0))</f>
        <v/>
      </c>
      <c r="I87" s="7">
        <f>IF(AND((E87="OK"),B87="Fight boss",(IF((((105/'Rules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Formulas'!B12)),0,MIN(IF(G86&lt;=1,120,IF(G86=2,280,600)),I86+IF(AND((E87="OK"),B87="Hunt"),((IF(B87="Hunt",(('Rules &amp; Formulas'!B4*N86*('Rules &amp; Formulas'!B5+O86)*IFERROR(VLOOKUP(C87,Monsters!$T$4:$AH$15,10,FALSE),0)*IFERROR(VLOOKUP(C87,Monsters!$T$4:$AH$15,9,FALSE),0))*'Rules &amp; Formulas'!B6)*IF(D87="",0,D87),0))*(IFERROR(VLOOKUP(C87,Monsters!$T$4:$AH$15,4,FALSE),0))+(IF(OR(B87&lt;&gt;"Hunt",IFERROR(VLOOKUP(C87,Monsters!$T$4:$AH$15,6,FALSE),0)=0),0,FLOOR((IF(B87="Hunt",(('Rules &amp; Formulas'!B4*N86*('Rules &amp; Formulas'!B5+O86)*IFERROR(VLOOKUP(C87,Monsters!$T$4:$AH$15,10,FALSE),0)*IFERROR(VLOOKUP(C87,Monsters!$T$4:$AH$15,9,FALSE),0))*'Rules &amp; Formulas'!B6)*IF(D87="",0,D87),0))/MAX(1,IFERROR(VLOOKUP(C87,Monsters!$T$4:$AH$15,6,FALSE),0)),1)))*(IFERROR(VLOOKUP(C87,Monsters!$T$4:$AH$15,7,FALSE),0))),0)+IF(AND((E87="OK"),B87="Go AFK"),((IF(B87="Go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AFK",IF(D87="",0,D87),0),Z86/60)*60)),0))*(IFERROR(VLOOKUP(C87,Monsters!$T$4:$AH$15,4,FALSE),0))+(IF(OR(B87&lt;&gt;"Go AFK",IFERROR(VLOOKUP(C87,Monsters!$T$4:$AH$15,6,FALSE),0)=0),0,FLOOR((IF(B87="Go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AFK",IF(D87="",0,D87),0),Z86/60)*60)),0))/MAX(1,IFERROR(VLOOKUP(C87,Monsters!$T$4:$AH$15,6,FALSE),0)),1)))*(IFERROR(VLOOKUP(C87,Monsters!$T$4:$AH$15,7,FALSE),0))),0)))</f>
        <v/>
      </c>
      <c r="J87" s="7">
        <f>MAX(0,J86+IF(AND((E87="OK"),B87="Hunt"),(IF(B87="Hunt",(('Rules &amp; Formulas'!B4*N86*('Rules &amp; Formulas'!B5+O86)*IFERROR(VLOOKUP(C87,Monsters!$T$4:$AH$15,10,FALSE),0)*IFERROR(VLOOKUP(C87,Monsters!$T$4:$AH$15,9,FALSE),0))*'Rules &amp; Formulas'!B6)*IF(D87="",0,D87),0))*(IFERROR(VLOOKUP(C87,Monsters!$T$4:$AH$15,5,FALSE),0)),0)+IF(AND((E87="OK"),B87="Go AFK"),(IF(B87="Go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AFK",IF(D87="",0,D87),0),Z86/60)*60)),0))*(IFERROR(VLOOKUP(C87,Monsters!$T$4:$AH$15,5,FALSE),0)),0)-IF(AND((E87="OK"),OR(B87="Buy upgrade",B87="Forge/Scrapwork buy"),IFERROR(VLOOKUP(C87,Upgrades!$N$4:$T$47,2,FALSE),0)="scraps"),IFERROR(FLOOR(IFERROR(VLOOKUP(C87,Upgrades!$N$4:$T$47,3,FALSE),0)*(IFERROR(VLOOKUP(C87,Upgrades!$N$4:$T$47,4,FALSE),0)^(COUNTIFS($B$3:$B86,"Buy upgrade",$C$3:$C86,C87)+COUNTIFS($B$3:$B86,"Hire hunter",$C$3:$C86,C87)+COUNTIFS($B$3:$B86,"Forge/Scrapwork buy",$C$3:$C86,C87))),1),0),0))</f>
        <v/>
      </c>
      <c r="K87" s="7">
        <f>MAX(0,K86+IF(AND((E87="OK"),B87="Hunt"),IF(C87="Thornpelt Bear",(IF(B87="Hunt",(('Rules &amp; Formulas'!B4*N86*('Rules &amp; Formulas'!B5+O86)*IFERROR(VLOOKUP(C87,Monsters!$T$4:$AH$15,10,FALSE),0)*IFERROR(VLOOKUP(C87,Monsters!$T$4:$AH$15,9,FALSE),0))*'Rules &amp; Formulas'!B6)*IF(D87="",0,D87),0))*0.12,0),0)+IF(AND((E87="OK"),B87="Go AFK"),IF(C87="Thornpelt Bear",(IF(B87="Go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AFK",IF(D87="",0,D87),0),Z86/60)*60)),0))*0.12,0),0))</f>
        <v/>
      </c>
      <c r="L87" s="7">
        <f>MAX(0,L86+IF(AND((E87="OK"),B87="Hunt"),IF(C87="Dire Thornpelt",(IF(B87="Hunt",(('Rules &amp; Formulas'!B4*N86*('Rules &amp; Formulas'!B5+O86)*IFERROR(VLOOKUP(C87,Monsters!$T$4:$AH$15,10,FALSE),0)*IFERROR(VLOOKUP(C87,Monsters!$T$4:$AH$15,9,FALSE),0))*'Rules &amp; Formulas'!B6)*IF(D87="",0,D87),0))*0.1,0),0)+IF(AND((E87="OK"),B87="Go AFK"),IF(C87="Dire Thornpelt",(IF(B87="Go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AFK",IF(D87="",0,D87),0),Z86/60)*60)),0))*0.1,0),0))</f>
        <v/>
      </c>
      <c r="M87" s="7">
        <f>IF(AND((E87="OK"),B87="Go AFK"),MAX(0,MIN(('Rules &amp; Formulas'!B15+25*AJ86),M86+('Rules &amp; Formulas'!B14+0.4*AJ86)*(MIN(IF(B87="Go AFK",IF(D87="",0,D87),0),Z86/60)*60))-(IF(B87="Go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AFK",IF(D87="",0,D87),0),Z86/60)*60)),0))*(IF((IFERROR(VLOOKUP(C87,Monsters!$T$4:$AH$15,8,FALSE),0))=0,0.35,IFERROR(VLOOKUP(C87,Monsters!$T$4:$AH$15,8,FALSE),0))/(1+0.08*AK86))),MIN(('Rules &amp; Formulas'!B15+25*AJ87),M86))</f>
        <v/>
      </c>
      <c r="N87" s="7">
        <f>(1+0.08+0.12*AA87+0.12*AB87+0.16*AC87)</f>
        <v/>
      </c>
      <c r="O87" s="7">
        <f>((AD87&gt;=1)*1*(1+0.3*AE87))</f>
        <v/>
      </c>
      <c r="P87" s="7">
        <f>IF(OR(B87="Hunt",B87="Go AFK"),(('Rules &amp; Formulas'!B4*N86*('Rules &amp; Formulas'!B5+O86)*IFERROR(VLOOKUP(C87,Monsters!$T$4:$AH$15,10,FALSE),0)*IFERROR(VLOOKUP(C87,Monsters!$T$4:$AH$15,9,FALSE),0))*'Rules &amp; Formulas'!B6),"")</f>
        <v/>
      </c>
      <c r="Q87" s="7">
        <f>IF(OR(B87="Hunt",B87="Go AFK"),('Rules &amp; Formulas'!B4*N86*('Rules &amp; Formulas'!B5+O86)*IFERROR(VLOOKUP(C87,Monsters!$T$4:$AH$15,10,FALSE),0)*IFERROR(VLOOKUP(C87,Monsters!$T$4:$AH$15,9,FALSE),0)),"")</f>
        <v/>
      </c>
      <c r="R87" s="7">
        <f>IF(AND((E87="OK"),B87="Hunt"),IF(B87="Hunt",(('Rules &amp; Formulas'!B4*N86*('Rules &amp; Formulas'!B5+O86)*IFERROR(VLOOKUP(C87,Monsters!$T$4:$AH$15,10,FALSE),0)*IFERROR(VLOOKUP(C87,Monsters!$T$4:$AH$15,9,FALSE),0))*'Rules &amp; Formulas'!B6)*IF(D87="",0,D87),0),IF(AND((E87="OK"),B87="Go AFK"),IF(B87="Go AFK",MIN(IF((IF((IFERROR(VLOOKUP(C87,Monsters!$T$4:$AH$15,8,FALSE),0))=0,0.35,IFERROR(VLOOKUP(C87,Monsters!$T$4:$AH$15,8,FALSE),0))/(1+0.08*AK86))&lt;=0,999999,FLOOR(MIN(('Rules &amp; Formulas'!B15+25*AJ86),M86+('Rules &amp; Formulas'!B14+0.4*AJ86)*(MIN(IF(B87="Go AFK",IF(D87="",0,D87),0),Z86/60)*60))/(IF((IFERROR(VLOOKUP(C87,Monsters!$T$4:$AH$15,8,FALSE),0))=0,0.35,IFERROR(VLOOKUP(C87,Monsters!$T$4:$AH$15,8,FALSE),0))/(1+0.08*AK86)),1)),('Rules &amp; Formulas'!B4*N86*('Rules &amp; Formulas'!B5+O86)*IFERROR(VLOOKUP(C87,Monsters!$T$4:$AH$15,10,FALSE),0)*IFERROR(VLOOKUP(C87,Monsters!$T$4:$AH$15,9,FALSE),0))*(MIN(IF(B87="Go AFK",IF(D87="",0,D87),0),Z86/60)*60)),0),0))</f>
        <v/>
      </c>
      <c r="S87" s="7">
        <f>(105/'Rules &amp; Formulas'!B10)*'Rules &amp; Formulas'!B11</f>
        <v/>
      </c>
      <c r="T87" s="7">
        <f>IF(AD86&gt;=1,(MAX(1,ROUND('Rules &amp; Formulas'!B18*(1+0.3*AE86)*(1+0.4*AF86),0)))*(1000/'Rules &amp; Formulas'!B19)*MIN(0.95,'Rules &amp; Formulas'!B20*SQRT(1+0.55*(AG86&gt;=1))),0)</f>
        <v/>
      </c>
      <c r="U87" s="7">
        <f>S87+T87</f>
        <v/>
      </c>
      <c r="V87" s="7">
        <f>IF(I86&gt;=IF((IFERROR(VLOOKUP(C87,Monsters!$T$4:$AH$15,15,FALSE),0))=0,120,IFERROR(VLOOKUP(C87,Monsters!$T$4:$AH$15,15,FALSE),0)),"YES","no")</f>
        <v/>
      </c>
      <c r="W87" s="7">
        <f>IF(AND(B87="Fight boss",E87="OK"),IF((((105/'Rules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Formulas'!B20*SQRT(1+0.55*(AG86&gt;=1))),0)))),"")</f>
        <v/>
      </c>
      <c r="X87" s="7">
        <f>IF(AND(B87="Fight boss",E87="OK"),IF((IF((((105/'Rules &amp; Formulas'!B10)*'Rules &amp; Formulas'!B11+IF(AD86&gt;=1,(MAX(1,ROUND('Rules &amp; Formulas'!B18*(1+0.3*AE86)*(1+0.4*AF86),0)))*(1000/'Rules &amp; Formulas'!B19)*MIN(0.95,'Rules &amp; Formulas'!B20*SQRT(1+0.55*(AG86&gt;=1))),0)))&lt;=0,9999,(IFERROR(VLOOKUP(C87,Monsters!$T$4:$AH$15,2,FALSE),0))/(((105/'Rules &amp; Formulas'!B10)*'Rules &amp; Formulas'!B11+IF(AD86&gt;=1,(MAX(1,ROUND('Rules &amp; Formulas'!B18*(1+0.3*AE86)*(1+0.4*AF86),0)))*(1000/'Rules &amp; Formulas'!B19)*MIN(0.95,'Rules &amp; Formulas'!B20*SQRT(1+0.55*(AG86&gt;=1))),0))))&lt;='Rules &amp; Formulas'!B12),"WIN","LOSE"),"")</f>
        <v/>
      </c>
      <c r="Y87" s="7">
        <f>IF(B87="Go AFK",MIN(IF(B87="Go AFK",IF(D87="",0,D87),0),Z86/60),"")</f>
        <v/>
      </c>
      <c r="Z87" s="7">
        <f>('Rules &amp; Formulas'!B13+30*AI87)</f>
        <v/>
      </c>
      <c r="AA87">
        <f>COUNTIFS($B$3:$B87,"Buy upgrade",$C$3:$C87,"Idle Power")</f>
        <v/>
      </c>
      <c r="AB87">
        <f>COUNTIFS($B$3:$B87,"Buy upgrade",$C$3:$C87,"Iron Blade")</f>
        <v/>
      </c>
      <c r="AC87">
        <f>COUNTIFS($B$3:$B87,"Buy upgrade",$C$3:$C87,"Steel Blade")</f>
        <v/>
      </c>
      <c r="AD87">
        <f>COUNTIFS($B$3:$B87,"Hire hunter",$C$3:$C87,"Briar")+COUNTIFS($B$3:$B87,"Buy upgrade",$C$3:$C87,"Hire Briar")</f>
        <v/>
      </c>
      <c r="AE87">
        <f>COUNTIFS($B$3:$B87,"Buy upgrade",$C$3:$C87,"Hunter Power")</f>
        <v/>
      </c>
      <c r="AF87">
        <f>COUNTIFS($B$3:$B87,"Buy upgrade",$C$3:$C87,"Bigger Hits")</f>
        <v/>
      </c>
      <c r="AG87">
        <f>COUNTIFS($B$3:$B87,"Buy upgrade",$C$3:$C87,"Swift Walk")</f>
        <v/>
      </c>
      <c r="AH87">
        <f>COUNTIFS($B$3:$B87,"Buy upgrade",$C$3:$C87,"Loot Luck")</f>
        <v/>
      </c>
      <c r="AI87">
        <f>COUNTIFS($B$3:$B87,"Buy upgrade",$C$3:$C87,"Offline Cap")</f>
        <v/>
      </c>
      <c r="AJ87">
        <f>COUNTIFS($B$3:$B87,"Buy upgrade",$C$3:$C87,"Bigger Food Stock")</f>
        <v/>
      </c>
      <c r="AK87">
        <f>COUNTIFS($B$3:$B87,"Buy upgrade",$C$3:$C87,"Food Efficiency")</f>
        <v/>
      </c>
    </row>
    <row r="88">
      <c r="A88" t="n">
        <v>86</v>
      </c>
      <c r="B88" s="6" t="n"/>
      <c r="C88" s="6" t="n"/>
      <c r="D88" s="6" t="n"/>
      <c r="E88" s="7">
        <f>IF(B88="","",IF(OR(B88="Hunt",B88="Go AFK"),IF(C88="","Can't","OK"),IF(B88="Fight boss",IF(I87&lt;IF((IFERROR(VLOOKUP(C88,Monsters!$T$4:$AH$15,15,FALSE),0))=0,120,IFERROR(VLOOKUP(C88,Monsters!$T$4:$AH$15,15,FALSE),0)),"Can't","OK"),IF(B88="Hire hunter",IF(AND(C88="Briar",AD87&gt;=1),"Can't",IF(H87&lt;IF(C88="Briar",140,IF(C88="Quill",3650,IF(C88="Moss",4850,IF(C88="Ember",12200,0)))),"Can't","OK")),IF(OR(B88="Buy upgrade",B88="Forge/Scrapwork buy"),IF(IFERROR(VLOOKUP(C88,Upgrades!$N$4:$T$47,2,FALSE),0)="points","Can't",IF(IFERROR(VLOOKUP(C88,Upgrades!$N$4:$T$47,2,FALSE),0)="gold",IF(H87&lt;IFERROR(FLOOR(IFERROR(VLOOKUP(C88,Upgrades!$N$4:$T$47,3,FALSE),0)*(IFERROR(VLOOKUP(C88,Upgrades!$N$4:$T$47,4,FALSE),0)^(COUNTIFS($B$3:$B87,"Buy upgrade",$C$3:$C87,C88)+COUNTIFS($B$3:$B87,"Hire hunter",$C$3:$C87,C88)+COUNTIFS($B$3:$B87,"Forge/Scrapwork buy",$C$3:$C87,C88))),1),0),"Can't","OK"),IF(IFERROR(VLOOKUP(C88,Upgrades!$N$4:$T$47,2,FALSE),0)="scraps",IF(J87&lt;IFERROR(FLOOR(IFERROR(VLOOKUP(C88,Upgrades!$N$4:$T$47,3,FALSE),0)*(IFERROR(VLOOKUP(C88,Upgrades!$N$4:$T$47,4,FALSE),0)^(COUNTIFS($B$3:$B87,"Buy upgrade",$C$3:$C87,C88)+COUNTIFS($B$3:$B87,"Hire hunter",$C$3:$C87,C88)+COUNTIFS($B$3:$B87,"Forge/Scrapwork buy",$C$3:$C87,C88))),1),0),"Can't","OK"),IF(IFERROR(VLOOKUP(C88,Upgrades!$N$4:$T$47,2,FALSE),0)="mats","Can't","OK")))),"Check")))))</f>
        <v/>
      </c>
      <c r="F88" s="7">
        <f>IF(B88="","",IF(AND(B88="Fight boss",I87&lt;IF((IFERROR(VLOOKUP(C88,Monsters!$T$4:$AH$15,15,FALSE),0))=0,120,IFERROR(VLOOKUP(C88,Monsters!$T$4:$AH$15,15,FALSE),0))),"Can't — need "&amp;TEXT(IF((IFERROR(VLOOKUP(C88,Monsters!$T$4:$AH$15,15,FALSE),0))=0,120,IFERROR(VLOOKUP(C88,Monsters!$T$4:$AH$15,15,FALSE),0))-I87,"0.0")&amp;" more Slayer points on the meter",IF(AND(B88="Hire hunter",C88="Briar",AD87&gt;=1),"Can't — already hired",IF(AND(B88="Hire hunter",H87&lt;IF(C88="Briar",140,IF(C88="Quill",3650,IF(C88="Moss",4850,IF(C88="Ember",12200,0))))),"Can't — need "&amp;TEXT(IF(C88="Briar",140,IF(C88="Quill",3650,IF(C88="Moss",4850,IF(C88="Ember",12200,0))))-H87,"0")&amp;" more gold",IF(AND(OR(B88="Buy upgrade",B88="Forge/Scrapwork buy"),IFERROR(VLOOKUP(C88,Upgrades!$N$4:$T$47,2,FALSE),0)="points"),"Can't — Sp-wallet spends not tracked here",IF(AND(OR(B88="Buy upgrade",B88="Forge/Scrapwork buy"),IFERROR(VLOOKUP(C88,Upgrades!$N$4:$T$47,2,FALSE),0)="gold",H87&lt;IFERROR(FLOOR(IFERROR(VLOOKUP(C88,Upgrades!$N$4:$T$47,3,FALSE),0)*(IFERROR(VLOOKUP(C88,Upgrades!$N$4:$T$47,4,FALSE),0)^(COUNTIFS($B$3:$B87,"Buy upgrade",$C$3:$C87,C88)+COUNTIFS($B$3:$B87,"Hire hunter",$C$3:$C87,C88)+COUNTIFS($B$3:$B87,"Forge/Scrapwork buy",$C$3:$C87,C88))),1),0)),"Can't — need "&amp;TEXT(IFERROR(FLOOR(IFERROR(VLOOKUP(C88,Upgrades!$N$4:$T$47,3,FALSE),0)*(IFERROR(VLOOKUP(C88,Upgrades!$N$4:$T$47,4,FALSE),0)^(COUNTIFS($B$3:$B87,"Buy upgrade",$C$3:$C87,C88)+COUNTIFS($B$3:$B87,"Hire hunter",$C$3:$C87,C88)+COUNTIFS($B$3:$B87,"Forge/Scrapwork buy",$C$3:$C87,C88))),1),0)-H87,"0")&amp;" more gold",IF(AND(OR(B88="Buy upgrade",B88="Forge/Scrapwork buy"),IFERROR(VLOOKUP(C88,Upgrades!$N$4:$T$47,2,FALSE),0)="scraps",J87&lt;IFERROR(FLOOR(IFERROR(VLOOKUP(C88,Upgrades!$N$4:$T$47,3,FALSE),0)*(IFERROR(VLOOKUP(C88,Upgrades!$N$4:$T$47,4,FALSE),0)^(COUNTIFS($B$3:$B87,"Buy upgrade",$C$3:$C87,C88)+COUNTIFS($B$3:$B87,"Hire hunter",$C$3:$C87,C88)+COUNTIFS($B$3:$B87,"Forge/Scrapwork buy",$C$3:$C87,C88))),1),0)),"Can't — need "&amp;TEXT(IFERROR(FLOOR(IFERROR(VLOOKUP(C88,Upgrades!$N$4:$T$47,3,FALSE),0)*(IFERROR(VLOOKUP(C88,Upgrades!$N$4:$T$47,4,FALSE),0)^(COUNTIFS($B$3:$B87,"Buy upgrade",$C$3:$C87,C88)+COUNTIFS($B$3:$B87,"Hire hunter",$C$3:$C87,C88)+COUNTIFS($B$3:$B87,"Forge/Scrapwork buy",$C$3:$C87,C88))),1),0)-J87,"0")&amp;" more scraps",IF(AND(B88="Fight boss",E88="OK",(IF((((105/'Rules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Formulas'!B12)),"WIN — boss down, next Level unlocks",IF(AND(B88="Fight boss",E88="OK"),"LOSE — TTK "&amp;TEXT(IF((((105/'Rules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Formulas'!B20*SQRT(1+0.55*(AG87&gt;=1))),0)))),"0")&amp;"s &gt; patience "&amp;TEXT('Rules &amp; Formulas'!B12,"0")&amp;"s (leave resets HP)",IF(B88="Go AFK","AFK resolved (see AFK counted h)","Applied")))))))))</f>
        <v/>
      </c>
      <c r="G88" s="7">
        <f>IF(AND((E88="OK"),B88="Fight boss",(IF((((105/'Rules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Formulas'!B12),C88="Elder Thornpelt"),2,IF(AND((E88="OK"),B88="Fight boss",(IF((((105/'Rules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Formulas'!B12),C88="Ashfang Alpha"),3,G87))</f>
        <v/>
      </c>
      <c r="H88" s="7">
        <f>MAX(0,H87+IF(AND((E88="OK"),B88="Hunt"),(IF(B88="Hunt",(('Rules &amp; Formulas'!B4*N87*('Rules &amp; Formulas'!B5+O87)*IFERROR(VLOOKUP(C88,Monsters!$T$4:$AH$15,10,FALSE),0)*IFERROR(VLOOKUP(C88,Monsters!$T$4:$AH$15,9,FALSE),0))*'Rules &amp; Formulas'!B6)*IF(D88="",0,D88),0))*(IFERROR(VLOOKUP(C88,Monsters!$T$4:$AH$15,3,FALSE),0))*(1+0.1*AH87)+(IF(OR(B88&lt;&gt;"Hunt",IFERROR(VLOOKUP(C88,Monsters!$T$4:$AH$15,6,FALSE),0)=0),0,FLOOR((IF(B88="Hunt",(('Rules &amp; Formulas'!B4*N87*('Rules &amp; Formulas'!B5+O87)*IFERROR(VLOOKUP(C88,Monsters!$T$4:$AH$15,10,FALSE),0)*IFERROR(VLOOKUP(C88,Monsters!$T$4:$AH$15,9,FALSE),0))*'Rules &amp; Formulas'!B6)*IF(D88="",0,D88),0))/MAX(1,IFERROR(VLOOKUP(C88,Monsters!$T$4:$AH$15,6,FALSE),0)),1)))*(IFERROR(VLOOKUP(C88,Monsters!$T$4:$AH$15,7,FALSE),0))*0.5*(1+0.1*AH87),0)+IF(AND((E88="OK"),B88="Go AFK"),(IF(B88="Go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AFK",IF(D88="",0,D88),0),Z87/60)*60)),0))*(IFERROR(VLOOKUP(C88,Monsters!$T$4:$AH$15,3,FALSE),0))*(1+0.1*AH87)+(IF(OR(B88&lt;&gt;"Go AFK",IFERROR(VLOOKUP(C88,Monsters!$T$4:$AH$15,6,FALSE),0)=0),0,FLOOR((IF(B88="Go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AFK",IF(D88="",0,D88),0),Z87/60)*60)),0))/MAX(1,IFERROR(VLOOKUP(C88,Monsters!$T$4:$AH$15,6,FALSE),0)),1)))*(IFERROR(VLOOKUP(C88,Monsters!$T$4:$AH$15,7,FALSE),0))*0.5*(1+0.1*AH87),0)+IF(AND((E88="OK"),B88="Fight boss",(IF((((105/'Rules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Formulas'!B12)),IFERROR(VLOOKUP(C88,Monsters!$T$4:$AH$15,3,FALSE),0),0)-IF(AND((E88="OK"),OR(B88="Buy upgrade",B88="Forge/Scrapwork buy"),IFERROR(VLOOKUP(C88,Upgrades!$N$4:$T$47,2,FALSE),0)="gold"),IFERROR(FLOOR(IFERROR(VLOOKUP(C88,Upgrades!$N$4:$T$47,3,FALSE),0)*(IFERROR(VLOOKUP(C88,Upgrades!$N$4:$T$47,4,FALSE),0)^(COUNTIFS($B$3:$B87,"Buy upgrade",$C$3:$C87,C88)+COUNTIFS($B$3:$B87,"Hire hunter",$C$3:$C87,C88)+COUNTIFS($B$3:$B87,"Forge/Scrapwork buy",$C$3:$C87,C88))),1),0),0)-IF(AND((E88="OK"),B88="Hire hunter"),IF(C88="Briar",140,IF(C88="Quill",3650,IF(C88="Moss",4850,IF(C88="Ember",12200,0)))),0))</f>
        <v/>
      </c>
      <c r="I88" s="7">
        <f>IF(AND((E88="OK"),B88="Fight boss",(IF((((105/'Rules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Formulas'!B12)),0,MIN(IF(G87&lt;=1,120,IF(G87=2,280,600)),I87+IF(AND((E88="OK"),B88="Hunt"),((IF(B88="Hunt",(('Rules &amp; Formulas'!B4*N87*('Rules &amp; Formulas'!B5+O87)*IFERROR(VLOOKUP(C88,Monsters!$T$4:$AH$15,10,FALSE),0)*IFERROR(VLOOKUP(C88,Monsters!$T$4:$AH$15,9,FALSE),0))*'Rules &amp; Formulas'!B6)*IF(D88="",0,D88),0))*(IFERROR(VLOOKUP(C88,Monsters!$T$4:$AH$15,4,FALSE),0))+(IF(OR(B88&lt;&gt;"Hunt",IFERROR(VLOOKUP(C88,Monsters!$T$4:$AH$15,6,FALSE),0)=0),0,FLOOR((IF(B88="Hunt",(('Rules &amp; Formulas'!B4*N87*('Rules &amp; Formulas'!B5+O87)*IFERROR(VLOOKUP(C88,Monsters!$T$4:$AH$15,10,FALSE),0)*IFERROR(VLOOKUP(C88,Monsters!$T$4:$AH$15,9,FALSE),0))*'Rules &amp; Formulas'!B6)*IF(D88="",0,D88),0))/MAX(1,IFERROR(VLOOKUP(C88,Monsters!$T$4:$AH$15,6,FALSE),0)),1)))*(IFERROR(VLOOKUP(C88,Monsters!$T$4:$AH$15,7,FALSE),0))),0)+IF(AND((E88="OK"),B88="Go AFK"),((IF(B88="Go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AFK",IF(D88="",0,D88),0),Z87/60)*60)),0))*(IFERROR(VLOOKUP(C88,Monsters!$T$4:$AH$15,4,FALSE),0))+(IF(OR(B88&lt;&gt;"Go AFK",IFERROR(VLOOKUP(C88,Monsters!$T$4:$AH$15,6,FALSE),0)=0),0,FLOOR((IF(B88="Go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AFK",IF(D88="",0,D88),0),Z87/60)*60)),0))/MAX(1,IFERROR(VLOOKUP(C88,Monsters!$T$4:$AH$15,6,FALSE),0)),1)))*(IFERROR(VLOOKUP(C88,Monsters!$T$4:$AH$15,7,FALSE),0))),0)))</f>
        <v/>
      </c>
      <c r="J88" s="7">
        <f>MAX(0,J87+IF(AND((E88="OK"),B88="Hunt"),(IF(B88="Hunt",(('Rules &amp; Formulas'!B4*N87*('Rules &amp; Formulas'!B5+O87)*IFERROR(VLOOKUP(C88,Monsters!$T$4:$AH$15,10,FALSE),0)*IFERROR(VLOOKUP(C88,Monsters!$T$4:$AH$15,9,FALSE),0))*'Rules &amp; Formulas'!B6)*IF(D88="",0,D88),0))*(IFERROR(VLOOKUP(C88,Monsters!$T$4:$AH$15,5,FALSE),0)),0)+IF(AND((E88="OK"),B88="Go AFK"),(IF(B88="Go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AFK",IF(D88="",0,D88),0),Z87/60)*60)),0))*(IFERROR(VLOOKUP(C88,Monsters!$T$4:$AH$15,5,FALSE),0)),0)-IF(AND((E88="OK"),OR(B88="Buy upgrade",B88="Forge/Scrapwork buy"),IFERROR(VLOOKUP(C88,Upgrades!$N$4:$T$47,2,FALSE),0)="scraps"),IFERROR(FLOOR(IFERROR(VLOOKUP(C88,Upgrades!$N$4:$T$47,3,FALSE),0)*(IFERROR(VLOOKUP(C88,Upgrades!$N$4:$T$47,4,FALSE),0)^(COUNTIFS($B$3:$B87,"Buy upgrade",$C$3:$C87,C88)+COUNTIFS($B$3:$B87,"Hire hunter",$C$3:$C87,C88)+COUNTIFS($B$3:$B87,"Forge/Scrapwork buy",$C$3:$C87,C88))),1),0),0))</f>
        <v/>
      </c>
      <c r="K88" s="7">
        <f>MAX(0,K87+IF(AND((E88="OK"),B88="Hunt"),IF(C88="Thornpelt Bear",(IF(B88="Hunt",(('Rules &amp; Formulas'!B4*N87*('Rules &amp; Formulas'!B5+O87)*IFERROR(VLOOKUP(C88,Monsters!$T$4:$AH$15,10,FALSE),0)*IFERROR(VLOOKUP(C88,Monsters!$T$4:$AH$15,9,FALSE),0))*'Rules &amp; Formulas'!B6)*IF(D88="",0,D88),0))*0.12,0),0)+IF(AND((E88="OK"),B88="Go AFK"),IF(C88="Thornpelt Bear",(IF(B88="Go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AFK",IF(D88="",0,D88),0),Z87/60)*60)),0))*0.12,0),0))</f>
        <v/>
      </c>
      <c r="L88" s="7">
        <f>MAX(0,L87+IF(AND((E88="OK"),B88="Hunt"),IF(C88="Dire Thornpelt",(IF(B88="Hunt",(('Rules &amp; Formulas'!B4*N87*('Rules &amp; Formulas'!B5+O87)*IFERROR(VLOOKUP(C88,Monsters!$T$4:$AH$15,10,FALSE),0)*IFERROR(VLOOKUP(C88,Monsters!$T$4:$AH$15,9,FALSE),0))*'Rules &amp; Formulas'!B6)*IF(D88="",0,D88),0))*0.1,0),0)+IF(AND((E88="OK"),B88="Go AFK"),IF(C88="Dire Thornpelt",(IF(B88="Go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AFK",IF(D88="",0,D88),0),Z87/60)*60)),0))*0.1,0),0))</f>
        <v/>
      </c>
      <c r="M88" s="7">
        <f>IF(AND((E88="OK"),B88="Go AFK"),MAX(0,MIN(('Rules &amp; Formulas'!B15+25*AJ87),M87+('Rules &amp; Formulas'!B14+0.4*AJ87)*(MIN(IF(B88="Go AFK",IF(D88="",0,D88),0),Z87/60)*60))-(IF(B88="Go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AFK",IF(D88="",0,D88),0),Z87/60)*60)),0))*(IF((IFERROR(VLOOKUP(C88,Monsters!$T$4:$AH$15,8,FALSE),0))=0,0.35,IFERROR(VLOOKUP(C88,Monsters!$T$4:$AH$15,8,FALSE),0))/(1+0.08*AK87))),MIN(('Rules &amp; Formulas'!B15+25*AJ88),M87))</f>
        <v/>
      </c>
      <c r="N88" s="7">
        <f>(1+0.08+0.12*AA88+0.12*AB88+0.16*AC88)</f>
        <v/>
      </c>
      <c r="O88" s="7">
        <f>((AD88&gt;=1)*1*(1+0.3*AE88))</f>
        <v/>
      </c>
      <c r="P88" s="7">
        <f>IF(OR(B88="Hunt",B88="Go AFK"),(('Rules &amp; Formulas'!B4*N87*('Rules &amp; Formulas'!B5+O87)*IFERROR(VLOOKUP(C88,Monsters!$T$4:$AH$15,10,FALSE),0)*IFERROR(VLOOKUP(C88,Monsters!$T$4:$AH$15,9,FALSE),0))*'Rules &amp; Formulas'!B6),"")</f>
        <v/>
      </c>
      <c r="Q88" s="7">
        <f>IF(OR(B88="Hunt",B88="Go AFK"),('Rules &amp; Formulas'!B4*N87*('Rules &amp; Formulas'!B5+O87)*IFERROR(VLOOKUP(C88,Monsters!$T$4:$AH$15,10,FALSE),0)*IFERROR(VLOOKUP(C88,Monsters!$T$4:$AH$15,9,FALSE),0)),"")</f>
        <v/>
      </c>
      <c r="R88" s="7">
        <f>IF(AND((E88="OK"),B88="Hunt"),IF(B88="Hunt",(('Rules &amp; Formulas'!B4*N87*('Rules &amp; Formulas'!B5+O87)*IFERROR(VLOOKUP(C88,Monsters!$T$4:$AH$15,10,FALSE),0)*IFERROR(VLOOKUP(C88,Monsters!$T$4:$AH$15,9,FALSE),0))*'Rules &amp; Formulas'!B6)*IF(D88="",0,D88),0),IF(AND((E88="OK"),B88="Go AFK"),IF(B88="Go AFK",MIN(IF((IF((IFERROR(VLOOKUP(C88,Monsters!$T$4:$AH$15,8,FALSE),0))=0,0.35,IFERROR(VLOOKUP(C88,Monsters!$T$4:$AH$15,8,FALSE),0))/(1+0.08*AK87))&lt;=0,999999,FLOOR(MIN(('Rules &amp; Formulas'!B15+25*AJ87),M87+('Rules &amp; Formulas'!B14+0.4*AJ87)*(MIN(IF(B88="Go AFK",IF(D88="",0,D88),0),Z87/60)*60))/(IF((IFERROR(VLOOKUP(C88,Monsters!$T$4:$AH$15,8,FALSE),0))=0,0.35,IFERROR(VLOOKUP(C88,Monsters!$T$4:$AH$15,8,FALSE),0))/(1+0.08*AK87)),1)),('Rules &amp; Formulas'!B4*N87*('Rules &amp; Formulas'!B5+O87)*IFERROR(VLOOKUP(C88,Monsters!$T$4:$AH$15,10,FALSE),0)*IFERROR(VLOOKUP(C88,Monsters!$T$4:$AH$15,9,FALSE),0))*(MIN(IF(B88="Go AFK",IF(D88="",0,D88),0),Z87/60)*60)),0),0))</f>
        <v/>
      </c>
      <c r="S88" s="7">
        <f>(105/'Rules &amp; Formulas'!B10)*'Rules &amp; Formulas'!B11</f>
        <v/>
      </c>
      <c r="T88" s="7">
        <f>IF(AD87&gt;=1,(MAX(1,ROUND('Rules &amp; Formulas'!B18*(1+0.3*AE87)*(1+0.4*AF87),0)))*(1000/'Rules &amp; Formulas'!B19)*MIN(0.95,'Rules &amp; Formulas'!B20*SQRT(1+0.55*(AG87&gt;=1))),0)</f>
        <v/>
      </c>
      <c r="U88" s="7">
        <f>S88+T88</f>
        <v/>
      </c>
      <c r="V88" s="7">
        <f>IF(I87&gt;=IF((IFERROR(VLOOKUP(C88,Monsters!$T$4:$AH$15,15,FALSE),0))=0,120,IFERROR(VLOOKUP(C88,Monsters!$T$4:$AH$15,15,FALSE),0)),"YES","no")</f>
        <v/>
      </c>
      <c r="W88" s="7">
        <f>IF(AND(B88="Fight boss",E88="OK"),IF((((105/'Rules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Formulas'!B20*SQRT(1+0.55*(AG87&gt;=1))),0)))),"")</f>
        <v/>
      </c>
      <c r="X88" s="7">
        <f>IF(AND(B88="Fight boss",E88="OK"),IF((IF((((105/'Rules &amp; Formulas'!B10)*'Rules &amp; Formulas'!B11+IF(AD87&gt;=1,(MAX(1,ROUND('Rules &amp; Formulas'!B18*(1+0.3*AE87)*(1+0.4*AF87),0)))*(1000/'Rules &amp; Formulas'!B19)*MIN(0.95,'Rules &amp; Formulas'!B20*SQRT(1+0.55*(AG87&gt;=1))),0)))&lt;=0,9999,(IFERROR(VLOOKUP(C88,Monsters!$T$4:$AH$15,2,FALSE),0))/(((105/'Rules &amp; Formulas'!B10)*'Rules &amp; Formulas'!B11+IF(AD87&gt;=1,(MAX(1,ROUND('Rules &amp; Formulas'!B18*(1+0.3*AE87)*(1+0.4*AF87),0)))*(1000/'Rules &amp; Formulas'!B19)*MIN(0.95,'Rules &amp; Formulas'!B20*SQRT(1+0.55*(AG87&gt;=1))),0))))&lt;='Rules &amp; Formulas'!B12),"WIN","LOSE"),"")</f>
        <v/>
      </c>
      <c r="Y88" s="7">
        <f>IF(B88="Go AFK",MIN(IF(B88="Go AFK",IF(D88="",0,D88),0),Z87/60),"")</f>
        <v/>
      </c>
      <c r="Z88" s="7">
        <f>('Rules &amp; Formulas'!B13+30*AI88)</f>
        <v/>
      </c>
      <c r="AA88">
        <f>COUNTIFS($B$3:$B88,"Buy upgrade",$C$3:$C88,"Idle Power")</f>
        <v/>
      </c>
      <c r="AB88">
        <f>COUNTIFS($B$3:$B88,"Buy upgrade",$C$3:$C88,"Iron Blade")</f>
        <v/>
      </c>
      <c r="AC88">
        <f>COUNTIFS($B$3:$B88,"Buy upgrade",$C$3:$C88,"Steel Blade")</f>
        <v/>
      </c>
      <c r="AD88">
        <f>COUNTIFS($B$3:$B88,"Hire hunter",$C$3:$C88,"Briar")+COUNTIFS($B$3:$B88,"Buy upgrade",$C$3:$C88,"Hire Briar")</f>
        <v/>
      </c>
      <c r="AE88">
        <f>COUNTIFS($B$3:$B88,"Buy upgrade",$C$3:$C88,"Hunter Power")</f>
        <v/>
      </c>
      <c r="AF88">
        <f>COUNTIFS($B$3:$B88,"Buy upgrade",$C$3:$C88,"Bigger Hits")</f>
        <v/>
      </c>
      <c r="AG88">
        <f>COUNTIFS($B$3:$B88,"Buy upgrade",$C$3:$C88,"Swift Walk")</f>
        <v/>
      </c>
      <c r="AH88">
        <f>COUNTIFS($B$3:$B88,"Buy upgrade",$C$3:$C88,"Loot Luck")</f>
        <v/>
      </c>
      <c r="AI88">
        <f>COUNTIFS($B$3:$B88,"Buy upgrade",$C$3:$C88,"Offline Cap")</f>
        <v/>
      </c>
      <c r="AJ88">
        <f>COUNTIFS($B$3:$B88,"Buy upgrade",$C$3:$C88,"Bigger Food Stock")</f>
        <v/>
      </c>
      <c r="AK88">
        <f>COUNTIFS($B$3:$B88,"Buy upgrade",$C$3:$C88,"Food Efficiency")</f>
        <v/>
      </c>
    </row>
    <row r="89">
      <c r="A89" t="n">
        <v>87</v>
      </c>
      <c r="B89" s="6" t="n"/>
      <c r="C89" s="6" t="n"/>
      <c r="D89" s="6" t="n"/>
      <c r="E89" s="7">
        <f>IF(B89="","",IF(OR(B89="Hunt",B89="Go AFK"),IF(C89="","Can't","OK"),IF(B89="Fight boss",IF(I88&lt;IF((IFERROR(VLOOKUP(C89,Monsters!$T$4:$AH$15,15,FALSE),0))=0,120,IFERROR(VLOOKUP(C89,Monsters!$T$4:$AH$15,15,FALSE),0)),"Can't","OK"),IF(B89="Hire hunter",IF(AND(C89="Briar",AD88&gt;=1),"Can't",IF(H88&lt;IF(C89="Briar",140,IF(C89="Quill",3650,IF(C89="Moss",4850,IF(C89="Ember",12200,0)))),"Can't","OK")),IF(OR(B89="Buy upgrade",B89="Forge/Scrapwork buy"),IF(IFERROR(VLOOKUP(C89,Upgrades!$N$4:$T$47,2,FALSE),0)="points","Can't",IF(IFERROR(VLOOKUP(C89,Upgrades!$N$4:$T$47,2,FALSE),0)="gold",IF(H88&lt;IFERROR(FLOOR(IFERROR(VLOOKUP(C89,Upgrades!$N$4:$T$47,3,FALSE),0)*(IFERROR(VLOOKUP(C89,Upgrades!$N$4:$T$47,4,FALSE),0)^(COUNTIFS($B$3:$B88,"Buy upgrade",$C$3:$C88,C89)+COUNTIFS($B$3:$B88,"Hire hunter",$C$3:$C88,C89)+COUNTIFS($B$3:$B88,"Forge/Scrapwork buy",$C$3:$C88,C89))),1),0),"Can't","OK"),IF(IFERROR(VLOOKUP(C89,Upgrades!$N$4:$T$47,2,FALSE),0)="scraps",IF(J88&lt;IFERROR(FLOOR(IFERROR(VLOOKUP(C89,Upgrades!$N$4:$T$47,3,FALSE),0)*(IFERROR(VLOOKUP(C89,Upgrades!$N$4:$T$47,4,FALSE),0)^(COUNTIFS($B$3:$B88,"Buy upgrade",$C$3:$C88,C89)+COUNTIFS($B$3:$B88,"Hire hunter",$C$3:$C88,C89)+COUNTIFS($B$3:$B88,"Forge/Scrapwork buy",$C$3:$C88,C89))),1),0),"Can't","OK"),IF(IFERROR(VLOOKUP(C89,Upgrades!$N$4:$T$47,2,FALSE),0)="mats","Can't","OK")))),"Check")))))</f>
        <v/>
      </c>
      <c r="F89" s="7">
        <f>IF(B89="","",IF(AND(B89="Fight boss",I88&lt;IF((IFERROR(VLOOKUP(C89,Monsters!$T$4:$AH$15,15,FALSE),0))=0,120,IFERROR(VLOOKUP(C89,Monsters!$T$4:$AH$15,15,FALSE),0))),"Can't — need "&amp;TEXT(IF((IFERROR(VLOOKUP(C89,Monsters!$T$4:$AH$15,15,FALSE),0))=0,120,IFERROR(VLOOKUP(C89,Monsters!$T$4:$AH$15,15,FALSE),0))-I88,"0.0")&amp;" more Slayer points on the meter",IF(AND(B89="Hire hunter",C89="Briar",AD88&gt;=1),"Can't — already hired",IF(AND(B89="Hire hunter",H88&lt;IF(C89="Briar",140,IF(C89="Quill",3650,IF(C89="Moss",4850,IF(C89="Ember",12200,0))))),"Can't — need "&amp;TEXT(IF(C89="Briar",140,IF(C89="Quill",3650,IF(C89="Moss",4850,IF(C89="Ember",12200,0))))-H88,"0")&amp;" more gold",IF(AND(OR(B89="Buy upgrade",B89="Forge/Scrapwork buy"),IFERROR(VLOOKUP(C89,Upgrades!$N$4:$T$47,2,FALSE),0)="points"),"Can't — Sp-wallet spends not tracked here",IF(AND(OR(B89="Buy upgrade",B89="Forge/Scrapwork buy"),IFERROR(VLOOKUP(C89,Upgrades!$N$4:$T$47,2,FALSE),0)="gold",H88&lt;IFERROR(FLOOR(IFERROR(VLOOKUP(C89,Upgrades!$N$4:$T$47,3,FALSE),0)*(IFERROR(VLOOKUP(C89,Upgrades!$N$4:$T$47,4,FALSE),0)^(COUNTIFS($B$3:$B88,"Buy upgrade",$C$3:$C88,C89)+COUNTIFS($B$3:$B88,"Hire hunter",$C$3:$C88,C89)+COUNTIFS($B$3:$B88,"Forge/Scrapwork buy",$C$3:$C88,C89))),1),0)),"Can't — need "&amp;TEXT(IFERROR(FLOOR(IFERROR(VLOOKUP(C89,Upgrades!$N$4:$T$47,3,FALSE),0)*(IFERROR(VLOOKUP(C89,Upgrades!$N$4:$T$47,4,FALSE),0)^(COUNTIFS($B$3:$B88,"Buy upgrade",$C$3:$C88,C89)+COUNTIFS($B$3:$B88,"Hire hunter",$C$3:$C88,C89)+COUNTIFS($B$3:$B88,"Forge/Scrapwork buy",$C$3:$C88,C89))),1),0)-H88,"0")&amp;" more gold",IF(AND(OR(B89="Buy upgrade",B89="Forge/Scrapwork buy"),IFERROR(VLOOKUP(C89,Upgrades!$N$4:$T$47,2,FALSE),0)="scraps",J88&lt;IFERROR(FLOOR(IFERROR(VLOOKUP(C89,Upgrades!$N$4:$T$47,3,FALSE),0)*(IFERROR(VLOOKUP(C89,Upgrades!$N$4:$T$47,4,FALSE),0)^(COUNTIFS($B$3:$B88,"Buy upgrade",$C$3:$C88,C89)+COUNTIFS($B$3:$B88,"Hire hunter",$C$3:$C88,C89)+COUNTIFS($B$3:$B88,"Forge/Scrapwork buy",$C$3:$C88,C89))),1),0)),"Can't — need "&amp;TEXT(IFERROR(FLOOR(IFERROR(VLOOKUP(C89,Upgrades!$N$4:$T$47,3,FALSE),0)*(IFERROR(VLOOKUP(C89,Upgrades!$N$4:$T$47,4,FALSE),0)^(COUNTIFS($B$3:$B88,"Buy upgrade",$C$3:$C88,C89)+COUNTIFS($B$3:$B88,"Hire hunter",$C$3:$C88,C89)+COUNTIFS($B$3:$B88,"Forge/Scrapwork buy",$C$3:$C88,C89))),1),0)-J88,"0")&amp;" more scraps",IF(AND(B89="Fight boss",E89="OK",(IF((((105/'Rules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Formulas'!B12)),"WIN — boss down, next Level unlocks",IF(AND(B89="Fight boss",E89="OK"),"LOSE — TTK "&amp;TEXT(IF((((105/'Rules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Formulas'!B20*SQRT(1+0.55*(AG88&gt;=1))),0)))),"0")&amp;"s &gt; patience "&amp;TEXT('Rules &amp; Formulas'!B12,"0")&amp;"s (leave resets HP)",IF(B89="Go AFK","AFK resolved (see AFK counted h)","Applied")))))))))</f>
        <v/>
      </c>
      <c r="G89" s="7">
        <f>IF(AND((E89="OK"),B89="Fight boss",(IF((((105/'Rules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Formulas'!B12),C89="Elder Thornpelt"),2,IF(AND((E89="OK"),B89="Fight boss",(IF((((105/'Rules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Formulas'!B12),C89="Ashfang Alpha"),3,G88))</f>
        <v/>
      </c>
      <c r="H89" s="7">
        <f>MAX(0,H88+IF(AND((E89="OK"),B89="Hunt"),(IF(B89="Hunt",(('Rules &amp; Formulas'!B4*N88*('Rules &amp; Formulas'!B5+O88)*IFERROR(VLOOKUP(C89,Monsters!$T$4:$AH$15,10,FALSE),0)*IFERROR(VLOOKUP(C89,Monsters!$T$4:$AH$15,9,FALSE),0))*'Rules &amp; Formulas'!B6)*IF(D89="",0,D89),0))*(IFERROR(VLOOKUP(C89,Monsters!$T$4:$AH$15,3,FALSE),0))*(1+0.1*AH88)+(IF(OR(B89&lt;&gt;"Hunt",IFERROR(VLOOKUP(C89,Monsters!$T$4:$AH$15,6,FALSE),0)=0),0,FLOOR((IF(B89="Hunt",(('Rules &amp; Formulas'!B4*N88*('Rules &amp; Formulas'!B5+O88)*IFERROR(VLOOKUP(C89,Monsters!$T$4:$AH$15,10,FALSE),0)*IFERROR(VLOOKUP(C89,Monsters!$T$4:$AH$15,9,FALSE),0))*'Rules &amp; Formulas'!B6)*IF(D89="",0,D89),0))/MAX(1,IFERROR(VLOOKUP(C89,Monsters!$T$4:$AH$15,6,FALSE),0)),1)))*(IFERROR(VLOOKUP(C89,Monsters!$T$4:$AH$15,7,FALSE),0))*0.5*(1+0.1*AH88),0)+IF(AND((E89="OK"),B89="Go AFK"),(IF(B89="Go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AFK",IF(D89="",0,D89),0),Z88/60)*60)),0))*(IFERROR(VLOOKUP(C89,Monsters!$T$4:$AH$15,3,FALSE),0))*(1+0.1*AH88)+(IF(OR(B89&lt;&gt;"Go AFK",IFERROR(VLOOKUP(C89,Monsters!$T$4:$AH$15,6,FALSE),0)=0),0,FLOOR((IF(B89="Go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AFK",IF(D89="",0,D89),0),Z88/60)*60)),0))/MAX(1,IFERROR(VLOOKUP(C89,Monsters!$T$4:$AH$15,6,FALSE),0)),1)))*(IFERROR(VLOOKUP(C89,Monsters!$T$4:$AH$15,7,FALSE),0))*0.5*(1+0.1*AH88),0)+IF(AND((E89="OK"),B89="Fight boss",(IF((((105/'Rules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Formulas'!B12)),IFERROR(VLOOKUP(C89,Monsters!$T$4:$AH$15,3,FALSE),0),0)-IF(AND((E89="OK"),OR(B89="Buy upgrade",B89="Forge/Scrapwork buy"),IFERROR(VLOOKUP(C89,Upgrades!$N$4:$T$47,2,FALSE),0)="gold"),IFERROR(FLOOR(IFERROR(VLOOKUP(C89,Upgrades!$N$4:$T$47,3,FALSE),0)*(IFERROR(VLOOKUP(C89,Upgrades!$N$4:$T$47,4,FALSE),0)^(COUNTIFS($B$3:$B88,"Buy upgrade",$C$3:$C88,C89)+COUNTIFS($B$3:$B88,"Hire hunter",$C$3:$C88,C89)+COUNTIFS($B$3:$B88,"Forge/Scrapwork buy",$C$3:$C88,C89))),1),0),0)-IF(AND((E89="OK"),B89="Hire hunter"),IF(C89="Briar",140,IF(C89="Quill",3650,IF(C89="Moss",4850,IF(C89="Ember",12200,0)))),0))</f>
        <v/>
      </c>
      <c r="I89" s="7">
        <f>IF(AND((E89="OK"),B89="Fight boss",(IF((((105/'Rules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Formulas'!B12)),0,MIN(IF(G88&lt;=1,120,IF(G88=2,280,600)),I88+IF(AND((E89="OK"),B89="Hunt"),((IF(B89="Hunt",(('Rules &amp; Formulas'!B4*N88*('Rules &amp; Formulas'!B5+O88)*IFERROR(VLOOKUP(C89,Monsters!$T$4:$AH$15,10,FALSE),0)*IFERROR(VLOOKUP(C89,Monsters!$T$4:$AH$15,9,FALSE),0))*'Rules &amp; Formulas'!B6)*IF(D89="",0,D89),0))*(IFERROR(VLOOKUP(C89,Monsters!$T$4:$AH$15,4,FALSE),0))+(IF(OR(B89&lt;&gt;"Hunt",IFERROR(VLOOKUP(C89,Monsters!$T$4:$AH$15,6,FALSE),0)=0),0,FLOOR((IF(B89="Hunt",(('Rules &amp; Formulas'!B4*N88*('Rules &amp; Formulas'!B5+O88)*IFERROR(VLOOKUP(C89,Monsters!$T$4:$AH$15,10,FALSE),0)*IFERROR(VLOOKUP(C89,Monsters!$T$4:$AH$15,9,FALSE),0))*'Rules &amp; Formulas'!B6)*IF(D89="",0,D89),0))/MAX(1,IFERROR(VLOOKUP(C89,Monsters!$T$4:$AH$15,6,FALSE),0)),1)))*(IFERROR(VLOOKUP(C89,Monsters!$T$4:$AH$15,7,FALSE),0))),0)+IF(AND((E89="OK"),B89="Go AFK"),((IF(B89="Go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AFK",IF(D89="",0,D89),0),Z88/60)*60)),0))*(IFERROR(VLOOKUP(C89,Monsters!$T$4:$AH$15,4,FALSE),0))+(IF(OR(B89&lt;&gt;"Go AFK",IFERROR(VLOOKUP(C89,Monsters!$T$4:$AH$15,6,FALSE),0)=0),0,FLOOR((IF(B89="Go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AFK",IF(D89="",0,D89),0),Z88/60)*60)),0))/MAX(1,IFERROR(VLOOKUP(C89,Monsters!$T$4:$AH$15,6,FALSE),0)),1)))*(IFERROR(VLOOKUP(C89,Monsters!$T$4:$AH$15,7,FALSE),0))),0)))</f>
        <v/>
      </c>
      <c r="J89" s="7">
        <f>MAX(0,J88+IF(AND((E89="OK"),B89="Hunt"),(IF(B89="Hunt",(('Rules &amp; Formulas'!B4*N88*('Rules &amp; Formulas'!B5+O88)*IFERROR(VLOOKUP(C89,Monsters!$T$4:$AH$15,10,FALSE),0)*IFERROR(VLOOKUP(C89,Monsters!$T$4:$AH$15,9,FALSE),0))*'Rules &amp; Formulas'!B6)*IF(D89="",0,D89),0))*(IFERROR(VLOOKUP(C89,Monsters!$T$4:$AH$15,5,FALSE),0)),0)+IF(AND((E89="OK"),B89="Go AFK"),(IF(B89="Go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AFK",IF(D89="",0,D89),0),Z88/60)*60)),0))*(IFERROR(VLOOKUP(C89,Monsters!$T$4:$AH$15,5,FALSE),0)),0)-IF(AND((E89="OK"),OR(B89="Buy upgrade",B89="Forge/Scrapwork buy"),IFERROR(VLOOKUP(C89,Upgrades!$N$4:$T$47,2,FALSE),0)="scraps"),IFERROR(FLOOR(IFERROR(VLOOKUP(C89,Upgrades!$N$4:$T$47,3,FALSE),0)*(IFERROR(VLOOKUP(C89,Upgrades!$N$4:$T$47,4,FALSE),0)^(COUNTIFS($B$3:$B88,"Buy upgrade",$C$3:$C88,C89)+COUNTIFS($B$3:$B88,"Hire hunter",$C$3:$C88,C89)+COUNTIFS($B$3:$B88,"Forge/Scrapwork buy",$C$3:$C88,C89))),1),0),0))</f>
        <v/>
      </c>
      <c r="K89" s="7">
        <f>MAX(0,K88+IF(AND((E89="OK"),B89="Hunt"),IF(C89="Thornpelt Bear",(IF(B89="Hunt",(('Rules &amp; Formulas'!B4*N88*('Rules &amp; Formulas'!B5+O88)*IFERROR(VLOOKUP(C89,Monsters!$T$4:$AH$15,10,FALSE),0)*IFERROR(VLOOKUP(C89,Monsters!$T$4:$AH$15,9,FALSE),0))*'Rules &amp; Formulas'!B6)*IF(D89="",0,D89),0))*0.12,0),0)+IF(AND((E89="OK"),B89="Go AFK"),IF(C89="Thornpelt Bear",(IF(B89="Go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AFK",IF(D89="",0,D89),0),Z88/60)*60)),0))*0.12,0),0))</f>
        <v/>
      </c>
      <c r="L89" s="7">
        <f>MAX(0,L88+IF(AND((E89="OK"),B89="Hunt"),IF(C89="Dire Thornpelt",(IF(B89="Hunt",(('Rules &amp; Formulas'!B4*N88*('Rules &amp; Formulas'!B5+O88)*IFERROR(VLOOKUP(C89,Monsters!$T$4:$AH$15,10,FALSE),0)*IFERROR(VLOOKUP(C89,Monsters!$T$4:$AH$15,9,FALSE),0))*'Rules &amp; Formulas'!B6)*IF(D89="",0,D89),0))*0.1,0),0)+IF(AND((E89="OK"),B89="Go AFK"),IF(C89="Dire Thornpelt",(IF(B89="Go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AFK",IF(D89="",0,D89),0),Z88/60)*60)),0))*0.1,0),0))</f>
        <v/>
      </c>
      <c r="M89" s="7">
        <f>IF(AND((E89="OK"),B89="Go AFK"),MAX(0,MIN(('Rules &amp; Formulas'!B15+25*AJ88),M88+('Rules &amp; Formulas'!B14+0.4*AJ88)*(MIN(IF(B89="Go AFK",IF(D89="",0,D89),0),Z88/60)*60))-(IF(B89="Go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AFK",IF(D89="",0,D89),0),Z88/60)*60)),0))*(IF((IFERROR(VLOOKUP(C89,Monsters!$T$4:$AH$15,8,FALSE),0))=0,0.35,IFERROR(VLOOKUP(C89,Monsters!$T$4:$AH$15,8,FALSE),0))/(1+0.08*AK88))),MIN(('Rules &amp; Formulas'!B15+25*AJ89),M88))</f>
        <v/>
      </c>
      <c r="N89" s="7">
        <f>(1+0.08+0.12*AA89+0.12*AB89+0.16*AC89)</f>
        <v/>
      </c>
      <c r="O89" s="7">
        <f>((AD89&gt;=1)*1*(1+0.3*AE89))</f>
        <v/>
      </c>
      <c r="P89" s="7">
        <f>IF(OR(B89="Hunt",B89="Go AFK"),(('Rules &amp; Formulas'!B4*N88*('Rules &amp; Formulas'!B5+O88)*IFERROR(VLOOKUP(C89,Monsters!$T$4:$AH$15,10,FALSE),0)*IFERROR(VLOOKUP(C89,Monsters!$T$4:$AH$15,9,FALSE),0))*'Rules &amp; Formulas'!B6),"")</f>
        <v/>
      </c>
      <c r="Q89" s="7">
        <f>IF(OR(B89="Hunt",B89="Go AFK"),('Rules &amp; Formulas'!B4*N88*('Rules &amp; Formulas'!B5+O88)*IFERROR(VLOOKUP(C89,Monsters!$T$4:$AH$15,10,FALSE),0)*IFERROR(VLOOKUP(C89,Monsters!$T$4:$AH$15,9,FALSE),0)),"")</f>
        <v/>
      </c>
      <c r="R89" s="7">
        <f>IF(AND((E89="OK"),B89="Hunt"),IF(B89="Hunt",(('Rules &amp; Formulas'!B4*N88*('Rules &amp; Formulas'!B5+O88)*IFERROR(VLOOKUP(C89,Monsters!$T$4:$AH$15,10,FALSE),0)*IFERROR(VLOOKUP(C89,Monsters!$T$4:$AH$15,9,FALSE),0))*'Rules &amp; Formulas'!B6)*IF(D89="",0,D89),0),IF(AND((E89="OK"),B89="Go AFK"),IF(B89="Go AFK",MIN(IF((IF((IFERROR(VLOOKUP(C89,Monsters!$T$4:$AH$15,8,FALSE),0))=0,0.35,IFERROR(VLOOKUP(C89,Monsters!$T$4:$AH$15,8,FALSE),0))/(1+0.08*AK88))&lt;=0,999999,FLOOR(MIN(('Rules &amp; Formulas'!B15+25*AJ88),M88+('Rules &amp; Formulas'!B14+0.4*AJ88)*(MIN(IF(B89="Go AFK",IF(D89="",0,D89),0),Z88/60)*60))/(IF((IFERROR(VLOOKUP(C89,Monsters!$T$4:$AH$15,8,FALSE),0))=0,0.35,IFERROR(VLOOKUP(C89,Monsters!$T$4:$AH$15,8,FALSE),0))/(1+0.08*AK88)),1)),('Rules &amp; Formulas'!B4*N88*('Rules &amp; Formulas'!B5+O88)*IFERROR(VLOOKUP(C89,Monsters!$T$4:$AH$15,10,FALSE),0)*IFERROR(VLOOKUP(C89,Monsters!$T$4:$AH$15,9,FALSE),0))*(MIN(IF(B89="Go AFK",IF(D89="",0,D89),0),Z88/60)*60)),0),0))</f>
        <v/>
      </c>
      <c r="S89" s="7">
        <f>(105/'Rules &amp; Formulas'!B10)*'Rules &amp; Formulas'!B11</f>
        <v/>
      </c>
      <c r="T89" s="7">
        <f>IF(AD88&gt;=1,(MAX(1,ROUND('Rules &amp; Formulas'!B18*(1+0.3*AE88)*(1+0.4*AF88),0)))*(1000/'Rules &amp; Formulas'!B19)*MIN(0.95,'Rules &amp; Formulas'!B20*SQRT(1+0.55*(AG88&gt;=1))),0)</f>
        <v/>
      </c>
      <c r="U89" s="7">
        <f>S89+T89</f>
        <v/>
      </c>
      <c r="V89" s="7">
        <f>IF(I88&gt;=IF((IFERROR(VLOOKUP(C89,Monsters!$T$4:$AH$15,15,FALSE),0))=0,120,IFERROR(VLOOKUP(C89,Monsters!$T$4:$AH$15,15,FALSE),0)),"YES","no")</f>
        <v/>
      </c>
      <c r="W89" s="7">
        <f>IF(AND(B89="Fight boss",E89="OK"),IF((((105/'Rules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Formulas'!B20*SQRT(1+0.55*(AG88&gt;=1))),0)))),"")</f>
        <v/>
      </c>
      <c r="X89" s="7">
        <f>IF(AND(B89="Fight boss",E89="OK"),IF((IF((((105/'Rules &amp; Formulas'!B10)*'Rules &amp; Formulas'!B11+IF(AD88&gt;=1,(MAX(1,ROUND('Rules &amp; Formulas'!B18*(1+0.3*AE88)*(1+0.4*AF88),0)))*(1000/'Rules &amp; Formulas'!B19)*MIN(0.95,'Rules &amp; Formulas'!B20*SQRT(1+0.55*(AG88&gt;=1))),0)))&lt;=0,9999,(IFERROR(VLOOKUP(C89,Monsters!$T$4:$AH$15,2,FALSE),0))/(((105/'Rules &amp; Formulas'!B10)*'Rules &amp; Formulas'!B11+IF(AD88&gt;=1,(MAX(1,ROUND('Rules &amp; Formulas'!B18*(1+0.3*AE88)*(1+0.4*AF88),0)))*(1000/'Rules &amp; Formulas'!B19)*MIN(0.95,'Rules &amp; Formulas'!B20*SQRT(1+0.55*(AG88&gt;=1))),0))))&lt;='Rules &amp; Formulas'!B12),"WIN","LOSE"),"")</f>
        <v/>
      </c>
      <c r="Y89" s="7">
        <f>IF(B89="Go AFK",MIN(IF(B89="Go AFK",IF(D89="",0,D89),0),Z88/60),"")</f>
        <v/>
      </c>
      <c r="Z89" s="7">
        <f>('Rules &amp; Formulas'!B13+30*AI89)</f>
        <v/>
      </c>
      <c r="AA89">
        <f>COUNTIFS($B$3:$B89,"Buy upgrade",$C$3:$C89,"Idle Power")</f>
        <v/>
      </c>
      <c r="AB89">
        <f>COUNTIFS($B$3:$B89,"Buy upgrade",$C$3:$C89,"Iron Blade")</f>
        <v/>
      </c>
      <c r="AC89">
        <f>COUNTIFS($B$3:$B89,"Buy upgrade",$C$3:$C89,"Steel Blade")</f>
        <v/>
      </c>
      <c r="AD89">
        <f>COUNTIFS($B$3:$B89,"Hire hunter",$C$3:$C89,"Briar")+COUNTIFS($B$3:$B89,"Buy upgrade",$C$3:$C89,"Hire Briar")</f>
        <v/>
      </c>
      <c r="AE89">
        <f>COUNTIFS($B$3:$B89,"Buy upgrade",$C$3:$C89,"Hunter Power")</f>
        <v/>
      </c>
      <c r="AF89">
        <f>COUNTIFS($B$3:$B89,"Buy upgrade",$C$3:$C89,"Bigger Hits")</f>
        <v/>
      </c>
      <c r="AG89">
        <f>COUNTIFS($B$3:$B89,"Buy upgrade",$C$3:$C89,"Swift Walk")</f>
        <v/>
      </c>
      <c r="AH89">
        <f>COUNTIFS($B$3:$B89,"Buy upgrade",$C$3:$C89,"Loot Luck")</f>
        <v/>
      </c>
      <c r="AI89">
        <f>COUNTIFS($B$3:$B89,"Buy upgrade",$C$3:$C89,"Offline Cap")</f>
        <v/>
      </c>
      <c r="AJ89">
        <f>COUNTIFS($B$3:$B89,"Buy upgrade",$C$3:$C89,"Bigger Food Stock")</f>
        <v/>
      </c>
      <c r="AK89">
        <f>COUNTIFS($B$3:$B89,"Buy upgrade",$C$3:$C89,"Food Efficiency")</f>
        <v/>
      </c>
    </row>
    <row r="90">
      <c r="A90" t="n">
        <v>88</v>
      </c>
      <c r="B90" s="6" t="n"/>
      <c r="C90" s="6" t="n"/>
      <c r="D90" s="6" t="n"/>
      <c r="E90" s="7">
        <f>IF(B90="","",IF(OR(B90="Hunt",B90="Go AFK"),IF(C90="","Can't","OK"),IF(B90="Fight boss",IF(I89&lt;IF((IFERROR(VLOOKUP(C90,Monsters!$T$4:$AH$15,15,FALSE),0))=0,120,IFERROR(VLOOKUP(C90,Monsters!$T$4:$AH$15,15,FALSE),0)),"Can't","OK"),IF(B90="Hire hunter",IF(AND(C90="Briar",AD89&gt;=1),"Can't",IF(H89&lt;IF(C90="Briar",140,IF(C90="Quill",3650,IF(C90="Moss",4850,IF(C90="Ember",12200,0)))),"Can't","OK")),IF(OR(B90="Buy upgrade",B90="Forge/Scrapwork buy"),IF(IFERROR(VLOOKUP(C90,Upgrades!$N$4:$T$47,2,FALSE),0)="points","Can't",IF(IFERROR(VLOOKUP(C90,Upgrades!$N$4:$T$47,2,FALSE),0)="gold",IF(H89&lt;IFERROR(FLOOR(IFERROR(VLOOKUP(C90,Upgrades!$N$4:$T$47,3,FALSE),0)*(IFERROR(VLOOKUP(C90,Upgrades!$N$4:$T$47,4,FALSE),0)^(COUNTIFS($B$3:$B89,"Buy upgrade",$C$3:$C89,C90)+COUNTIFS($B$3:$B89,"Hire hunter",$C$3:$C89,C90)+COUNTIFS($B$3:$B89,"Forge/Scrapwork buy",$C$3:$C89,C90))),1),0),"Can't","OK"),IF(IFERROR(VLOOKUP(C90,Upgrades!$N$4:$T$47,2,FALSE),0)="scraps",IF(J89&lt;IFERROR(FLOOR(IFERROR(VLOOKUP(C90,Upgrades!$N$4:$T$47,3,FALSE),0)*(IFERROR(VLOOKUP(C90,Upgrades!$N$4:$T$47,4,FALSE),0)^(COUNTIFS($B$3:$B89,"Buy upgrade",$C$3:$C89,C90)+COUNTIFS($B$3:$B89,"Hire hunter",$C$3:$C89,C90)+COUNTIFS($B$3:$B89,"Forge/Scrapwork buy",$C$3:$C89,C90))),1),0),"Can't","OK"),IF(IFERROR(VLOOKUP(C90,Upgrades!$N$4:$T$47,2,FALSE),0)="mats","Can't","OK")))),"Check")))))</f>
        <v/>
      </c>
      <c r="F90" s="7">
        <f>IF(B90="","",IF(AND(B90="Fight boss",I89&lt;IF((IFERROR(VLOOKUP(C90,Monsters!$T$4:$AH$15,15,FALSE),0))=0,120,IFERROR(VLOOKUP(C90,Monsters!$T$4:$AH$15,15,FALSE),0))),"Can't — need "&amp;TEXT(IF((IFERROR(VLOOKUP(C90,Monsters!$T$4:$AH$15,15,FALSE),0))=0,120,IFERROR(VLOOKUP(C90,Monsters!$T$4:$AH$15,15,FALSE),0))-I89,"0.0")&amp;" more Slayer points on the meter",IF(AND(B90="Hire hunter",C90="Briar",AD89&gt;=1),"Can't — already hired",IF(AND(B90="Hire hunter",H89&lt;IF(C90="Briar",140,IF(C90="Quill",3650,IF(C90="Moss",4850,IF(C90="Ember",12200,0))))),"Can't — need "&amp;TEXT(IF(C90="Briar",140,IF(C90="Quill",3650,IF(C90="Moss",4850,IF(C90="Ember",12200,0))))-H89,"0")&amp;" more gold",IF(AND(OR(B90="Buy upgrade",B90="Forge/Scrapwork buy"),IFERROR(VLOOKUP(C90,Upgrades!$N$4:$T$47,2,FALSE),0)="points"),"Can't — Sp-wallet spends not tracked here",IF(AND(OR(B90="Buy upgrade",B90="Forge/Scrapwork buy"),IFERROR(VLOOKUP(C90,Upgrades!$N$4:$T$47,2,FALSE),0)="gold",H89&lt;IFERROR(FLOOR(IFERROR(VLOOKUP(C90,Upgrades!$N$4:$T$47,3,FALSE),0)*(IFERROR(VLOOKUP(C90,Upgrades!$N$4:$T$47,4,FALSE),0)^(COUNTIFS($B$3:$B89,"Buy upgrade",$C$3:$C89,C90)+COUNTIFS($B$3:$B89,"Hire hunter",$C$3:$C89,C90)+COUNTIFS($B$3:$B89,"Forge/Scrapwork buy",$C$3:$C89,C90))),1),0)),"Can't — need "&amp;TEXT(IFERROR(FLOOR(IFERROR(VLOOKUP(C90,Upgrades!$N$4:$T$47,3,FALSE),0)*(IFERROR(VLOOKUP(C90,Upgrades!$N$4:$T$47,4,FALSE),0)^(COUNTIFS($B$3:$B89,"Buy upgrade",$C$3:$C89,C90)+COUNTIFS($B$3:$B89,"Hire hunter",$C$3:$C89,C90)+COUNTIFS($B$3:$B89,"Forge/Scrapwork buy",$C$3:$C89,C90))),1),0)-H89,"0")&amp;" more gold",IF(AND(OR(B90="Buy upgrade",B90="Forge/Scrapwork buy"),IFERROR(VLOOKUP(C90,Upgrades!$N$4:$T$47,2,FALSE),0)="scraps",J89&lt;IFERROR(FLOOR(IFERROR(VLOOKUP(C90,Upgrades!$N$4:$T$47,3,FALSE),0)*(IFERROR(VLOOKUP(C90,Upgrades!$N$4:$T$47,4,FALSE),0)^(COUNTIFS($B$3:$B89,"Buy upgrade",$C$3:$C89,C90)+COUNTIFS($B$3:$B89,"Hire hunter",$C$3:$C89,C90)+COUNTIFS($B$3:$B89,"Forge/Scrapwork buy",$C$3:$C89,C90))),1),0)),"Can't — need "&amp;TEXT(IFERROR(FLOOR(IFERROR(VLOOKUP(C90,Upgrades!$N$4:$T$47,3,FALSE),0)*(IFERROR(VLOOKUP(C90,Upgrades!$N$4:$T$47,4,FALSE),0)^(COUNTIFS($B$3:$B89,"Buy upgrade",$C$3:$C89,C90)+COUNTIFS($B$3:$B89,"Hire hunter",$C$3:$C89,C90)+COUNTIFS($B$3:$B89,"Forge/Scrapwork buy",$C$3:$C89,C90))),1),0)-J89,"0")&amp;" more scraps",IF(AND(B90="Fight boss",E90="OK",(IF((((105/'Rules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Formulas'!B12)),"WIN — boss down, next Level unlocks",IF(AND(B90="Fight boss",E90="OK"),"LOSE — TTK "&amp;TEXT(IF((((105/'Rules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Formulas'!B20*SQRT(1+0.55*(AG89&gt;=1))),0)))),"0")&amp;"s &gt; patience "&amp;TEXT('Rules &amp; Formulas'!B12,"0")&amp;"s (leave resets HP)",IF(B90="Go AFK","AFK resolved (see AFK counted h)","Applied")))))))))</f>
        <v/>
      </c>
      <c r="G90" s="7">
        <f>IF(AND((E90="OK"),B90="Fight boss",(IF((((105/'Rules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Formulas'!B12),C90="Elder Thornpelt"),2,IF(AND((E90="OK"),B90="Fight boss",(IF((((105/'Rules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Formulas'!B12),C90="Ashfang Alpha"),3,G89))</f>
        <v/>
      </c>
      <c r="H90" s="7">
        <f>MAX(0,H89+IF(AND((E90="OK"),B90="Hunt"),(IF(B90="Hunt",(('Rules &amp; Formulas'!B4*N89*('Rules &amp; Formulas'!B5+O89)*IFERROR(VLOOKUP(C90,Monsters!$T$4:$AH$15,10,FALSE),0)*IFERROR(VLOOKUP(C90,Monsters!$T$4:$AH$15,9,FALSE),0))*'Rules &amp; Formulas'!B6)*IF(D90="",0,D90),0))*(IFERROR(VLOOKUP(C90,Monsters!$T$4:$AH$15,3,FALSE),0))*(1+0.1*AH89)+(IF(OR(B90&lt;&gt;"Hunt",IFERROR(VLOOKUP(C90,Monsters!$T$4:$AH$15,6,FALSE),0)=0),0,FLOOR((IF(B90="Hunt",(('Rules &amp; Formulas'!B4*N89*('Rules &amp; Formulas'!B5+O89)*IFERROR(VLOOKUP(C90,Monsters!$T$4:$AH$15,10,FALSE),0)*IFERROR(VLOOKUP(C90,Monsters!$T$4:$AH$15,9,FALSE),0))*'Rules &amp; Formulas'!B6)*IF(D90="",0,D90),0))/MAX(1,IFERROR(VLOOKUP(C90,Monsters!$T$4:$AH$15,6,FALSE),0)),1)))*(IFERROR(VLOOKUP(C90,Monsters!$T$4:$AH$15,7,FALSE),0))*0.5*(1+0.1*AH89),0)+IF(AND((E90="OK"),B90="Go AFK"),(IF(B90="Go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AFK",IF(D90="",0,D90),0),Z89/60)*60)),0))*(IFERROR(VLOOKUP(C90,Monsters!$T$4:$AH$15,3,FALSE),0))*(1+0.1*AH89)+(IF(OR(B90&lt;&gt;"Go AFK",IFERROR(VLOOKUP(C90,Monsters!$T$4:$AH$15,6,FALSE),0)=0),0,FLOOR((IF(B90="Go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AFK",IF(D90="",0,D90),0),Z89/60)*60)),0))/MAX(1,IFERROR(VLOOKUP(C90,Monsters!$T$4:$AH$15,6,FALSE),0)),1)))*(IFERROR(VLOOKUP(C90,Monsters!$T$4:$AH$15,7,FALSE),0))*0.5*(1+0.1*AH89),0)+IF(AND((E90="OK"),B90="Fight boss",(IF((((105/'Rules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Formulas'!B12)),IFERROR(VLOOKUP(C90,Monsters!$T$4:$AH$15,3,FALSE),0),0)-IF(AND((E90="OK"),OR(B90="Buy upgrade",B90="Forge/Scrapwork buy"),IFERROR(VLOOKUP(C90,Upgrades!$N$4:$T$47,2,FALSE),0)="gold"),IFERROR(FLOOR(IFERROR(VLOOKUP(C90,Upgrades!$N$4:$T$47,3,FALSE),0)*(IFERROR(VLOOKUP(C90,Upgrades!$N$4:$T$47,4,FALSE),0)^(COUNTIFS($B$3:$B89,"Buy upgrade",$C$3:$C89,C90)+COUNTIFS($B$3:$B89,"Hire hunter",$C$3:$C89,C90)+COUNTIFS($B$3:$B89,"Forge/Scrapwork buy",$C$3:$C89,C90))),1),0),0)-IF(AND((E90="OK"),B90="Hire hunter"),IF(C90="Briar",140,IF(C90="Quill",3650,IF(C90="Moss",4850,IF(C90="Ember",12200,0)))),0))</f>
        <v/>
      </c>
      <c r="I90" s="7">
        <f>IF(AND((E90="OK"),B90="Fight boss",(IF((((105/'Rules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Formulas'!B12)),0,MIN(IF(G89&lt;=1,120,IF(G89=2,280,600)),I89+IF(AND((E90="OK"),B90="Hunt"),((IF(B90="Hunt",(('Rules &amp; Formulas'!B4*N89*('Rules &amp; Formulas'!B5+O89)*IFERROR(VLOOKUP(C90,Monsters!$T$4:$AH$15,10,FALSE),0)*IFERROR(VLOOKUP(C90,Monsters!$T$4:$AH$15,9,FALSE),0))*'Rules &amp; Formulas'!B6)*IF(D90="",0,D90),0))*(IFERROR(VLOOKUP(C90,Monsters!$T$4:$AH$15,4,FALSE),0))+(IF(OR(B90&lt;&gt;"Hunt",IFERROR(VLOOKUP(C90,Monsters!$T$4:$AH$15,6,FALSE),0)=0),0,FLOOR((IF(B90="Hunt",(('Rules &amp; Formulas'!B4*N89*('Rules &amp; Formulas'!B5+O89)*IFERROR(VLOOKUP(C90,Monsters!$T$4:$AH$15,10,FALSE),0)*IFERROR(VLOOKUP(C90,Monsters!$T$4:$AH$15,9,FALSE),0))*'Rules &amp; Formulas'!B6)*IF(D90="",0,D90),0))/MAX(1,IFERROR(VLOOKUP(C90,Monsters!$T$4:$AH$15,6,FALSE),0)),1)))*(IFERROR(VLOOKUP(C90,Monsters!$T$4:$AH$15,7,FALSE),0))),0)+IF(AND((E90="OK"),B90="Go AFK"),((IF(B90="Go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AFK",IF(D90="",0,D90),0),Z89/60)*60)),0))*(IFERROR(VLOOKUP(C90,Monsters!$T$4:$AH$15,4,FALSE),0))+(IF(OR(B90&lt;&gt;"Go AFK",IFERROR(VLOOKUP(C90,Monsters!$T$4:$AH$15,6,FALSE),0)=0),0,FLOOR((IF(B90="Go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AFK",IF(D90="",0,D90),0),Z89/60)*60)),0))/MAX(1,IFERROR(VLOOKUP(C90,Monsters!$T$4:$AH$15,6,FALSE),0)),1)))*(IFERROR(VLOOKUP(C90,Monsters!$T$4:$AH$15,7,FALSE),0))),0)))</f>
        <v/>
      </c>
      <c r="J90" s="7">
        <f>MAX(0,J89+IF(AND((E90="OK"),B90="Hunt"),(IF(B90="Hunt",(('Rules &amp; Formulas'!B4*N89*('Rules &amp; Formulas'!B5+O89)*IFERROR(VLOOKUP(C90,Monsters!$T$4:$AH$15,10,FALSE),0)*IFERROR(VLOOKUP(C90,Monsters!$T$4:$AH$15,9,FALSE),0))*'Rules &amp; Formulas'!B6)*IF(D90="",0,D90),0))*(IFERROR(VLOOKUP(C90,Monsters!$T$4:$AH$15,5,FALSE),0)),0)+IF(AND((E90="OK"),B90="Go AFK"),(IF(B90="Go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AFK",IF(D90="",0,D90),0),Z89/60)*60)),0))*(IFERROR(VLOOKUP(C90,Monsters!$T$4:$AH$15,5,FALSE),0)),0)-IF(AND((E90="OK"),OR(B90="Buy upgrade",B90="Forge/Scrapwork buy"),IFERROR(VLOOKUP(C90,Upgrades!$N$4:$T$47,2,FALSE),0)="scraps"),IFERROR(FLOOR(IFERROR(VLOOKUP(C90,Upgrades!$N$4:$T$47,3,FALSE),0)*(IFERROR(VLOOKUP(C90,Upgrades!$N$4:$T$47,4,FALSE),0)^(COUNTIFS($B$3:$B89,"Buy upgrade",$C$3:$C89,C90)+COUNTIFS($B$3:$B89,"Hire hunter",$C$3:$C89,C90)+COUNTIFS($B$3:$B89,"Forge/Scrapwork buy",$C$3:$C89,C90))),1),0),0))</f>
        <v/>
      </c>
      <c r="K90" s="7">
        <f>MAX(0,K89+IF(AND((E90="OK"),B90="Hunt"),IF(C90="Thornpelt Bear",(IF(B90="Hunt",(('Rules &amp; Formulas'!B4*N89*('Rules &amp; Formulas'!B5+O89)*IFERROR(VLOOKUP(C90,Monsters!$T$4:$AH$15,10,FALSE),0)*IFERROR(VLOOKUP(C90,Monsters!$T$4:$AH$15,9,FALSE),0))*'Rules &amp; Formulas'!B6)*IF(D90="",0,D90),0))*0.12,0),0)+IF(AND((E90="OK"),B90="Go AFK"),IF(C90="Thornpelt Bear",(IF(B90="Go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AFK",IF(D90="",0,D90),0),Z89/60)*60)),0))*0.12,0),0))</f>
        <v/>
      </c>
      <c r="L90" s="7">
        <f>MAX(0,L89+IF(AND((E90="OK"),B90="Hunt"),IF(C90="Dire Thornpelt",(IF(B90="Hunt",(('Rules &amp; Formulas'!B4*N89*('Rules &amp; Formulas'!B5+O89)*IFERROR(VLOOKUP(C90,Monsters!$T$4:$AH$15,10,FALSE),0)*IFERROR(VLOOKUP(C90,Monsters!$T$4:$AH$15,9,FALSE),0))*'Rules &amp; Formulas'!B6)*IF(D90="",0,D90),0))*0.1,0),0)+IF(AND((E90="OK"),B90="Go AFK"),IF(C90="Dire Thornpelt",(IF(B90="Go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AFK",IF(D90="",0,D90),0),Z89/60)*60)),0))*0.1,0),0))</f>
        <v/>
      </c>
      <c r="M90" s="7">
        <f>IF(AND((E90="OK"),B90="Go AFK"),MAX(0,MIN(('Rules &amp; Formulas'!B15+25*AJ89),M89+('Rules &amp; Formulas'!B14+0.4*AJ89)*(MIN(IF(B90="Go AFK",IF(D90="",0,D90),0),Z89/60)*60))-(IF(B90="Go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AFK",IF(D90="",0,D90),0),Z89/60)*60)),0))*(IF((IFERROR(VLOOKUP(C90,Monsters!$T$4:$AH$15,8,FALSE),0))=0,0.35,IFERROR(VLOOKUP(C90,Monsters!$T$4:$AH$15,8,FALSE),0))/(1+0.08*AK89))),MIN(('Rules &amp; Formulas'!B15+25*AJ90),M89))</f>
        <v/>
      </c>
      <c r="N90" s="7">
        <f>(1+0.08+0.12*AA90+0.12*AB90+0.16*AC90)</f>
        <v/>
      </c>
      <c r="O90" s="7">
        <f>((AD90&gt;=1)*1*(1+0.3*AE90))</f>
        <v/>
      </c>
      <c r="P90" s="7">
        <f>IF(OR(B90="Hunt",B90="Go AFK"),(('Rules &amp; Formulas'!B4*N89*('Rules &amp; Formulas'!B5+O89)*IFERROR(VLOOKUP(C90,Monsters!$T$4:$AH$15,10,FALSE),0)*IFERROR(VLOOKUP(C90,Monsters!$T$4:$AH$15,9,FALSE),0))*'Rules &amp; Formulas'!B6),"")</f>
        <v/>
      </c>
      <c r="Q90" s="7">
        <f>IF(OR(B90="Hunt",B90="Go AFK"),('Rules &amp; Formulas'!B4*N89*('Rules &amp; Formulas'!B5+O89)*IFERROR(VLOOKUP(C90,Monsters!$T$4:$AH$15,10,FALSE),0)*IFERROR(VLOOKUP(C90,Monsters!$T$4:$AH$15,9,FALSE),0)),"")</f>
        <v/>
      </c>
      <c r="R90" s="7">
        <f>IF(AND((E90="OK"),B90="Hunt"),IF(B90="Hunt",(('Rules &amp; Formulas'!B4*N89*('Rules &amp; Formulas'!B5+O89)*IFERROR(VLOOKUP(C90,Monsters!$T$4:$AH$15,10,FALSE),0)*IFERROR(VLOOKUP(C90,Monsters!$T$4:$AH$15,9,FALSE),0))*'Rules &amp; Formulas'!B6)*IF(D90="",0,D90),0),IF(AND((E90="OK"),B90="Go AFK"),IF(B90="Go AFK",MIN(IF((IF((IFERROR(VLOOKUP(C90,Monsters!$T$4:$AH$15,8,FALSE),0))=0,0.35,IFERROR(VLOOKUP(C90,Monsters!$T$4:$AH$15,8,FALSE),0))/(1+0.08*AK89))&lt;=0,999999,FLOOR(MIN(('Rules &amp; Formulas'!B15+25*AJ89),M89+('Rules &amp; Formulas'!B14+0.4*AJ89)*(MIN(IF(B90="Go AFK",IF(D90="",0,D90),0),Z89/60)*60))/(IF((IFERROR(VLOOKUP(C90,Monsters!$T$4:$AH$15,8,FALSE),0))=0,0.35,IFERROR(VLOOKUP(C90,Monsters!$T$4:$AH$15,8,FALSE),0))/(1+0.08*AK89)),1)),('Rules &amp; Formulas'!B4*N89*('Rules &amp; Formulas'!B5+O89)*IFERROR(VLOOKUP(C90,Monsters!$T$4:$AH$15,10,FALSE),0)*IFERROR(VLOOKUP(C90,Monsters!$T$4:$AH$15,9,FALSE),0))*(MIN(IF(B90="Go AFK",IF(D90="",0,D90),0),Z89/60)*60)),0),0))</f>
        <v/>
      </c>
      <c r="S90" s="7">
        <f>(105/'Rules &amp; Formulas'!B10)*'Rules &amp; Formulas'!B11</f>
        <v/>
      </c>
      <c r="T90" s="7">
        <f>IF(AD89&gt;=1,(MAX(1,ROUND('Rules &amp; Formulas'!B18*(1+0.3*AE89)*(1+0.4*AF89),0)))*(1000/'Rules &amp; Formulas'!B19)*MIN(0.95,'Rules &amp; Formulas'!B20*SQRT(1+0.55*(AG89&gt;=1))),0)</f>
        <v/>
      </c>
      <c r="U90" s="7">
        <f>S90+T90</f>
        <v/>
      </c>
      <c r="V90" s="7">
        <f>IF(I89&gt;=IF((IFERROR(VLOOKUP(C90,Monsters!$T$4:$AH$15,15,FALSE),0))=0,120,IFERROR(VLOOKUP(C90,Monsters!$T$4:$AH$15,15,FALSE),0)),"YES","no")</f>
        <v/>
      </c>
      <c r="W90" s="7">
        <f>IF(AND(B90="Fight boss",E90="OK"),IF((((105/'Rules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Formulas'!B20*SQRT(1+0.55*(AG89&gt;=1))),0)))),"")</f>
        <v/>
      </c>
      <c r="X90" s="7">
        <f>IF(AND(B90="Fight boss",E90="OK"),IF((IF((((105/'Rules &amp; Formulas'!B10)*'Rules &amp; Formulas'!B11+IF(AD89&gt;=1,(MAX(1,ROUND('Rules &amp; Formulas'!B18*(1+0.3*AE89)*(1+0.4*AF89),0)))*(1000/'Rules &amp; Formulas'!B19)*MIN(0.95,'Rules &amp; Formulas'!B20*SQRT(1+0.55*(AG89&gt;=1))),0)))&lt;=0,9999,(IFERROR(VLOOKUP(C90,Monsters!$T$4:$AH$15,2,FALSE),0))/(((105/'Rules &amp; Formulas'!B10)*'Rules &amp; Formulas'!B11+IF(AD89&gt;=1,(MAX(1,ROUND('Rules &amp; Formulas'!B18*(1+0.3*AE89)*(1+0.4*AF89),0)))*(1000/'Rules &amp; Formulas'!B19)*MIN(0.95,'Rules &amp; Formulas'!B20*SQRT(1+0.55*(AG89&gt;=1))),0))))&lt;='Rules &amp; Formulas'!B12),"WIN","LOSE"),"")</f>
        <v/>
      </c>
      <c r="Y90" s="7">
        <f>IF(B90="Go AFK",MIN(IF(B90="Go AFK",IF(D90="",0,D90),0),Z89/60),"")</f>
        <v/>
      </c>
      <c r="Z90" s="7">
        <f>('Rules &amp; Formulas'!B13+30*AI90)</f>
        <v/>
      </c>
      <c r="AA90">
        <f>COUNTIFS($B$3:$B90,"Buy upgrade",$C$3:$C90,"Idle Power")</f>
        <v/>
      </c>
      <c r="AB90">
        <f>COUNTIFS($B$3:$B90,"Buy upgrade",$C$3:$C90,"Iron Blade")</f>
        <v/>
      </c>
      <c r="AC90">
        <f>COUNTIFS($B$3:$B90,"Buy upgrade",$C$3:$C90,"Steel Blade")</f>
        <v/>
      </c>
      <c r="AD90">
        <f>COUNTIFS($B$3:$B90,"Hire hunter",$C$3:$C90,"Briar")+COUNTIFS($B$3:$B90,"Buy upgrade",$C$3:$C90,"Hire Briar")</f>
        <v/>
      </c>
      <c r="AE90">
        <f>COUNTIFS($B$3:$B90,"Buy upgrade",$C$3:$C90,"Hunter Power")</f>
        <v/>
      </c>
      <c r="AF90">
        <f>COUNTIFS($B$3:$B90,"Buy upgrade",$C$3:$C90,"Bigger Hits")</f>
        <v/>
      </c>
      <c r="AG90">
        <f>COUNTIFS($B$3:$B90,"Buy upgrade",$C$3:$C90,"Swift Walk")</f>
        <v/>
      </c>
      <c r="AH90">
        <f>COUNTIFS($B$3:$B90,"Buy upgrade",$C$3:$C90,"Loot Luck")</f>
        <v/>
      </c>
      <c r="AI90">
        <f>COUNTIFS($B$3:$B90,"Buy upgrade",$C$3:$C90,"Offline Cap")</f>
        <v/>
      </c>
      <c r="AJ90">
        <f>COUNTIFS($B$3:$B90,"Buy upgrade",$C$3:$C90,"Bigger Food Stock")</f>
        <v/>
      </c>
      <c r="AK90">
        <f>COUNTIFS($B$3:$B90,"Buy upgrade",$C$3:$C90,"Food Efficiency")</f>
        <v/>
      </c>
    </row>
    <row r="91">
      <c r="A91" t="n">
        <v>89</v>
      </c>
      <c r="B91" s="6" t="n"/>
      <c r="C91" s="6" t="n"/>
      <c r="D91" s="6" t="n"/>
      <c r="E91" s="7">
        <f>IF(B91="","",IF(OR(B91="Hunt",B91="Go AFK"),IF(C91="","Can't","OK"),IF(B91="Fight boss",IF(I90&lt;IF((IFERROR(VLOOKUP(C91,Monsters!$T$4:$AH$15,15,FALSE),0))=0,120,IFERROR(VLOOKUP(C91,Monsters!$T$4:$AH$15,15,FALSE),0)),"Can't","OK"),IF(B91="Hire hunter",IF(AND(C91="Briar",AD90&gt;=1),"Can't",IF(H90&lt;IF(C91="Briar",140,IF(C91="Quill",3650,IF(C91="Moss",4850,IF(C91="Ember",12200,0)))),"Can't","OK")),IF(OR(B91="Buy upgrade",B91="Forge/Scrapwork buy"),IF(IFERROR(VLOOKUP(C91,Upgrades!$N$4:$T$47,2,FALSE),0)="points","Can't",IF(IFERROR(VLOOKUP(C91,Upgrades!$N$4:$T$47,2,FALSE),0)="gold",IF(H90&lt;IFERROR(FLOOR(IFERROR(VLOOKUP(C91,Upgrades!$N$4:$T$47,3,FALSE),0)*(IFERROR(VLOOKUP(C91,Upgrades!$N$4:$T$47,4,FALSE),0)^(COUNTIFS($B$3:$B90,"Buy upgrade",$C$3:$C90,C91)+COUNTIFS($B$3:$B90,"Hire hunter",$C$3:$C90,C91)+COUNTIFS($B$3:$B90,"Forge/Scrapwork buy",$C$3:$C90,C91))),1),0),"Can't","OK"),IF(IFERROR(VLOOKUP(C91,Upgrades!$N$4:$T$47,2,FALSE),0)="scraps",IF(J90&lt;IFERROR(FLOOR(IFERROR(VLOOKUP(C91,Upgrades!$N$4:$T$47,3,FALSE),0)*(IFERROR(VLOOKUP(C91,Upgrades!$N$4:$T$47,4,FALSE),0)^(COUNTIFS($B$3:$B90,"Buy upgrade",$C$3:$C90,C91)+COUNTIFS($B$3:$B90,"Hire hunter",$C$3:$C90,C91)+COUNTIFS($B$3:$B90,"Forge/Scrapwork buy",$C$3:$C90,C91))),1),0),"Can't","OK"),IF(IFERROR(VLOOKUP(C91,Upgrades!$N$4:$T$47,2,FALSE),0)="mats","Can't","OK")))),"Check")))))</f>
        <v/>
      </c>
      <c r="F91" s="7">
        <f>IF(B91="","",IF(AND(B91="Fight boss",I90&lt;IF((IFERROR(VLOOKUP(C91,Monsters!$T$4:$AH$15,15,FALSE),0))=0,120,IFERROR(VLOOKUP(C91,Monsters!$T$4:$AH$15,15,FALSE),0))),"Can't — need "&amp;TEXT(IF((IFERROR(VLOOKUP(C91,Monsters!$T$4:$AH$15,15,FALSE),0))=0,120,IFERROR(VLOOKUP(C91,Monsters!$T$4:$AH$15,15,FALSE),0))-I90,"0.0")&amp;" more Slayer points on the meter",IF(AND(B91="Hire hunter",C91="Briar",AD90&gt;=1),"Can't — already hired",IF(AND(B91="Hire hunter",H90&lt;IF(C91="Briar",140,IF(C91="Quill",3650,IF(C91="Moss",4850,IF(C91="Ember",12200,0))))),"Can't — need "&amp;TEXT(IF(C91="Briar",140,IF(C91="Quill",3650,IF(C91="Moss",4850,IF(C91="Ember",12200,0))))-H90,"0")&amp;" more gold",IF(AND(OR(B91="Buy upgrade",B91="Forge/Scrapwork buy"),IFERROR(VLOOKUP(C91,Upgrades!$N$4:$T$47,2,FALSE),0)="points"),"Can't — Sp-wallet spends not tracked here",IF(AND(OR(B91="Buy upgrade",B91="Forge/Scrapwork buy"),IFERROR(VLOOKUP(C91,Upgrades!$N$4:$T$47,2,FALSE),0)="gold",H90&lt;IFERROR(FLOOR(IFERROR(VLOOKUP(C91,Upgrades!$N$4:$T$47,3,FALSE),0)*(IFERROR(VLOOKUP(C91,Upgrades!$N$4:$T$47,4,FALSE),0)^(COUNTIFS($B$3:$B90,"Buy upgrade",$C$3:$C90,C91)+COUNTIFS($B$3:$B90,"Hire hunter",$C$3:$C90,C91)+COUNTIFS($B$3:$B90,"Forge/Scrapwork buy",$C$3:$C90,C91))),1),0)),"Can't — need "&amp;TEXT(IFERROR(FLOOR(IFERROR(VLOOKUP(C91,Upgrades!$N$4:$T$47,3,FALSE),0)*(IFERROR(VLOOKUP(C91,Upgrades!$N$4:$T$47,4,FALSE),0)^(COUNTIFS($B$3:$B90,"Buy upgrade",$C$3:$C90,C91)+COUNTIFS($B$3:$B90,"Hire hunter",$C$3:$C90,C91)+COUNTIFS($B$3:$B90,"Forge/Scrapwork buy",$C$3:$C90,C91))),1),0)-H90,"0")&amp;" more gold",IF(AND(OR(B91="Buy upgrade",B91="Forge/Scrapwork buy"),IFERROR(VLOOKUP(C91,Upgrades!$N$4:$T$47,2,FALSE),0)="scraps",J90&lt;IFERROR(FLOOR(IFERROR(VLOOKUP(C91,Upgrades!$N$4:$T$47,3,FALSE),0)*(IFERROR(VLOOKUP(C91,Upgrades!$N$4:$T$47,4,FALSE),0)^(COUNTIFS($B$3:$B90,"Buy upgrade",$C$3:$C90,C91)+COUNTIFS($B$3:$B90,"Hire hunter",$C$3:$C90,C91)+COUNTIFS($B$3:$B90,"Forge/Scrapwork buy",$C$3:$C90,C91))),1),0)),"Can't — need "&amp;TEXT(IFERROR(FLOOR(IFERROR(VLOOKUP(C91,Upgrades!$N$4:$T$47,3,FALSE),0)*(IFERROR(VLOOKUP(C91,Upgrades!$N$4:$T$47,4,FALSE),0)^(COUNTIFS($B$3:$B90,"Buy upgrade",$C$3:$C90,C91)+COUNTIFS($B$3:$B90,"Hire hunter",$C$3:$C90,C91)+COUNTIFS($B$3:$B90,"Forge/Scrapwork buy",$C$3:$C90,C91))),1),0)-J90,"0")&amp;" more scraps",IF(AND(B91="Fight boss",E91="OK",(IF((((105/'Rules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Formulas'!B12)),"WIN — boss down, next Level unlocks",IF(AND(B91="Fight boss",E91="OK"),"LOSE — TTK "&amp;TEXT(IF((((105/'Rules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Formulas'!B20*SQRT(1+0.55*(AG90&gt;=1))),0)))),"0")&amp;"s &gt; patience "&amp;TEXT('Rules &amp; Formulas'!B12,"0")&amp;"s (leave resets HP)",IF(B91="Go AFK","AFK resolved (see AFK counted h)","Applied")))))))))</f>
        <v/>
      </c>
      <c r="G91" s="7">
        <f>IF(AND((E91="OK"),B91="Fight boss",(IF((((105/'Rules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Formulas'!B12),C91="Elder Thornpelt"),2,IF(AND((E91="OK"),B91="Fight boss",(IF((((105/'Rules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Formulas'!B12),C91="Ashfang Alpha"),3,G90))</f>
        <v/>
      </c>
      <c r="H91" s="7">
        <f>MAX(0,H90+IF(AND((E91="OK"),B91="Hunt"),(IF(B91="Hunt",(('Rules &amp; Formulas'!B4*N90*('Rules &amp; Formulas'!B5+O90)*IFERROR(VLOOKUP(C91,Monsters!$T$4:$AH$15,10,FALSE),0)*IFERROR(VLOOKUP(C91,Monsters!$T$4:$AH$15,9,FALSE),0))*'Rules &amp; Formulas'!B6)*IF(D91="",0,D91),0))*(IFERROR(VLOOKUP(C91,Monsters!$T$4:$AH$15,3,FALSE),0))*(1+0.1*AH90)+(IF(OR(B91&lt;&gt;"Hunt",IFERROR(VLOOKUP(C91,Monsters!$T$4:$AH$15,6,FALSE),0)=0),0,FLOOR((IF(B91="Hunt",(('Rules &amp; Formulas'!B4*N90*('Rules &amp; Formulas'!B5+O90)*IFERROR(VLOOKUP(C91,Monsters!$T$4:$AH$15,10,FALSE),0)*IFERROR(VLOOKUP(C91,Monsters!$T$4:$AH$15,9,FALSE),0))*'Rules &amp; Formulas'!B6)*IF(D91="",0,D91),0))/MAX(1,IFERROR(VLOOKUP(C91,Monsters!$T$4:$AH$15,6,FALSE),0)),1)))*(IFERROR(VLOOKUP(C91,Monsters!$T$4:$AH$15,7,FALSE),0))*0.5*(1+0.1*AH90),0)+IF(AND((E91="OK"),B91="Go AFK"),(IF(B91="Go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AFK",IF(D91="",0,D91),0),Z90/60)*60)),0))*(IFERROR(VLOOKUP(C91,Monsters!$T$4:$AH$15,3,FALSE),0))*(1+0.1*AH90)+(IF(OR(B91&lt;&gt;"Go AFK",IFERROR(VLOOKUP(C91,Monsters!$T$4:$AH$15,6,FALSE),0)=0),0,FLOOR((IF(B91="Go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AFK",IF(D91="",0,D91),0),Z90/60)*60)),0))/MAX(1,IFERROR(VLOOKUP(C91,Monsters!$T$4:$AH$15,6,FALSE),0)),1)))*(IFERROR(VLOOKUP(C91,Monsters!$T$4:$AH$15,7,FALSE),0))*0.5*(1+0.1*AH90),0)+IF(AND((E91="OK"),B91="Fight boss",(IF((((105/'Rules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Formulas'!B12)),IFERROR(VLOOKUP(C91,Monsters!$T$4:$AH$15,3,FALSE),0),0)-IF(AND((E91="OK"),OR(B91="Buy upgrade",B91="Forge/Scrapwork buy"),IFERROR(VLOOKUP(C91,Upgrades!$N$4:$T$47,2,FALSE),0)="gold"),IFERROR(FLOOR(IFERROR(VLOOKUP(C91,Upgrades!$N$4:$T$47,3,FALSE),0)*(IFERROR(VLOOKUP(C91,Upgrades!$N$4:$T$47,4,FALSE),0)^(COUNTIFS($B$3:$B90,"Buy upgrade",$C$3:$C90,C91)+COUNTIFS($B$3:$B90,"Hire hunter",$C$3:$C90,C91)+COUNTIFS($B$3:$B90,"Forge/Scrapwork buy",$C$3:$C90,C91))),1),0),0)-IF(AND((E91="OK"),B91="Hire hunter"),IF(C91="Briar",140,IF(C91="Quill",3650,IF(C91="Moss",4850,IF(C91="Ember",12200,0)))),0))</f>
        <v/>
      </c>
      <c r="I91" s="7">
        <f>IF(AND((E91="OK"),B91="Fight boss",(IF((((105/'Rules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Formulas'!B12)),0,MIN(IF(G90&lt;=1,120,IF(G90=2,280,600)),I90+IF(AND((E91="OK"),B91="Hunt"),((IF(B91="Hunt",(('Rules &amp; Formulas'!B4*N90*('Rules &amp; Formulas'!B5+O90)*IFERROR(VLOOKUP(C91,Monsters!$T$4:$AH$15,10,FALSE),0)*IFERROR(VLOOKUP(C91,Monsters!$T$4:$AH$15,9,FALSE),0))*'Rules &amp; Formulas'!B6)*IF(D91="",0,D91),0))*(IFERROR(VLOOKUP(C91,Monsters!$T$4:$AH$15,4,FALSE),0))+(IF(OR(B91&lt;&gt;"Hunt",IFERROR(VLOOKUP(C91,Monsters!$T$4:$AH$15,6,FALSE),0)=0),0,FLOOR((IF(B91="Hunt",(('Rules &amp; Formulas'!B4*N90*('Rules &amp; Formulas'!B5+O90)*IFERROR(VLOOKUP(C91,Monsters!$T$4:$AH$15,10,FALSE),0)*IFERROR(VLOOKUP(C91,Monsters!$T$4:$AH$15,9,FALSE),0))*'Rules &amp; Formulas'!B6)*IF(D91="",0,D91),0))/MAX(1,IFERROR(VLOOKUP(C91,Monsters!$T$4:$AH$15,6,FALSE),0)),1)))*(IFERROR(VLOOKUP(C91,Monsters!$T$4:$AH$15,7,FALSE),0))),0)+IF(AND((E91="OK"),B91="Go AFK"),((IF(B91="Go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AFK",IF(D91="",0,D91),0),Z90/60)*60)),0))*(IFERROR(VLOOKUP(C91,Monsters!$T$4:$AH$15,4,FALSE),0))+(IF(OR(B91&lt;&gt;"Go AFK",IFERROR(VLOOKUP(C91,Monsters!$T$4:$AH$15,6,FALSE),0)=0),0,FLOOR((IF(B91="Go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AFK",IF(D91="",0,D91),0),Z90/60)*60)),0))/MAX(1,IFERROR(VLOOKUP(C91,Monsters!$T$4:$AH$15,6,FALSE),0)),1)))*(IFERROR(VLOOKUP(C91,Monsters!$T$4:$AH$15,7,FALSE),0))),0)))</f>
        <v/>
      </c>
      <c r="J91" s="7">
        <f>MAX(0,J90+IF(AND((E91="OK"),B91="Hunt"),(IF(B91="Hunt",(('Rules &amp; Formulas'!B4*N90*('Rules &amp; Formulas'!B5+O90)*IFERROR(VLOOKUP(C91,Monsters!$T$4:$AH$15,10,FALSE),0)*IFERROR(VLOOKUP(C91,Monsters!$T$4:$AH$15,9,FALSE),0))*'Rules &amp; Formulas'!B6)*IF(D91="",0,D91),0))*(IFERROR(VLOOKUP(C91,Monsters!$T$4:$AH$15,5,FALSE),0)),0)+IF(AND((E91="OK"),B91="Go AFK"),(IF(B91="Go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AFK",IF(D91="",0,D91),0),Z90/60)*60)),0))*(IFERROR(VLOOKUP(C91,Monsters!$T$4:$AH$15,5,FALSE),0)),0)-IF(AND((E91="OK"),OR(B91="Buy upgrade",B91="Forge/Scrapwork buy"),IFERROR(VLOOKUP(C91,Upgrades!$N$4:$T$47,2,FALSE),0)="scraps"),IFERROR(FLOOR(IFERROR(VLOOKUP(C91,Upgrades!$N$4:$T$47,3,FALSE),0)*(IFERROR(VLOOKUP(C91,Upgrades!$N$4:$T$47,4,FALSE),0)^(COUNTIFS($B$3:$B90,"Buy upgrade",$C$3:$C90,C91)+COUNTIFS($B$3:$B90,"Hire hunter",$C$3:$C90,C91)+COUNTIFS($B$3:$B90,"Forge/Scrapwork buy",$C$3:$C90,C91))),1),0),0))</f>
        <v/>
      </c>
      <c r="K91" s="7">
        <f>MAX(0,K90+IF(AND((E91="OK"),B91="Hunt"),IF(C91="Thornpelt Bear",(IF(B91="Hunt",(('Rules &amp; Formulas'!B4*N90*('Rules &amp; Formulas'!B5+O90)*IFERROR(VLOOKUP(C91,Monsters!$T$4:$AH$15,10,FALSE),0)*IFERROR(VLOOKUP(C91,Monsters!$T$4:$AH$15,9,FALSE),0))*'Rules &amp; Formulas'!B6)*IF(D91="",0,D91),0))*0.12,0),0)+IF(AND((E91="OK"),B91="Go AFK"),IF(C91="Thornpelt Bear",(IF(B91="Go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AFK",IF(D91="",0,D91),0),Z90/60)*60)),0))*0.12,0),0))</f>
        <v/>
      </c>
      <c r="L91" s="7">
        <f>MAX(0,L90+IF(AND((E91="OK"),B91="Hunt"),IF(C91="Dire Thornpelt",(IF(B91="Hunt",(('Rules &amp; Formulas'!B4*N90*('Rules &amp; Formulas'!B5+O90)*IFERROR(VLOOKUP(C91,Monsters!$T$4:$AH$15,10,FALSE),0)*IFERROR(VLOOKUP(C91,Monsters!$T$4:$AH$15,9,FALSE),0))*'Rules &amp; Formulas'!B6)*IF(D91="",0,D91),0))*0.1,0),0)+IF(AND((E91="OK"),B91="Go AFK"),IF(C91="Dire Thornpelt",(IF(B91="Go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AFK",IF(D91="",0,D91),0),Z90/60)*60)),0))*0.1,0),0))</f>
        <v/>
      </c>
      <c r="M91" s="7">
        <f>IF(AND((E91="OK"),B91="Go AFK"),MAX(0,MIN(('Rules &amp; Formulas'!B15+25*AJ90),M90+('Rules &amp; Formulas'!B14+0.4*AJ90)*(MIN(IF(B91="Go AFK",IF(D91="",0,D91),0),Z90/60)*60))-(IF(B91="Go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AFK",IF(D91="",0,D91),0),Z90/60)*60)),0))*(IF((IFERROR(VLOOKUP(C91,Monsters!$T$4:$AH$15,8,FALSE),0))=0,0.35,IFERROR(VLOOKUP(C91,Monsters!$T$4:$AH$15,8,FALSE),0))/(1+0.08*AK90))),MIN(('Rules &amp; Formulas'!B15+25*AJ91),M90))</f>
        <v/>
      </c>
      <c r="N91" s="7">
        <f>(1+0.08+0.12*AA91+0.12*AB91+0.16*AC91)</f>
        <v/>
      </c>
      <c r="O91" s="7">
        <f>((AD91&gt;=1)*1*(1+0.3*AE91))</f>
        <v/>
      </c>
      <c r="P91" s="7">
        <f>IF(OR(B91="Hunt",B91="Go AFK"),(('Rules &amp; Formulas'!B4*N90*('Rules &amp; Formulas'!B5+O90)*IFERROR(VLOOKUP(C91,Monsters!$T$4:$AH$15,10,FALSE),0)*IFERROR(VLOOKUP(C91,Monsters!$T$4:$AH$15,9,FALSE),0))*'Rules &amp; Formulas'!B6),"")</f>
        <v/>
      </c>
      <c r="Q91" s="7">
        <f>IF(OR(B91="Hunt",B91="Go AFK"),('Rules &amp; Formulas'!B4*N90*('Rules &amp; Formulas'!B5+O90)*IFERROR(VLOOKUP(C91,Monsters!$T$4:$AH$15,10,FALSE),0)*IFERROR(VLOOKUP(C91,Monsters!$T$4:$AH$15,9,FALSE),0)),"")</f>
        <v/>
      </c>
      <c r="R91" s="7">
        <f>IF(AND((E91="OK"),B91="Hunt"),IF(B91="Hunt",(('Rules &amp; Formulas'!B4*N90*('Rules &amp; Formulas'!B5+O90)*IFERROR(VLOOKUP(C91,Monsters!$T$4:$AH$15,10,FALSE),0)*IFERROR(VLOOKUP(C91,Monsters!$T$4:$AH$15,9,FALSE),0))*'Rules &amp; Formulas'!B6)*IF(D91="",0,D91),0),IF(AND((E91="OK"),B91="Go AFK"),IF(B91="Go AFK",MIN(IF((IF((IFERROR(VLOOKUP(C91,Monsters!$T$4:$AH$15,8,FALSE),0))=0,0.35,IFERROR(VLOOKUP(C91,Monsters!$T$4:$AH$15,8,FALSE),0))/(1+0.08*AK90))&lt;=0,999999,FLOOR(MIN(('Rules &amp; Formulas'!B15+25*AJ90),M90+('Rules &amp; Formulas'!B14+0.4*AJ90)*(MIN(IF(B91="Go AFK",IF(D91="",0,D91),0),Z90/60)*60))/(IF((IFERROR(VLOOKUP(C91,Monsters!$T$4:$AH$15,8,FALSE),0))=0,0.35,IFERROR(VLOOKUP(C91,Monsters!$T$4:$AH$15,8,FALSE),0))/(1+0.08*AK90)),1)),('Rules &amp; Formulas'!B4*N90*('Rules &amp; Formulas'!B5+O90)*IFERROR(VLOOKUP(C91,Monsters!$T$4:$AH$15,10,FALSE),0)*IFERROR(VLOOKUP(C91,Monsters!$T$4:$AH$15,9,FALSE),0))*(MIN(IF(B91="Go AFK",IF(D91="",0,D91),0),Z90/60)*60)),0),0))</f>
        <v/>
      </c>
      <c r="S91" s="7">
        <f>(105/'Rules &amp; Formulas'!B10)*'Rules &amp; Formulas'!B11</f>
        <v/>
      </c>
      <c r="T91" s="7">
        <f>IF(AD90&gt;=1,(MAX(1,ROUND('Rules &amp; Formulas'!B18*(1+0.3*AE90)*(1+0.4*AF90),0)))*(1000/'Rules &amp; Formulas'!B19)*MIN(0.95,'Rules &amp; Formulas'!B20*SQRT(1+0.55*(AG90&gt;=1))),0)</f>
        <v/>
      </c>
      <c r="U91" s="7">
        <f>S91+T91</f>
        <v/>
      </c>
      <c r="V91" s="7">
        <f>IF(I90&gt;=IF((IFERROR(VLOOKUP(C91,Monsters!$T$4:$AH$15,15,FALSE),0))=0,120,IFERROR(VLOOKUP(C91,Monsters!$T$4:$AH$15,15,FALSE),0)),"YES","no")</f>
        <v/>
      </c>
      <c r="W91" s="7">
        <f>IF(AND(B91="Fight boss",E91="OK"),IF((((105/'Rules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Formulas'!B20*SQRT(1+0.55*(AG90&gt;=1))),0)))),"")</f>
        <v/>
      </c>
      <c r="X91" s="7">
        <f>IF(AND(B91="Fight boss",E91="OK"),IF((IF((((105/'Rules &amp; Formulas'!B10)*'Rules &amp; Formulas'!B11+IF(AD90&gt;=1,(MAX(1,ROUND('Rules &amp; Formulas'!B18*(1+0.3*AE90)*(1+0.4*AF90),0)))*(1000/'Rules &amp; Formulas'!B19)*MIN(0.95,'Rules &amp; Formulas'!B20*SQRT(1+0.55*(AG90&gt;=1))),0)))&lt;=0,9999,(IFERROR(VLOOKUP(C91,Monsters!$T$4:$AH$15,2,FALSE),0))/(((105/'Rules &amp; Formulas'!B10)*'Rules &amp; Formulas'!B11+IF(AD90&gt;=1,(MAX(1,ROUND('Rules &amp; Formulas'!B18*(1+0.3*AE90)*(1+0.4*AF90),0)))*(1000/'Rules &amp; Formulas'!B19)*MIN(0.95,'Rules &amp; Formulas'!B20*SQRT(1+0.55*(AG90&gt;=1))),0))))&lt;='Rules &amp; Formulas'!B12),"WIN","LOSE"),"")</f>
        <v/>
      </c>
      <c r="Y91" s="7">
        <f>IF(B91="Go AFK",MIN(IF(B91="Go AFK",IF(D91="",0,D91),0),Z90/60),"")</f>
        <v/>
      </c>
      <c r="Z91" s="7">
        <f>('Rules &amp; Formulas'!B13+30*AI91)</f>
        <v/>
      </c>
      <c r="AA91">
        <f>COUNTIFS($B$3:$B91,"Buy upgrade",$C$3:$C91,"Idle Power")</f>
        <v/>
      </c>
      <c r="AB91">
        <f>COUNTIFS($B$3:$B91,"Buy upgrade",$C$3:$C91,"Iron Blade")</f>
        <v/>
      </c>
      <c r="AC91">
        <f>COUNTIFS($B$3:$B91,"Buy upgrade",$C$3:$C91,"Steel Blade")</f>
        <v/>
      </c>
      <c r="AD91">
        <f>COUNTIFS($B$3:$B91,"Hire hunter",$C$3:$C91,"Briar")+COUNTIFS($B$3:$B91,"Buy upgrade",$C$3:$C91,"Hire Briar")</f>
        <v/>
      </c>
      <c r="AE91">
        <f>COUNTIFS($B$3:$B91,"Buy upgrade",$C$3:$C91,"Hunter Power")</f>
        <v/>
      </c>
      <c r="AF91">
        <f>COUNTIFS($B$3:$B91,"Buy upgrade",$C$3:$C91,"Bigger Hits")</f>
        <v/>
      </c>
      <c r="AG91">
        <f>COUNTIFS($B$3:$B91,"Buy upgrade",$C$3:$C91,"Swift Walk")</f>
        <v/>
      </c>
      <c r="AH91">
        <f>COUNTIFS($B$3:$B91,"Buy upgrade",$C$3:$C91,"Loot Luck")</f>
        <v/>
      </c>
      <c r="AI91">
        <f>COUNTIFS($B$3:$B91,"Buy upgrade",$C$3:$C91,"Offline Cap")</f>
        <v/>
      </c>
      <c r="AJ91">
        <f>COUNTIFS($B$3:$B91,"Buy upgrade",$C$3:$C91,"Bigger Food Stock")</f>
        <v/>
      </c>
      <c r="AK91">
        <f>COUNTIFS($B$3:$B91,"Buy upgrade",$C$3:$C91,"Food Efficiency")</f>
        <v/>
      </c>
    </row>
    <row r="92">
      <c r="A92" t="n">
        <v>90</v>
      </c>
      <c r="B92" s="6" t="n"/>
      <c r="C92" s="6" t="n"/>
      <c r="D92" s="6" t="n"/>
      <c r="E92" s="7">
        <f>IF(B92="","",IF(OR(B92="Hunt",B92="Go AFK"),IF(C92="","Can't","OK"),IF(B92="Fight boss",IF(I91&lt;IF((IFERROR(VLOOKUP(C92,Monsters!$T$4:$AH$15,15,FALSE),0))=0,120,IFERROR(VLOOKUP(C92,Monsters!$T$4:$AH$15,15,FALSE),0)),"Can't","OK"),IF(B92="Hire hunter",IF(AND(C92="Briar",AD91&gt;=1),"Can't",IF(H91&lt;IF(C92="Briar",140,IF(C92="Quill",3650,IF(C92="Moss",4850,IF(C92="Ember",12200,0)))),"Can't","OK")),IF(OR(B92="Buy upgrade",B92="Forge/Scrapwork buy"),IF(IFERROR(VLOOKUP(C92,Upgrades!$N$4:$T$47,2,FALSE),0)="points","Can't",IF(IFERROR(VLOOKUP(C92,Upgrades!$N$4:$T$47,2,FALSE),0)="gold",IF(H91&lt;IFERROR(FLOOR(IFERROR(VLOOKUP(C92,Upgrades!$N$4:$T$47,3,FALSE),0)*(IFERROR(VLOOKUP(C92,Upgrades!$N$4:$T$47,4,FALSE),0)^(COUNTIFS($B$3:$B91,"Buy upgrade",$C$3:$C91,C92)+COUNTIFS($B$3:$B91,"Hire hunter",$C$3:$C91,C92)+COUNTIFS($B$3:$B91,"Forge/Scrapwork buy",$C$3:$C91,C92))),1),0),"Can't","OK"),IF(IFERROR(VLOOKUP(C92,Upgrades!$N$4:$T$47,2,FALSE),0)="scraps",IF(J91&lt;IFERROR(FLOOR(IFERROR(VLOOKUP(C92,Upgrades!$N$4:$T$47,3,FALSE),0)*(IFERROR(VLOOKUP(C92,Upgrades!$N$4:$T$47,4,FALSE),0)^(COUNTIFS($B$3:$B91,"Buy upgrade",$C$3:$C91,C92)+COUNTIFS($B$3:$B91,"Hire hunter",$C$3:$C91,C92)+COUNTIFS($B$3:$B91,"Forge/Scrapwork buy",$C$3:$C91,C92))),1),0),"Can't","OK"),IF(IFERROR(VLOOKUP(C92,Upgrades!$N$4:$T$47,2,FALSE),0)="mats","Can't","OK")))),"Check")))))</f>
        <v/>
      </c>
      <c r="F92" s="7">
        <f>IF(B92="","",IF(AND(B92="Fight boss",I91&lt;IF((IFERROR(VLOOKUP(C92,Monsters!$T$4:$AH$15,15,FALSE),0))=0,120,IFERROR(VLOOKUP(C92,Monsters!$T$4:$AH$15,15,FALSE),0))),"Can't — need "&amp;TEXT(IF((IFERROR(VLOOKUP(C92,Monsters!$T$4:$AH$15,15,FALSE),0))=0,120,IFERROR(VLOOKUP(C92,Monsters!$T$4:$AH$15,15,FALSE),0))-I91,"0.0")&amp;" more Slayer points on the meter",IF(AND(B92="Hire hunter",C92="Briar",AD91&gt;=1),"Can't — already hired",IF(AND(B92="Hire hunter",H91&lt;IF(C92="Briar",140,IF(C92="Quill",3650,IF(C92="Moss",4850,IF(C92="Ember",12200,0))))),"Can't — need "&amp;TEXT(IF(C92="Briar",140,IF(C92="Quill",3650,IF(C92="Moss",4850,IF(C92="Ember",12200,0))))-H91,"0")&amp;" more gold",IF(AND(OR(B92="Buy upgrade",B92="Forge/Scrapwork buy"),IFERROR(VLOOKUP(C92,Upgrades!$N$4:$T$47,2,FALSE),0)="points"),"Can't — Sp-wallet spends not tracked here",IF(AND(OR(B92="Buy upgrade",B92="Forge/Scrapwork buy"),IFERROR(VLOOKUP(C92,Upgrades!$N$4:$T$47,2,FALSE),0)="gold",H91&lt;IFERROR(FLOOR(IFERROR(VLOOKUP(C92,Upgrades!$N$4:$T$47,3,FALSE),0)*(IFERROR(VLOOKUP(C92,Upgrades!$N$4:$T$47,4,FALSE),0)^(COUNTIFS($B$3:$B91,"Buy upgrade",$C$3:$C91,C92)+COUNTIFS($B$3:$B91,"Hire hunter",$C$3:$C91,C92)+COUNTIFS($B$3:$B91,"Forge/Scrapwork buy",$C$3:$C91,C92))),1),0)),"Can't — need "&amp;TEXT(IFERROR(FLOOR(IFERROR(VLOOKUP(C92,Upgrades!$N$4:$T$47,3,FALSE),0)*(IFERROR(VLOOKUP(C92,Upgrades!$N$4:$T$47,4,FALSE),0)^(COUNTIFS($B$3:$B91,"Buy upgrade",$C$3:$C91,C92)+COUNTIFS($B$3:$B91,"Hire hunter",$C$3:$C91,C92)+COUNTIFS($B$3:$B91,"Forge/Scrapwork buy",$C$3:$C91,C92))),1),0)-H91,"0")&amp;" more gold",IF(AND(OR(B92="Buy upgrade",B92="Forge/Scrapwork buy"),IFERROR(VLOOKUP(C92,Upgrades!$N$4:$T$47,2,FALSE),0)="scraps",J91&lt;IFERROR(FLOOR(IFERROR(VLOOKUP(C92,Upgrades!$N$4:$T$47,3,FALSE),0)*(IFERROR(VLOOKUP(C92,Upgrades!$N$4:$T$47,4,FALSE),0)^(COUNTIFS($B$3:$B91,"Buy upgrade",$C$3:$C91,C92)+COUNTIFS($B$3:$B91,"Hire hunter",$C$3:$C91,C92)+COUNTIFS($B$3:$B91,"Forge/Scrapwork buy",$C$3:$C91,C92))),1),0)),"Can't — need "&amp;TEXT(IFERROR(FLOOR(IFERROR(VLOOKUP(C92,Upgrades!$N$4:$T$47,3,FALSE),0)*(IFERROR(VLOOKUP(C92,Upgrades!$N$4:$T$47,4,FALSE),0)^(COUNTIFS($B$3:$B91,"Buy upgrade",$C$3:$C91,C92)+COUNTIFS($B$3:$B91,"Hire hunter",$C$3:$C91,C92)+COUNTIFS($B$3:$B91,"Forge/Scrapwork buy",$C$3:$C91,C92))),1),0)-J91,"0")&amp;" more scraps",IF(AND(B92="Fight boss",E92="OK",(IF((((105/'Rules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Formulas'!B12)),"WIN — boss down, next Level unlocks",IF(AND(B92="Fight boss",E92="OK"),"LOSE — TTK "&amp;TEXT(IF((((105/'Rules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Formulas'!B20*SQRT(1+0.55*(AG91&gt;=1))),0)))),"0")&amp;"s &gt; patience "&amp;TEXT('Rules &amp; Formulas'!B12,"0")&amp;"s (leave resets HP)",IF(B92="Go AFK","AFK resolved (see AFK counted h)","Applied")))))))))</f>
        <v/>
      </c>
      <c r="G92" s="7">
        <f>IF(AND((E92="OK"),B92="Fight boss",(IF((((105/'Rules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Formulas'!B12),C92="Elder Thornpelt"),2,IF(AND((E92="OK"),B92="Fight boss",(IF((((105/'Rules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Formulas'!B12),C92="Ashfang Alpha"),3,G91))</f>
        <v/>
      </c>
      <c r="H92" s="7">
        <f>MAX(0,H91+IF(AND((E92="OK"),B92="Hunt"),(IF(B92="Hunt",(('Rules &amp; Formulas'!B4*N91*('Rules &amp; Formulas'!B5+O91)*IFERROR(VLOOKUP(C92,Monsters!$T$4:$AH$15,10,FALSE),0)*IFERROR(VLOOKUP(C92,Monsters!$T$4:$AH$15,9,FALSE),0))*'Rules &amp; Formulas'!B6)*IF(D92="",0,D92),0))*(IFERROR(VLOOKUP(C92,Monsters!$T$4:$AH$15,3,FALSE),0))*(1+0.1*AH91)+(IF(OR(B92&lt;&gt;"Hunt",IFERROR(VLOOKUP(C92,Monsters!$T$4:$AH$15,6,FALSE),0)=0),0,FLOOR((IF(B92="Hunt",(('Rules &amp; Formulas'!B4*N91*('Rules &amp; Formulas'!B5+O91)*IFERROR(VLOOKUP(C92,Monsters!$T$4:$AH$15,10,FALSE),0)*IFERROR(VLOOKUP(C92,Monsters!$T$4:$AH$15,9,FALSE),0))*'Rules &amp; Formulas'!B6)*IF(D92="",0,D92),0))/MAX(1,IFERROR(VLOOKUP(C92,Monsters!$T$4:$AH$15,6,FALSE),0)),1)))*(IFERROR(VLOOKUP(C92,Monsters!$T$4:$AH$15,7,FALSE),0))*0.5*(1+0.1*AH91),0)+IF(AND((E92="OK"),B92="Go AFK"),(IF(B92="Go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AFK",IF(D92="",0,D92),0),Z91/60)*60)),0))*(IFERROR(VLOOKUP(C92,Monsters!$T$4:$AH$15,3,FALSE),0))*(1+0.1*AH91)+(IF(OR(B92&lt;&gt;"Go AFK",IFERROR(VLOOKUP(C92,Monsters!$T$4:$AH$15,6,FALSE),0)=0),0,FLOOR((IF(B92="Go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AFK",IF(D92="",0,D92),0),Z91/60)*60)),0))/MAX(1,IFERROR(VLOOKUP(C92,Monsters!$T$4:$AH$15,6,FALSE),0)),1)))*(IFERROR(VLOOKUP(C92,Monsters!$T$4:$AH$15,7,FALSE),0))*0.5*(1+0.1*AH91),0)+IF(AND((E92="OK"),B92="Fight boss",(IF((((105/'Rules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Formulas'!B12)),IFERROR(VLOOKUP(C92,Monsters!$T$4:$AH$15,3,FALSE),0),0)-IF(AND((E92="OK"),OR(B92="Buy upgrade",B92="Forge/Scrapwork buy"),IFERROR(VLOOKUP(C92,Upgrades!$N$4:$T$47,2,FALSE),0)="gold"),IFERROR(FLOOR(IFERROR(VLOOKUP(C92,Upgrades!$N$4:$T$47,3,FALSE),0)*(IFERROR(VLOOKUP(C92,Upgrades!$N$4:$T$47,4,FALSE),0)^(COUNTIFS($B$3:$B91,"Buy upgrade",$C$3:$C91,C92)+COUNTIFS($B$3:$B91,"Hire hunter",$C$3:$C91,C92)+COUNTIFS($B$3:$B91,"Forge/Scrapwork buy",$C$3:$C91,C92))),1),0),0)-IF(AND((E92="OK"),B92="Hire hunter"),IF(C92="Briar",140,IF(C92="Quill",3650,IF(C92="Moss",4850,IF(C92="Ember",12200,0)))),0))</f>
        <v/>
      </c>
      <c r="I92" s="7">
        <f>IF(AND((E92="OK"),B92="Fight boss",(IF((((105/'Rules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Formulas'!B12)),0,MIN(IF(G91&lt;=1,120,IF(G91=2,280,600)),I91+IF(AND((E92="OK"),B92="Hunt"),((IF(B92="Hunt",(('Rules &amp; Formulas'!B4*N91*('Rules &amp; Formulas'!B5+O91)*IFERROR(VLOOKUP(C92,Monsters!$T$4:$AH$15,10,FALSE),0)*IFERROR(VLOOKUP(C92,Monsters!$T$4:$AH$15,9,FALSE),0))*'Rules &amp; Formulas'!B6)*IF(D92="",0,D92),0))*(IFERROR(VLOOKUP(C92,Monsters!$T$4:$AH$15,4,FALSE),0))+(IF(OR(B92&lt;&gt;"Hunt",IFERROR(VLOOKUP(C92,Monsters!$T$4:$AH$15,6,FALSE),0)=0),0,FLOOR((IF(B92="Hunt",(('Rules &amp; Formulas'!B4*N91*('Rules &amp; Formulas'!B5+O91)*IFERROR(VLOOKUP(C92,Monsters!$T$4:$AH$15,10,FALSE),0)*IFERROR(VLOOKUP(C92,Monsters!$T$4:$AH$15,9,FALSE),0))*'Rules &amp; Formulas'!B6)*IF(D92="",0,D92),0))/MAX(1,IFERROR(VLOOKUP(C92,Monsters!$T$4:$AH$15,6,FALSE),0)),1)))*(IFERROR(VLOOKUP(C92,Monsters!$T$4:$AH$15,7,FALSE),0))),0)+IF(AND((E92="OK"),B92="Go AFK"),((IF(B92="Go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AFK",IF(D92="",0,D92),0),Z91/60)*60)),0))*(IFERROR(VLOOKUP(C92,Monsters!$T$4:$AH$15,4,FALSE),0))+(IF(OR(B92&lt;&gt;"Go AFK",IFERROR(VLOOKUP(C92,Monsters!$T$4:$AH$15,6,FALSE),0)=0),0,FLOOR((IF(B92="Go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AFK",IF(D92="",0,D92),0),Z91/60)*60)),0))/MAX(1,IFERROR(VLOOKUP(C92,Monsters!$T$4:$AH$15,6,FALSE),0)),1)))*(IFERROR(VLOOKUP(C92,Monsters!$T$4:$AH$15,7,FALSE),0))),0)))</f>
        <v/>
      </c>
      <c r="J92" s="7">
        <f>MAX(0,J91+IF(AND((E92="OK"),B92="Hunt"),(IF(B92="Hunt",(('Rules &amp; Formulas'!B4*N91*('Rules &amp; Formulas'!B5+O91)*IFERROR(VLOOKUP(C92,Monsters!$T$4:$AH$15,10,FALSE),0)*IFERROR(VLOOKUP(C92,Monsters!$T$4:$AH$15,9,FALSE),0))*'Rules &amp; Formulas'!B6)*IF(D92="",0,D92),0))*(IFERROR(VLOOKUP(C92,Monsters!$T$4:$AH$15,5,FALSE),0)),0)+IF(AND((E92="OK"),B92="Go AFK"),(IF(B92="Go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AFK",IF(D92="",0,D92),0),Z91/60)*60)),0))*(IFERROR(VLOOKUP(C92,Monsters!$T$4:$AH$15,5,FALSE),0)),0)-IF(AND((E92="OK"),OR(B92="Buy upgrade",B92="Forge/Scrapwork buy"),IFERROR(VLOOKUP(C92,Upgrades!$N$4:$T$47,2,FALSE),0)="scraps"),IFERROR(FLOOR(IFERROR(VLOOKUP(C92,Upgrades!$N$4:$T$47,3,FALSE),0)*(IFERROR(VLOOKUP(C92,Upgrades!$N$4:$T$47,4,FALSE),0)^(COUNTIFS($B$3:$B91,"Buy upgrade",$C$3:$C91,C92)+COUNTIFS($B$3:$B91,"Hire hunter",$C$3:$C91,C92)+COUNTIFS($B$3:$B91,"Forge/Scrapwork buy",$C$3:$C91,C92))),1),0),0))</f>
        <v/>
      </c>
      <c r="K92" s="7">
        <f>MAX(0,K91+IF(AND((E92="OK"),B92="Hunt"),IF(C92="Thornpelt Bear",(IF(B92="Hunt",(('Rules &amp; Formulas'!B4*N91*('Rules &amp; Formulas'!B5+O91)*IFERROR(VLOOKUP(C92,Monsters!$T$4:$AH$15,10,FALSE),0)*IFERROR(VLOOKUP(C92,Monsters!$T$4:$AH$15,9,FALSE),0))*'Rules &amp; Formulas'!B6)*IF(D92="",0,D92),0))*0.12,0),0)+IF(AND((E92="OK"),B92="Go AFK"),IF(C92="Thornpelt Bear",(IF(B92="Go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AFK",IF(D92="",0,D92),0),Z91/60)*60)),0))*0.12,0),0))</f>
        <v/>
      </c>
      <c r="L92" s="7">
        <f>MAX(0,L91+IF(AND((E92="OK"),B92="Hunt"),IF(C92="Dire Thornpelt",(IF(B92="Hunt",(('Rules &amp; Formulas'!B4*N91*('Rules &amp; Formulas'!B5+O91)*IFERROR(VLOOKUP(C92,Monsters!$T$4:$AH$15,10,FALSE),0)*IFERROR(VLOOKUP(C92,Monsters!$T$4:$AH$15,9,FALSE),0))*'Rules &amp; Formulas'!B6)*IF(D92="",0,D92),0))*0.1,0),0)+IF(AND((E92="OK"),B92="Go AFK"),IF(C92="Dire Thornpelt",(IF(B92="Go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AFK",IF(D92="",0,D92),0),Z91/60)*60)),0))*0.1,0),0))</f>
        <v/>
      </c>
      <c r="M92" s="7">
        <f>IF(AND((E92="OK"),B92="Go AFK"),MAX(0,MIN(('Rules &amp; Formulas'!B15+25*AJ91),M91+('Rules &amp; Formulas'!B14+0.4*AJ91)*(MIN(IF(B92="Go AFK",IF(D92="",0,D92),0),Z91/60)*60))-(IF(B92="Go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AFK",IF(D92="",0,D92),0),Z91/60)*60)),0))*(IF((IFERROR(VLOOKUP(C92,Monsters!$T$4:$AH$15,8,FALSE),0))=0,0.35,IFERROR(VLOOKUP(C92,Monsters!$T$4:$AH$15,8,FALSE),0))/(1+0.08*AK91))),MIN(('Rules &amp; Formulas'!B15+25*AJ92),M91))</f>
        <v/>
      </c>
      <c r="N92" s="7">
        <f>(1+0.08+0.12*AA92+0.12*AB92+0.16*AC92)</f>
        <v/>
      </c>
      <c r="O92" s="7">
        <f>((AD92&gt;=1)*1*(1+0.3*AE92))</f>
        <v/>
      </c>
      <c r="P92" s="7">
        <f>IF(OR(B92="Hunt",B92="Go AFK"),(('Rules &amp; Formulas'!B4*N91*('Rules &amp; Formulas'!B5+O91)*IFERROR(VLOOKUP(C92,Monsters!$T$4:$AH$15,10,FALSE),0)*IFERROR(VLOOKUP(C92,Monsters!$T$4:$AH$15,9,FALSE),0))*'Rules &amp; Formulas'!B6),"")</f>
        <v/>
      </c>
      <c r="Q92" s="7">
        <f>IF(OR(B92="Hunt",B92="Go AFK"),('Rules &amp; Formulas'!B4*N91*('Rules &amp; Formulas'!B5+O91)*IFERROR(VLOOKUP(C92,Monsters!$T$4:$AH$15,10,FALSE),0)*IFERROR(VLOOKUP(C92,Monsters!$T$4:$AH$15,9,FALSE),0)),"")</f>
        <v/>
      </c>
      <c r="R92" s="7">
        <f>IF(AND((E92="OK"),B92="Hunt"),IF(B92="Hunt",(('Rules &amp; Formulas'!B4*N91*('Rules &amp; Formulas'!B5+O91)*IFERROR(VLOOKUP(C92,Monsters!$T$4:$AH$15,10,FALSE),0)*IFERROR(VLOOKUP(C92,Monsters!$T$4:$AH$15,9,FALSE),0))*'Rules &amp; Formulas'!B6)*IF(D92="",0,D92),0),IF(AND((E92="OK"),B92="Go AFK"),IF(B92="Go AFK",MIN(IF((IF((IFERROR(VLOOKUP(C92,Monsters!$T$4:$AH$15,8,FALSE),0))=0,0.35,IFERROR(VLOOKUP(C92,Monsters!$T$4:$AH$15,8,FALSE),0))/(1+0.08*AK91))&lt;=0,999999,FLOOR(MIN(('Rules &amp; Formulas'!B15+25*AJ91),M91+('Rules &amp; Formulas'!B14+0.4*AJ91)*(MIN(IF(B92="Go AFK",IF(D92="",0,D92),0),Z91/60)*60))/(IF((IFERROR(VLOOKUP(C92,Monsters!$T$4:$AH$15,8,FALSE),0))=0,0.35,IFERROR(VLOOKUP(C92,Monsters!$T$4:$AH$15,8,FALSE),0))/(1+0.08*AK91)),1)),('Rules &amp; Formulas'!B4*N91*('Rules &amp; Formulas'!B5+O91)*IFERROR(VLOOKUP(C92,Monsters!$T$4:$AH$15,10,FALSE),0)*IFERROR(VLOOKUP(C92,Monsters!$T$4:$AH$15,9,FALSE),0))*(MIN(IF(B92="Go AFK",IF(D92="",0,D92),0),Z91/60)*60)),0),0))</f>
        <v/>
      </c>
      <c r="S92" s="7">
        <f>(105/'Rules &amp; Formulas'!B10)*'Rules &amp; Formulas'!B11</f>
        <v/>
      </c>
      <c r="T92" s="7">
        <f>IF(AD91&gt;=1,(MAX(1,ROUND('Rules &amp; Formulas'!B18*(1+0.3*AE91)*(1+0.4*AF91),0)))*(1000/'Rules &amp; Formulas'!B19)*MIN(0.95,'Rules &amp; Formulas'!B20*SQRT(1+0.55*(AG91&gt;=1))),0)</f>
        <v/>
      </c>
      <c r="U92" s="7">
        <f>S92+T92</f>
        <v/>
      </c>
      <c r="V92" s="7">
        <f>IF(I91&gt;=IF((IFERROR(VLOOKUP(C92,Monsters!$T$4:$AH$15,15,FALSE),0))=0,120,IFERROR(VLOOKUP(C92,Monsters!$T$4:$AH$15,15,FALSE),0)),"YES","no")</f>
        <v/>
      </c>
      <c r="W92" s="7">
        <f>IF(AND(B92="Fight boss",E92="OK"),IF((((105/'Rules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Formulas'!B20*SQRT(1+0.55*(AG91&gt;=1))),0)))),"")</f>
        <v/>
      </c>
      <c r="X92" s="7">
        <f>IF(AND(B92="Fight boss",E92="OK"),IF((IF((((105/'Rules &amp; Formulas'!B10)*'Rules &amp; Formulas'!B11+IF(AD91&gt;=1,(MAX(1,ROUND('Rules &amp; Formulas'!B18*(1+0.3*AE91)*(1+0.4*AF91),0)))*(1000/'Rules &amp; Formulas'!B19)*MIN(0.95,'Rules &amp; Formulas'!B20*SQRT(1+0.55*(AG91&gt;=1))),0)))&lt;=0,9999,(IFERROR(VLOOKUP(C92,Monsters!$T$4:$AH$15,2,FALSE),0))/(((105/'Rules &amp; Formulas'!B10)*'Rules &amp; Formulas'!B11+IF(AD91&gt;=1,(MAX(1,ROUND('Rules &amp; Formulas'!B18*(1+0.3*AE91)*(1+0.4*AF91),0)))*(1000/'Rules &amp; Formulas'!B19)*MIN(0.95,'Rules &amp; Formulas'!B20*SQRT(1+0.55*(AG91&gt;=1))),0))))&lt;='Rules &amp; Formulas'!B12),"WIN","LOSE"),"")</f>
        <v/>
      </c>
      <c r="Y92" s="7">
        <f>IF(B92="Go AFK",MIN(IF(B92="Go AFK",IF(D92="",0,D92),0),Z91/60),"")</f>
        <v/>
      </c>
      <c r="Z92" s="7">
        <f>('Rules &amp; Formulas'!B13+30*AI92)</f>
        <v/>
      </c>
      <c r="AA92">
        <f>COUNTIFS($B$3:$B92,"Buy upgrade",$C$3:$C92,"Idle Power")</f>
        <v/>
      </c>
      <c r="AB92">
        <f>COUNTIFS($B$3:$B92,"Buy upgrade",$C$3:$C92,"Iron Blade")</f>
        <v/>
      </c>
      <c r="AC92">
        <f>COUNTIFS($B$3:$B92,"Buy upgrade",$C$3:$C92,"Steel Blade")</f>
        <v/>
      </c>
      <c r="AD92">
        <f>COUNTIFS($B$3:$B92,"Hire hunter",$C$3:$C92,"Briar")+COUNTIFS($B$3:$B92,"Buy upgrade",$C$3:$C92,"Hire Briar")</f>
        <v/>
      </c>
      <c r="AE92">
        <f>COUNTIFS($B$3:$B92,"Buy upgrade",$C$3:$C92,"Hunter Power")</f>
        <v/>
      </c>
      <c r="AF92">
        <f>COUNTIFS($B$3:$B92,"Buy upgrade",$C$3:$C92,"Bigger Hits")</f>
        <v/>
      </c>
      <c r="AG92">
        <f>COUNTIFS($B$3:$B92,"Buy upgrade",$C$3:$C92,"Swift Walk")</f>
        <v/>
      </c>
      <c r="AH92">
        <f>COUNTIFS($B$3:$B92,"Buy upgrade",$C$3:$C92,"Loot Luck")</f>
        <v/>
      </c>
      <c r="AI92">
        <f>COUNTIFS($B$3:$B92,"Buy upgrade",$C$3:$C92,"Offline Cap")</f>
        <v/>
      </c>
      <c r="AJ92">
        <f>COUNTIFS($B$3:$B92,"Buy upgrade",$C$3:$C92,"Bigger Food Stock")</f>
        <v/>
      </c>
      <c r="AK92">
        <f>COUNTIFS($B$3:$B92,"Buy upgrade",$C$3:$C92,"Food Efficiency")</f>
        <v/>
      </c>
    </row>
    <row r="93">
      <c r="A93" t="n">
        <v>91</v>
      </c>
      <c r="B93" s="6" t="n"/>
      <c r="C93" s="6" t="n"/>
      <c r="D93" s="6" t="n"/>
      <c r="E93" s="7">
        <f>IF(B93="","",IF(OR(B93="Hunt",B93="Go AFK"),IF(C93="","Can't","OK"),IF(B93="Fight boss",IF(I92&lt;IF((IFERROR(VLOOKUP(C93,Monsters!$T$4:$AH$15,15,FALSE),0))=0,120,IFERROR(VLOOKUP(C93,Monsters!$T$4:$AH$15,15,FALSE),0)),"Can't","OK"),IF(B93="Hire hunter",IF(AND(C93="Briar",AD92&gt;=1),"Can't",IF(H92&lt;IF(C93="Briar",140,IF(C93="Quill",3650,IF(C93="Moss",4850,IF(C93="Ember",12200,0)))),"Can't","OK")),IF(OR(B93="Buy upgrade",B93="Forge/Scrapwork buy"),IF(IFERROR(VLOOKUP(C93,Upgrades!$N$4:$T$47,2,FALSE),0)="points","Can't",IF(IFERROR(VLOOKUP(C93,Upgrades!$N$4:$T$47,2,FALSE),0)="gold",IF(H92&lt;IFERROR(FLOOR(IFERROR(VLOOKUP(C93,Upgrades!$N$4:$T$47,3,FALSE),0)*(IFERROR(VLOOKUP(C93,Upgrades!$N$4:$T$47,4,FALSE),0)^(COUNTIFS($B$3:$B92,"Buy upgrade",$C$3:$C92,C93)+COUNTIFS($B$3:$B92,"Hire hunter",$C$3:$C92,C93)+COUNTIFS($B$3:$B92,"Forge/Scrapwork buy",$C$3:$C92,C93))),1),0),"Can't","OK"),IF(IFERROR(VLOOKUP(C93,Upgrades!$N$4:$T$47,2,FALSE),0)="scraps",IF(J92&lt;IFERROR(FLOOR(IFERROR(VLOOKUP(C93,Upgrades!$N$4:$T$47,3,FALSE),0)*(IFERROR(VLOOKUP(C93,Upgrades!$N$4:$T$47,4,FALSE),0)^(COUNTIFS($B$3:$B92,"Buy upgrade",$C$3:$C92,C93)+COUNTIFS($B$3:$B92,"Hire hunter",$C$3:$C92,C93)+COUNTIFS($B$3:$B92,"Forge/Scrapwork buy",$C$3:$C92,C93))),1),0),"Can't","OK"),IF(IFERROR(VLOOKUP(C93,Upgrades!$N$4:$T$47,2,FALSE),0)="mats","Can't","OK")))),"Check")))))</f>
        <v/>
      </c>
      <c r="F93" s="7">
        <f>IF(B93="","",IF(AND(B93="Fight boss",I92&lt;IF((IFERROR(VLOOKUP(C93,Monsters!$T$4:$AH$15,15,FALSE),0))=0,120,IFERROR(VLOOKUP(C93,Monsters!$T$4:$AH$15,15,FALSE),0))),"Can't — need "&amp;TEXT(IF((IFERROR(VLOOKUP(C93,Monsters!$T$4:$AH$15,15,FALSE),0))=0,120,IFERROR(VLOOKUP(C93,Monsters!$T$4:$AH$15,15,FALSE),0))-I92,"0.0")&amp;" more Slayer points on the meter",IF(AND(B93="Hire hunter",C93="Briar",AD92&gt;=1),"Can't — already hired",IF(AND(B93="Hire hunter",H92&lt;IF(C93="Briar",140,IF(C93="Quill",3650,IF(C93="Moss",4850,IF(C93="Ember",12200,0))))),"Can't — need "&amp;TEXT(IF(C93="Briar",140,IF(C93="Quill",3650,IF(C93="Moss",4850,IF(C93="Ember",12200,0))))-H92,"0")&amp;" more gold",IF(AND(OR(B93="Buy upgrade",B93="Forge/Scrapwork buy"),IFERROR(VLOOKUP(C93,Upgrades!$N$4:$T$47,2,FALSE),0)="points"),"Can't — Sp-wallet spends not tracked here",IF(AND(OR(B93="Buy upgrade",B93="Forge/Scrapwork buy"),IFERROR(VLOOKUP(C93,Upgrades!$N$4:$T$47,2,FALSE),0)="gold",H92&lt;IFERROR(FLOOR(IFERROR(VLOOKUP(C93,Upgrades!$N$4:$T$47,3,FALSE),0)*(IFERROR(VLOOKUP(C93,Upgrades!$N$4:$T$47,4,FALSE),0)^(COUNTIFS($B$3:$B92,"Buy upgrade",$C$3:$C92,C93)+COUNTIFS($B$3:$B92,"Hire hunter",$C$3:$C92,C93)+COUNTIFS($B$3:$B92,"Forge/Scrapwork buy",$C$3:$C92,C93))),1),0)),"Can't — need "&amp;TEXT(IFERROR(FLOOR(IFERROR(VLOOKUP(C93,Upgrades!$N$4:$T$47,3,FALSE),0)*(IFERROR(VLOOKUP(C93,Upgrades!$N$4:$T$47,4,FALSE),0)^(COUNTIFS($B$3:$B92,"Buy upgrade",$C$3:$C92,C93)+COUNTIFS($B$3:$B92,"Hire hunter",$C$3:$C92,C93)+COUNTIFS($B$3:$B92,"Forge/Scrapwork buy",$C$3:$C92,C93))),1),0)-H92,"0")&amp;" more gold",IF(AND(OR(B93="Buy upgrade",B93="Forge/Scrapwork buy"),IFERROR(VLOOKUP(C93,Upgrades!$N$4:$T$47,2,FALSE),0)="scraps",J92&lt;IFERROR(FLOOR(IFERROR(VLOOKUP(C93,Upgrades!$N$4:$T$47,3,FALSE),0)*(IFERROR(VLOOKUP(C93,Upgrades!$N$4:$T$47,4,FALSE),0)^(COUNTIFS($B$3:$B92,"Buy upgrade",$C$3:$C92,C93)+COUNTIFS($B$3:$B92,"Hire hunter",$C$3:$C92,C93)+COUNTIFS($B$3:$B92,"Forge/Scrapwork buy",$C$3:$C92,C93))),1),0)),"Can't — need "&amp;TEXT(IFERROR(FLOOR(IFERROR(VLOOKUP(C93,Upgrades!$N$4:$T$47,3,FALSE),0)*(IFERROR(VLOOKUP(C93,Upgrades!$N$4:$T$47,4,FALSE),0)^(COUNTIFS($B$3:$B92,"Buy upgrade",$C$3:$C92,C93)+COUNTIFS($B$3:$B92,"Hire hunter",$C$3:$C92,C93)+COUNTIFS($B$3:$B92,"Forge/Scrapwork buy",$C$3:$C92,C93))),1),0)-J92,"0")&amp;" more scraps",IF(AND(B93="Fight boss",E93="OK",(IF((((105/'Rules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Formulas'!B12)),"WIN — boss down, next Level unlocks",IF(AND(B93="Fight boss",E93="OK"),"LOSE — TTK "&amp;TEXT(IF((((105/'Rules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Formulas'!B20*SQRT(1+0.55*(AG92&gt;=1))),0)))),"0")&amp;"s &gt; patience "&amp;TEXT('Rules &amp; Formulas'!B12,"0")&amp;"s (leave resets HP)",IF(B93="Go AFK","AFK resolved (see AFK counted h)","Applied")))))))))</f>
        <v/>
      </c>
      <c r="G93" s="7">
        <f>IF(AND((E93="OK"),B93="Fight boss",(IF((((105/'Rules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Formulas'!B12),C93="Elder Thornpelt"),2,IF(AND((E93="OK"),B93="Fight boss",(IF((((105/'Rules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Formulas'!B12),C93="Ashfang Alpha"),3,G92))</f>
        <v/>
      </c>
      <c r="H93" s="7">
        <f>MAX(0,H92+IF(AND((E93="OK"),B93="Hunt"),(IF(B93="Hunt",(('Rules &amp; Formulas'!B4*N92*('Rules &amp; Formulas'!B5+O92)*IFERROR(VLOOKUP(C93,Monsters!$T$4:$AH$15,10,FALSE),0)*IFERROR(VLOOKUP(C93,Monsters!$T$4:$AH$15,9,FALSE),0))*'Rules &amp; Formulas'!B6)*IF(D93="",0,D93),0))*(IFERROR(VLOOKUP(C93,Monsters!$T$4:$AH$15,3,FALSE),0))*(1+0.1*AH92)+(IF(OR(B93&lt;&gt;"Hunt",IFERROR(VLOOKUP(C93,Monsters!$T$4:$AH$15,6,FALSE),0)=0),0,FLOOR((IF(B93="Hunt",(('Rules &amp; Formulas'!B4*N92*('Rules &amp; Formulas'!B5+O92)*IFERROR(VLOOKUP(C93,Monsters!$T$4:$AH$15,10,FALSE),0)*IFERROR(VLOOKUP(C93,Monsters!$T$4:$AH$15,9,FALSE),0))*'Rules &amp; Formulas'!B6)*IF(D93="",0,D93),0))/MAX(1,IFERROR(VLOOKUP(C93,Monsters!$T$4:$AH$15,6,FALSE),0)),1)))*(IFERROR(VLOOKUP(C93,Monsters!$T$4:$AH$15,7,FALSE),0))*0.5*(1+0.1*AH92),0)+IF(AND((E93="OK"),B93="Go AFK"),(IF(B93="Go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AFK",IF(D93="",0,D93),0),Z92/60)*60)),0))*(IFERROR(VLOOKUP(C93,Monsters!$T$4:$AH$15,3,FALSE),0))*(1+0.1*AH92)+(IF(OR(B93&lt;&gt;"Go AFK",IFERROR(VLOOKUP(C93,Monsters!$T$4:$AH$15,6,FALSE),0)=0),0,FLOOR((IF(B93="Go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AFK",IF(D93="",0,D93),0),Z92/60)*60)),0))/MAX(1,IFERROR(VLOOKUP(C93,Monsters!$T$4:$AH$15,6,FALSE),0)),1)))*(IFERROR(VLOOKUP(C93,Monsters!$T$4:$AH$15,7,FALSE),0))*0.5*(1+0.1*AH92),0)+IF(AND((E93="OK"),B93="Fight boss",(IF((((105/'Rules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Formulas'!B12)),IFERROR(VLOOKUP(C93,Monsters!$T$4:$AH$15,3,FALSE),0),0)-IF(AND((E93="OK"),OR(B93="Buy upgrade",B93="Forge/Scrapwork buy"),IFERROR(VLOOKUP(C93,Upgrades!$N$4:$T$47,2,FALSE),0)="gold"),IFERROR(FLOOR(IFERROR(VLOOKUP(C93,Upgrades!$N$4:$T$47,3,FALSE),0)*(IFERROR(VLOOKUP(C93,Upgrades!$N$4:$T$47,4,FALSE),0)^(COUNTIFS($B$3:$B92,"Buy upgrade",$C$3:$C92,C93)+COUNTIFS($B$3:$B92,"Hire hunter",$C$3:$C92,C93)+COUNTIFS($B$3:$B92,"Forge/Scrapwork buy",$C$3:$C92,C93))),1),0),0)-IF(AND((E93="OK"),B93="Hire hunter"),IF(C93="Briar",140,IF(C93="Quill",3650,IF(C93="Moss",4850,IF(C93="Ember",12200,0)))),0))</f>
        <v/>
      </c>
      <c r="I93" s="7">
        <f>IF(AND((E93="OK"),B93="Fight boss",(IF((((105/'Rules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Formulas'!B12)),0,MIN(IF(G92&lt;=1,120,IF(G92=2,280,600)),I92+IF(AND((E93="OK"),B93="Hunt"),((IF(B93="Hunt",(('Rules &amp; Formulas'!B4*N92*('Rules &amp; Formulas'!B5+O92)*IFERROR(VLOOKUP(C93,Monsters!$T$4:$AH$15,10,FALSE),0)*IFERROR(VLOOKUP(C93,Monsters!$T$4:$AH$15,9,FALSE),0))*'Rules &amp; Formulas'!B6)*IF(D93="",0,D93),0))*(IFERROR(VLOOKUP(C93,Monsters!$T$4:$AH$15,4,FALSE),0))+(IF(OR(B93&lt;&gt;"Hunt",IFERROR(VLOOKUP(C93,Monsters!$T$4:$AH$15,6,FALSE),0)=0),0,FLOOR((IF(B93="Hunt",(('Rules &amp; Formulas'!B4*N92*('Rules &amp; Formulas'!B5+O92)*IFERROR(VLOOKUP(C93,Monsters!$T$4:$AH$15,10,FALSE),0)*IFERROR(VLOOKUP(C93,Monsters!$T$4:$AH$15,9,FALSE),0))*'Rules &amp; Formulas'!B6)*IF(D93="",0,D93),0))/MAX(1,IFERROR(VLOOKUP(C93,Monsters!$T$4:$AH$15,6,FALSE),0)),1)))*(IFERROR(VLOOKUP(C93,Monsters!$T$4:$AH$15,7,FALSE),0))),0)+IF(AND((E93="OK"),B93="Go AFK"),((IF(B93="Go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AFK",IF(D93="",0,D93),0),Z92/60)*60)),0))*(IFERROR(VLOOKUP(C93,Monsters!$T$4:$AH$15,4,FALSE),0))+(IF(OR(B93&lt;&gt;"Go AFK",IFERROR(VLOOKUP(C93,Monsters!$T$4:$AH$15,6,FALSE),0)=0),0,FLOOR((IF(B93="Go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AFK",IF(D93="",0,D93),0),Z92/60)*60)),0))/MAX(1,IFERROR(VLOOKUP(C93,Monsters!$T$4:$AH$15,6,FALSE),0)),1)))*(IFERROR(VLOOKUP(C93,Monsters!$T$4:$AH$15,7,FALSE),0))),0)))</f>
        <v/>
      </c>
      <c r="J93" s="7">
        <f>MAX(0,J92+IF(AND((E93="OK"),B93="Hunt"),(IF(B93="Hunt",(('Rules &amp; Formulas'!B4*N92*('Rules &amp; Formulas'!B5+O92)*IFERROR(VLOOKUP(C93,Monsters!$T$4:$AH$15,10,FALSE),0)*IFERROR(VLOOKUP(C93,Monsters!$T$4:$AH$15,9,FALSE),0))*'Rules &amp; Formulas'!B6)*IF(D93="",0,D93),0))*(IFERROR(VLOOKUP(C93,Monsters!$T$4:$AH$15,5,FALSE),0)),0)+IF(AND((E93="OK"),B93="Go AFK"),(IF(B93="Go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AFK",IF(D93="",0,D93),0),Z92/60)*60)),0))*(IFERROR(VLOOKUP(C93,Monsters!$T$4:$AH$15,5,FALSE),0)),0)-IF(AND((E93="OK"),OR(B93="Buy upgrade",B93="Forge/Scrapwork buy"),IFERROR(VLOOKUP(C93,Upgrades!$N$4:$T$47,2,FALSE),0)="scraps"),IFERROR(FLOOR(IFERROR(VLOOKUP(C93,Upgrades!$N$4:$T$47,3,FALSE),0)*(IFERROR(VLOOKUP(C93,Upgrades!$N$4:$T$47,4,FALSE),0)^(COUNTIFS($B$3:$B92,"Buy upgrade",$C$3:$C92,C93)+COUNTIFS($B$3:$B92,"Hire hunter",$C$3:$C92,C93)+COUNTIFS($B$3:$B92,"Forge/Scrapwork buy",$C$3:$C92,C93))),1),0),0))</f>
        <v/>
      </c>
      <c r="K93" s="7">
        <f>MAX(0,K92+IF(AND((E93="OK"),B93="Hunt"),IF(C93="Thornpelt Bear",(IF(B93="Hunt",(('Rules &amp; Formulas'!B4*N92*('Rules &amp; Formulas'!B5+O92)*IFERROR(VLOOKUP(C93,Monsters!$T$4:$AH$15,10,FALSE),0)*IFERROR(VLOOKUP(C93,Monsters!$T$4:$AH$15,9,FALSE),0))*'Rules &amp; Formulas'!B6)*IF(D93="",0,D93),0))*0.12,0),0)+IF(AND((E93="OK"),B93="Go AFK"),IF(C93="Thornpelt Bear",(IF(B93="Go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AFK",IF(D93="",0,D93),0),Z92/60)*60)),0))*0.12,0),0))</f>
        <v/>
      </c>
      <c r="L93" s="7">
        <f>MAX(0,L92+IF(AND((E93="OK"),B93="Hunt"),IF(C93="Dire Thornpelt",(IF(B93="Hunt",(('Rules &amp; Formulas'!B4*N92*('Rules &amp; Formulas'!B5+O92)*IFERROR(VLOOKUP(C93,Monsters!$T$4:$AH$15,10,FALSE),0)*IFERROR(VLOOKUP(C93,Monsters!$T$4:$AH$15,9,FALSE),0))*'Rules &amp; Formulas'!B6)*IF(D93="",0,D93),0))*0.1,0),0)+IF(AND((E93="OK"),B93="Go AFK"),IF(C93="Dire Thornpelt",(IF(B93="Go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AFK",IF(D93="",0,D93),0),Z92/60)*60)),0))*0.1,0),0))</f>
        <v/>
      </c>
      <c r="M93" s="7">
        <f>IF(AND((E93="OK"),B93="Go AFK"),MAX(0,MIN(('Rules &amp; Formulas'!B15+25*AJ92),M92+('Rules &amp; Formulas'!B14+0.4*AJ92)*(MIN(IF(B93="Go AFK",IF(D93="",0,D93),0),Z92/60)*60))-(IF(B93="Go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AFK",IF(D93="",0,D93),0),Z92/60)*60)),0))*(IF((IFERROR(VLOOKUP(C93,Monsters!$T$4:$AH$15,8,FALSE),0))=0,0.35,IFERROR(VLOOKUP(C93,Monsters!$T$4:$AH$15,8,FALSE),0))/(1+0.08*AK92))),MIN(('Rules &amp; Formulas'!B15+25*AJ93),M92))</f>
        <v/>
      </c>
      <c r="N93" s="7">
        <f>(1+0.08+0.12*AA93+0.12*AB93+0.16*AC93)</f>
        <v/>
      </c>
      <c r="O93" s="7">
        <f>((AD93&gt;=1)*1*(1+0.3*AE93))</f>
        <v/>
      </c>
      <c r="P93" s="7">
        <f>IF(OR(B93="Hunt",B93="Go AFK"),(('Rules &amp; Formulas'!B4*N92*('Rules &amp; Formulas'!B5+O92)*IFERROR(VLOOKUP(C93,Monsters!$T$4:$AH$15,10,FALSE),0)*IFERROR(VLOOKUP(C93,Monsters!$T$4:$AH$15,9,FALSE),0))*'Rules &amp; Formulas'!B6),"")</f>
        <v/>
      </c>
      <c r="Q93" s="7">
        <f>IF(OR(B93="Hunt",B93="Go AFK"),('Rules &amp; Formulas'!B4*N92*('Rules &amp; Formulas'!B5+O92)*IFERROR(VLOOKUP(C93,Monsters!$T$4:$AH$15,10,FALSE),0)*IFERROR(VLOOKUP(C93,Monsters!$T$4:$AH$15,9,FALSE),0)),"")</f>
        <v/>
      </c>
      <c r="R93" s="7">
        <f>IF(AND((E93="OK"),B93="Hunt"),IF(B93="Hunt",(('Rules &amp; Formulas'!B4*N92*('Rules &amp; Formulas'!B5+O92)*IFERROR(VLOOKUP(C93,Monsters!$T$4:$AH$15,10,FALSE),0)*IFERROR(VLOOKUP(C93,Monsters!$T$4:$AH$15,9,FALSE),0))*'Rules &amp; Formulas'!B6)*IF(D93="",0,D93),0),IF(AND((E93="OK"),B93="Go AFK"),IF(B93="Go AFK",MIN(IF((IF((IFERROR(VLOOKUP(C93,Monsters!$T$4:$AH$15,8,FALSE),0))=0,0.35,IFERROR(VLOOKUP(C93,Monsters!$T$4:$AH$15,8,FALSE),0))/(1+0.08*AK92))&lt;=0,999999,FLOOR(MIN(('Rules &amp; Formulas'!B15+25*AJ92),M92+('Rules &amp; Formulas'!B14+0.4*AJ92)*(MIN(IF(B93="Go AFK",IF(D93="",0,D93),0),Z92/60)*60))/(IF((IFERROR(VLOOKUP(C93,Monsters!$T$4:$AH$15,8,FALSE),0))=0,0.35,IFERROR(VLOOKUP(C93,Monsters!$T$4:$AH$15,8,FALSE),0))/(1+0.08*AK92)),1)),('Rules &amp; Formulas'!B4*N92*('Rules &amp; Formulas'!B5+O92)*IFERROR(VLOOKUP(C93,Monsters!$T$4:$AH$15,10,FALSE),0)*IFERROR(VLOOKUP(C93,Monsters!$T$4:$AH$15,9,FALSE),0))*(MIN(IF(B93="Go AFK",IF(D93="",0,D93),0),Z92/60)*60)),0),0))</f>
        <v/>
      </c>
      <c r="S93" s="7">
        <f>(105/'Rules &amp; Formulas'!B10)*'Rules &amp; Formulas'!B11</f>
        <v/>
      </c>
      <c r="T93" s="7">
        <f>IF(AD92&gt;=1,(MAX(1,ROUND('Rules &amp; Formulas'!B18*(1+0.3*AE92)*(1+0.4*AF92),0)))*(1000/'Rules &amp; Formulas'!B19)*MIN(0.95,'Rules &amp; Formulas'!B20*SQRT(1+0.55*(AG92&gt;=1))),0)</f>
        <v/>
      </c>
      <c r="U93" s="7">
        <f>S93+T93</f>
        <v/>
      </c>
      <c r="V93" s="7">
        <f>IF(I92&gt;=IF((IFERROR(VLOOKUP(C93,Monsters!$T$4:$AH$15,15,FALSE),0))=0,120,IFERROR(VLOOKUP(C93,Monsters!$T$4:$AH$15,15,FALSE),0)),"YES","no")</f>
        <v/>
      </c>
      <c r="W93" s="7">
        <f>IF(AND(B93="Fight boss",E93="OK"),IF((((105/'Rules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Formulas'!B20*SQRT(1+0.55*(AG92&gt;=1))),0)))),"")</f>
        <v/>
      </c>
      <c r="X93" s="7">
        <f>IF(AND(B93="Fight boss",E93="OK"),IF((IF((((105/'Rules &amp; Formulas'!B10)*'Rules &amp; Formulas'!B11+IF(AD92&gt;=1,(MAX(1,ROUND('Rules &amp; Formulas'!B18*(1+0.3*AE92)*(1+0.4*AF92),0)))*(1000/'Rules &amp; Formulas'!B19)*MIN(0.95,'Rules &amp; Formulas'!B20*SQRT(1+0.55*(AG92&gt;=1))),0)))&lt;=0,9999,(IFERROR(VLOOKUP(C93,Monsters!$T$4:$AH$15,2,FALSE),0))/(((105/'Rules &amp; Formulas'!B10)*'Rules &amp; Formulas'!B11+IF(AD92&gt;=1,(MAX(1,ROUND('Rules &amp; Formulas'!B18*(1+0.3*AE92)*(1+0.4*AF92),0)))*(1000/'Rules &amp; Formulas'!B19)*MIN(0.95,'Rules &amp; Formulas'!B20*SQRT(1+0.55*(AG92&gt;=1))),0))))&lt;='Rules &amp; Formulas'!B12),"WIN","LOSE"),"")</f>
        <v/>
      </c>
      <c r="Y93" s="7">
        <f>IF(B93="Go AFK",MIN(IF(B93="Go AFK",IF(D93="",0,D93),0),Z92/60),"")</f>
        <v/>
      </c>
      <c r="Z93" s="7">
        <f>('Rules &amp; Formulas'!B13+30*AI93)</f>
        <v/>
      </c>
      <c r="AA93">
        <f>COUNTIFS($B$3:$B93,"Buy upgrade",$C$3:$C93,"Idle Power")</f>
        <v/>
      </c>
      <c r="AB93">
        <f>COUNTIFS($B$3:$B93,"Buy upgrade",$C$3:$C93,"Iron Blade")</f>
        <v/>
      </c>
      <c r="AC93">
        <f>COUNTIFS($B$3:$B93,"Buy upgrade",$C$3:$C93,"Steel Blade")</f>
        <v/>
      </c>
      <c r="AD93">
        <f>COUNTIFS($B$3:$B93,"Hire hunter",$C$3:$C93,"Briar")+COUNTIFS($B$3:$B93,"Buy upgrade",$C$3:$C93,"Hire Briar")</f>
        <v/>
      </c>
      <c r="AE93">
        <f>COUNTIFS($B$3:$B93,"Buy upgrade",$C$3:$C93,"Hunter Power")</f>
        <v/>
      </c>
      <c r="AF93">
        <f>COUNTIFS($B$3:$B93,"Buy upgrade",$C$3:$C93,"Bigger Hits")</f>
        <v/>
      </c>
      <c r="AG93">
        <f>COUNTIFS($B$3:$B93,"Buy upgrade",$C$3:$C93,"Swift Walk")</f>
        <v/>
      </c>
      <c r="AH93">
        <f>COUNTIFS($B$3:$B93,"Buy upgrade",$C$3:$C93,"Loot Luck")</f>
        <v/>
      </c>
      <c r="AI93">
        <f>COUNTIFS($B$3:$B93,"Buy upgrade",$C$3:$C93,"Offline Cap")</f>
        <v/>
      </c>
      <c r="AJ93">
        <f>COUNTIFS($B$3:$B93,"Buy upgrade",$C$3:$C93,"Bigger Food Stock")</f>
        <v/>
      </c>
      <c r="AK93">
        <f>COUNTIFS($B$3:$B93,"Buy upgrade",$C$3:$C93,"Food Efficiency")</f>
        <v/>
      </c>
    </row>
    <row r="94">
      <c r="A94" t="n">
        <v>92</v>
      </c>
      <c r="B94" s="6" t="n"/>
      <c r="C94" s="6" t="n"/>
      <c r="D94" s="6" t="n"/>
      <c r="E94" s="7">
        <f>IF(B94="","",IF(OR(B94="Hunt",B94="Go AFK"),IF(C94="","Can't","OK"),IF(B94="Fight boss",IF(I93&lt;IF((IFERROR(VLOOKUP(C94,Monsters!$T$4:$AH$15,15,FALSE),0))=0,120,IFERROR(VLOOKUP(C94,Monsters!$T$4:$AH$15,15,FALSE),0)),"Can't","OK"),IF(B94="Hire hunter",IF(AND(C94="Briar",AD93&gt;=1),"Can't",IF(H93&lt;IF(C94="Briar",140,IF(C94="Quill",3650,IF(C94="Moss",4850,IF(C94="Ember",12200,0)))),"Can't","OK")),IF(OR(B94="Buy upgrade",B94="Forge/Scrapwork buy"),IF(IFERROR(VLOOKUP(C94,Upgrades!$N$4:$T$47,2,FALSE),0)="points","Can't",IF(IFERROR(VLOOKUP(C94,Upgrades!$N$4:$T$47,2,FALSE),0)="gold",IF(H93&lt;IFERROR(FLOOR(IFERROR(VLOOKUP(C94,Upgrades!$N$4:$T$47,3,FALSE),0)*(IFERROR(VLOOKUP(C94,Upgrades!$N$4:$T$47,4,FALSE),0)^(COUNTIFS($B$3:$B93,"Buy upgrade",$C$3:$C93,C94)+COUNTIFS($B$3:$B93,"Hire hunter",$C$3:$C93,C94)+COUNTIFS($B$3:$B93,"Forge/Scrapwork buy",$C$3:$C93,C94))),1),0),"Can't","OK"),IF(IFERROR(VLOOKUP(C94,Upgrades!$N$4:$T$47,2,FALSE),0)="scraps",IF(J93&lt;IFERROR(FLOOR(IFERROR(VLOOKUP(C94,Upgrades!$N$4:$T$47,3,FALSE),0)*(IFERROR(VLOOKUP(C94,Upgrades!$N$4:$T$47,4,FALSE),0)^(COUNTIFS($B$3:$B93,"Buy upgrade",$C$3:$C93,C94)+COUNTIFS($B$3:$B93,"Hire hunter",$C$3:$C93,C94)+COUNTIFS($B$3:$B93,"Forge/Scrapwork buy",$C$3:$C93,C94))),1),0),"Can't","OK"),IF(IFERROR(VLOOKUP(C94,Upgrades!$N$4:$T$47,2,FALSE),0)="mats","Can't","OK")))),"Check")))))</f>
        <v/>
      </c>
      <c r="F94" s="7">
        <f>IF(B94="","",IF(AND(B94="Fight boss",I93&lt;IF((IFERROR(VLOOKUP(C94,Monsters!$T$4:$AH$15,15,FALSE),0))=0,120,IFERROR(VLOOKUP(C94,Monsters!$T$4:$AH$15,15,FALSE),0))),"Can't — need "&amp;TEXT(IF((IFERROR(VLOOKUP(C94,Monsters!$T$4:$AH$15,15,FALSE),0))=0,120,IFERROR(VLOOKUP(C94,Monsters!$T$4:$AH$15,15,FALSE),0))-I93,"0.0")&amp;" more Slayer points on the meter",IF(AND(B94="Hire hunter",C94="Briar",AD93&gt;=1),"Can't — already hired",IF(AND(B94="Hire hunter",H93&lt;IF(C94="Briar",140,IF(C94="Quill",3650,IF(C94="Moss",4850,IF(C94="Ember",12200,0))))),"Can't — need "&amp;TEXT(IF(C94="Briar",140,IF(C94="Quill",3650,IF(C94="Moss",4850,IF(C94="Ember",12200,0))))-H93,"0")&amp;" more gold",IF(AND(OR(B94="Buy upgrade",B94="Forge/Scrapwork buy"),IFERROR(VLOOKUP(C94,Upgrades!$N$4:$T$47,2,FALSE),0)="points"),"Can't — Sp-wallet spends not tracked here",IF(AND(OR(B94="Buy upgrade",B94="Forge/Scrapwork buy"),IFERROR(VLOOKUP(C94,Upgrades!$N$4:$T$47,2,FALSE),0)="gold",H93&lt;IFERROR(FLOOR(IFERROR(VLOOKUP(C94,Upgrades!$N$4:$T$47,3,FALSE),0)*(IFERROR(VLOOKUP(C94,Upgrades!$N$4:$T$47,4,FALSE),0)^(COUNTIFS($B$3:$B93,"Buy upgrade",$C$3:$C93,C94)+COUNTIFS($B$3:$B93,"Hire hunter",$C$3:$C93,C94)+COUNTIFS($B$3:$B93,"Forge/Scrapwork buy",$C$3:$C93,C94))),1),0)),"Can't — need "&amp;TEXT(IFERROR(FLOOR(IFERROR(VLOOKUP(C94,Upgrades!$N$4:$T$47,3,FALSE),0)*(IFERROR(VLOOKUP(C94,Upgrades!$N$4:$T$47,4,FALSE),0)^(COUNTIFS($B$3:$B93,"Buy upgrade",$C$3:$C93,C94)+COUNTIFS($B$3:$B93,"Hire hunter",$C$3:$C93,C94)+COUNTIFS($B$3:$B93,"Forge/Scrapwork buy",$C$3:$C93,C94))),1),0)-H93,"0")&amp;" more gold",IF(AND(OR(B94="Buy upgrade",B94="Forge/Scrapwork buy"),IFERROR(VLOOKUP(C94,Upgrades!$N$4:$T$47,2,FALSE),0)="scraps",J93&lt;IFERROR(FLOOR(IFERROR(VLOOKUP(C94,Upgrades!$N$4:$T$47,3,FALSE),0)*(IFERROR(VLOOKUP(C94,Upgrades!$N$4:$T$47,4,FALSE),0)^(COUNTIFS($B$3:$B93,"Buy upgrade",$C$3:$C93,C94)+COUNTIFS($B$3:$B93,"Hire hunter",$C$3:$C93,C94)+COUNTIFS($B$3:$B93,"Forge/Scrapwork buy",$C$3:$C93,C94))),1),0)),"Can't — need "&amp;TEXT(IFERROR(FLOOR(IFERROR(VLOOKUP(C94,Upgrades!$N$4:$T$47,3,FALSE),0)*(IFERROR(VLOOKUP(C94,Upgrades!$N$4:$T$47,4,FALSE),0)^(COUNTIFS($B$3:$B93,"Buy upgrade",$C$3:$C93,C94)+COUNTIFS($B$3:$B93,"Hire hunter",$C$3:$C93,C94)+COUNTIFS($B$3:$B93,"Forge/Scrapwork buy",$C$3:$C93,C94))),1),0)-J93,"0")&amp;" more scraps",IF(AND(B94="Fight boss",E94="OK",(IF((((105/'Rules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Formulas'!B12)),"WIN — boss down, next Level unlocks",IF(AND(B94="Fight boss",E94="OK"),"LOSE — TTK "&amp;TEXT(IF((((105/'Rules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Formulas'!B20*SQRT(1+0.55*(AG93&gt;=1))),0)))),"0")&amp;"s &gt; patience "&amp;TEXT('Rules &amp; Formulas'!B12,"0")&amp;"s (leave resets HP)",IF(B94="Go AFK","AFK resolved (see AFK counted h)","Applied")))))))))</f>
        <v/>
      </c>
      <c r="G94" s="7">
        <f>IF(AND((E94="OK"),B94="Fight boss",(IF((((105/'Rules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Formulas'!B12),C94="Elder Thornpelt"),2,IF(AND((E94="OK"),B94="Fight boss",(IF((((105/'Rules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Formulas'!B12),C94="Ashfang Alpha"),3,G93))</f>
        <v/>
      </c>
      <c r="H94" s="7">
        <f>MAX(0,H93+IF(AND((E94="OK"),B94="Hunt"),(IF(B94="Hunt",(('Rules &amp; Formulas'!B4*N93*('Rules &amp; Formulas'!B5+O93)*IFERROR(VLOOKUP(C94,Monsters!$T$4:$AH$15,10,FALSE),0)*IFERROR(VLOOKUP(C94,Monsters!$T$4:$AH$15,9,FALSE),0))*'Rules &amp; Formulas'!B6)*IF(D94="",0,D94),0))*(IFERROR(VLOOKUP(C94,Monsters!$T$4:$AH$15,3,FALSE),0))*(1+0.1*AH93)+(IF(OR(B94&lt;&gt;"Hunt",IFERROR(VLOOKUP(C94,Monsters!$T$4:$AH$15,6,FALSE),0)=0),0,FLOOR((IF(B94="Hunt",(('Rules &amp; Formulas'!B4*N93*('Rules &amp; Formulas'!B5+O93)*IFERROR(VLOOKUP(C94,Monsters!$T$4:$AH$15,10,FALSE),0)*IFERROR(VLOOKUP(C94,Monsters!$T$4:$AH$15,9,FALSE),0))*'Rules &amp; Formulas'!B6)*IF(D94="",0,D94),0))/MAX(1,IFERROR(VLOOKUP(C94,Monsters!$T$4:$AH$15,6,FALSE),0)),1)))*(IFERROR(VLOOKUP(C94,Monsters!$T$4:$AH$15,7,FALSE),0))*0.5*(1+0.1*AH93),0)+IF(AND((E94="OK"),B94="Go AFK"),(IF(B94="Go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AFK",IF(D94="",0,D94),0),Z93/60)*60)),0))*(IFERROR(VLOOKUP(C94,Monsters!$T$4:$AH$15,3,FALSE),0))*(1+0.1*AH93)+(IF(OR(B94&lt;&gt;"Go AFK",IFERROR(VLOOKUP(C94,Monsters!$T$4:$AH$15,6,FALSE),0)=0),0,FLOOR((IF(B94="Go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AFK",IF(D94="",0,D94),0),Z93/60)*60)),0))/MAX(1,IFERROR(VLOOKUP(C94,Monsters!$T$4:$AH$15,6,FALSE),0)),1)))*(IFERROR(VLOOKUP(C94,Monsters!$T$4:$AH$15,7,FALSE),0))*0.5*(1+0.1*AH93),0)+IF(AND((E94="OK"),B94="Fight boss",(IF((((105/'Rules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Formulas'!B12)),IFERROR(VLOOKUP(C94,Monsters!$T$4:$AH$15,3,FALSE),0),0)-IF(AND((E94="OK"),OR(B94="Buy upgrade",B94="Forge/Scrapwork buy"),IFERROR(VLOOKUP(C94,Upgrades!$N$4:$T$47,2,FALSE),0)="gold"),IFERROR(FLOOR(IFERROR(VLOOKUP(C94,Upgrades!$N$4:$T$47,3,FALSE),0)*(IFERROR(VLOOKUP(C94,Upgrades!$N$4:$T$47,4,FALSE),0)^(COUNTIFS($B$3:$B93,"Buy upgrade",$C$3:$C93,C94)+COUNTIFS($B$3:$B93,"Hire hunter",$C$3:$C93,C94)+COUNTIFS($B$3:$B93,"Forge/Scrapwork buy",$C$3:$C93,C94))),1),0),0)-IF(AND((E94="OK"),B94="Hire hunter"),IF(C94="Briar",140,IF(C94="Quill",3650,IF(C94="Moss",4850,IF(C94="Ember",12200,0)))),0))</f>
        <v/>
      </c>
      <c r="I94" s="7">
        <f>IF(AND((E94="OK"),B94="Fight boss",(IF((((105/'Rules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Formulas'!B12)),0,MIN(IF(G93&lt;=1,120,IF(G93=2,280,600)),I93+IF(AND((E94="OK"),B94="Hunt"),((IF(B94="Hunt",(('Rules &amp; Formulas'!B4*N93*('Rules &amp; Formulas'!B5+O93)*IFERROR(VLOOKUP(C94,Monsters!$T$4:$AH$15,10,FALSE),0)*IFERROR(VLOOKUP(C94,Monsters!$T$4:$AH$15,9,FALSE),0))*'Rules &amp; Formulas'!B6)*IF(D94="",0,D94),0))*(IFERROR(VLOOKUP(C94,Monsters!$T$4:$AH$15,4,FALSE),0))+(IF(OR(B94&lt;&gt;"Hunt",IFERROR(VLOOKUP(C94,Monsters!$T$4:$AH$15,6,FALSE),0)=0),0,FLOOR((IF(B94="Hunt",(('Rules &amp; Formulas'!B4*N93*('Rules &amp; Formulas'!B5+O93)*IFERROR(VLOOKUP(C94,Monsters!$T$4:$AH$15,10,FALSE),0)*IFERROR(VLOOKUP(C94,Monsters!$T$4:$AH$15,9,FALSE),0))*'Rules &amp; Formulas'!B6)*IF(D94="",0,D94),0))/MAX(1,IFERROR(VLOOKUP(C94,Monsters!$T$4:$AH$15,6,FALSE),0)),1)))*(IFERROR(VLOOKUP(C94,Monsters!$T$4:$AH$15,7,FALSE),0))),0)+IF(AND((E94="OK"),B94="Go AFK"),((IF(B94="Go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AFK",IF(D94="",0,D94),0),Z93/60)*60)),0))*(IFERROR(VLOOKUP(C94,Monsters!$T$4:$AH$15,4,FALSE),0))+(IF(OR(B94&lt;&gt;"Go AFK",IFERROR(VLOOKUP(C94,Monsters!$T$4:$AH$15,6,FALSE),0)=0),0,FLOOR((IF(B94="Go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AFK",IF(D94="",0,D94),0),Z93/60)*60)),0))/MAX(1,IFERROR(VLOOKUP(C94,Monsters!$T$4:$AH$15,6,FALSE),0)),1)))*(IFERROR(VLOOKUP(C94,Monsters!$T$4:$AH$15,7,FALSE),0))),0)))</f>
        <v/>
      </c>
      <c r="J94" s="7">
        <f>MAX(0,J93+IF(AND((E94="OK"),B94="Hunt"),(IF(B94="Hunt",(('Rules &amp; Formulas'!B4*N93*('Rules &amp; Formulas'!B5+O93)*IFERROR(VLOOKUP(C94,Monsters!$T$4:$AH$15,10,FALSE),0)*IFERROR(VLOOKUP(C94,Monsters!$T$4:$AH$15,9,FALSE),0))*'Rules &amp; Formulas'!B6)*IF(D94="",0,D94),0))*(IFERROR(VLOOKUP(C94,Monsters!$T$4:$AH$15,5,FALSE),0)),0)+IF(AND((E94="OK"),B94="Go AFK"),(IF(B94="Go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AFK",IF(D94="",0,D94),0),Z93/60)*60)),0))*(IFERROR(VLOOKUP(C94,Monsters!$T$4:$AH$15,5,FALSE),0)),0)-IF(AND((E94="OK"),OR(B94="Buy upgrade",B94="Forge/Scrapwork buy"),IFERROR(VLOOKUP(C94,Upgrades!$N$4:$T$47,2,FALSE),0)="scraps"),IFERROR(FLOOR(IFERROR(VLOOKUP(C94,Upgrades!$N$4:$T$47,3,FALSE),0)*(IFERROR(VLOOKUP(C94,Upgrades!$N$4:$T$47,4,FALSE),0)^(COUNTIFS($B$3:$B93,"Buy upgrade",$C$3:$C93,C94)+COUNTIFS($B$3:$B93,"Hire hunter",$C$3:$C93,C94)+COUNTIFS($B$3:$B93,"Forge/Scrapwork buy",$C$3:$C93,C94))),1),0),0))</f>
        <v/>
      </c>
      <c r="K94" s="7">
        <f>MAX(0,K93+IF(AND((E94="OK"),B94="Hunt"),IF(C94="Thornpelt Bear",(IF(B94="Hunt",(('Rules &amp; Formulas'!B4*N93*('Rules &amp; Formulas'!B5+O93)*IFERROR(VLOOKUP(C94,Monsters!$T$4:$AH$15,10,FALSE),0)*IFERROR(VLOOKUP(C94,Monsters!$T$4:$AH$15,9,FALSE),0))*'Rules &amp; Formulas'!B6)*IF(D94="",0,D94),0))*0.12,0),0)+IF(AND((E94="OK"),B94="Go AFK"),IF(C94="Thornpelt Bear",(IF(B94="Go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AFK",IF(D94="",0,D94),0),Z93/60)*60)),0))*0.12,0),0))</f>
        <v/>
      </c>
      <c r="L94" s="7">
        <f>MAX(0,L93+IF(AND((E94="OK"),B94="Hunt"),IF(C94="Dire Thornpelt",(IF(B94="Hunt",(('Rules &amp; Formulas'!B4*N93*('Rules &amp; Formulas'!B5+O93)*IFERROR(VLOOKUP(C94,Monsters!$T$4:$AH$15,10,FALSE),0)*IFERROR(VLOOKUP(C94,Monsters!$T$4:$AH$15,9,FALSE),0))*'Rules &amp; Formulas'!B6)*IF(D94="",0,D94),0))*0.1,0),0)+IF(AND((E94="OK"),B94="Go AFK"),IF(C94="Dire Thornpelt",(IF(B94="Go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AFK",IF(D94="",0,D94),0),Z93/60)*60)),0))*0.1,0),0))</f>
        <v/>
      </c>
      <c r="M94" s="7">
        <f>IF(AND((E94="OK"),B94="Go AFK"),MAX(0,MIN(('Rules &amp; Formulas'!B15+25*AJ93),M93+('Rules &amp; Formulas'!B14+0.4*AJ93)*(MIN(IF(B94="Go AFK",IF(D94="",0,D94),0),Z93/60)*60))-(IF(B94="Go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AFK",IF(D94="",0,D94),0),Z93/60)*60)),0))*(IF((IFERROR(VLOOKUP(C94,Monsters!$T$4:$AH$15,8,FALSE),0))=0,0.35,IFERROR(VLOOKUP(C94,Monsters!$T$4:$AH$15,8,FALSE),0))/(1+0.08*AK93))),MIN(('Rules &amp; Formulas'!B15+25*AJ94),M93))</f>
        <v/>
      </c>
      <c r="N94" s="7">
        <f>(1+0.08+0.12*AA94+0.12*AB94+0.16*AC94)</f>
        <v/>
      </c>
      <c r="O94" s="7">
        <f>((AD94&gt;=1)*1*(1+0.3*AE94))</f>
        <v/>
      </c>
      <c r="P94" s="7">
        <f>IF(OR(B94="Hunt",B94="Go AFK"),(('Rules &amp; Formulas'!B4*N93*('Rules &amp; Formulas'!B5+O93)*IFERROR(VLOOKUP(C94,Monsters!$T$4:$AH$15,10,FALSE),0)*IFERROR(VLOOKUP(C94,Monsters!$T$4:$AH$15,9,FALSE),0))*'Rules &amp; Formulas'!B6),"")</f>
        <v/>
      </c>
      <c r="Q94" s="7">
        <f>IF(OR(B94="Hunt",B94="Go AFK"),('Rules &amp; Formulas'!B4*N93*('Rules &amp; Formulas'!B5+O93)*IFERROR(VLOOKUP(C94,Monsters!$T$4:$AH$15,10,FALSE),0)*IFERROR(VLOOKUP(C94,Monsters!$T$4:$AH$15,9,FALSE),0)),"")</f>
        <v/>
      </c>
      <c r="R94" s="7">
        <f>IF(AND((E94="OK"),B94="Hunt"),IF(B94="Hunt",(('Rules &amp; Formulas'!B4*N93*('Rules &amp; Formulas'!B5+O93)*IFERROR(VLOOKUP(C94,Monsters!$T$4:$AH$15,10,FALSE),0)*IFERROR(VLOOKUP(C94,Monsters!$T$4:$AH$15,9,FALSE),0))*'Rules &amp; Formulas'!B6)*IF(D94="",0,D94),0),IF(AND((E94="OK"),B94="Go AFK"),IF(B94="Go AFK",MIN(IF((IF((IFERROR(VLOOKUP(C94,Monsters!$T$4:$AH$15,8,FALSE),0))=0,0.35,IFERROR(VLOOKUP(C94,Monsters!$T$4:$AH$15,8,FALSE),0))/(1+0.08*AK93))&lt;=0,999999,FLOOR(MIN(('Rules &amp; Formulas'!B15+25*AJ93),M93+('Rules &amp; Formulas'!B14+0.4*AJ93)*(MIN(IF(B94="Go AFK",IF(D94="",0,D94),0),Z93/60)*60))/(IF((IFERROR(VLOOKUP(C94,Monsters!$T$4:$AH$15,8,FALSE),0))=0,0.35,IFERROR(VLOOKUP(C94,Monsters!$T$4:$AH$15,8,FALSE),0))/(1+0.08*AK93)),1)),('Rules &amp; Formulas'!B4*N93*('Rules &amp; Formulas'!B5+O93)*IFERROR(VLOOKUP(C94,Monsters!$T$4:$AH$15,10,FALSE),0)*IFERROR(VLOOKUP(C94,Monsters!$T$4:$AH$15,9,FALSE),0))*(MIN(IF(B94="Go AFK",IF(D94="",0,D94),0),Z93/60)*60)),0),0))</f>
        <v/>
      </c>
      <c r="S94" s="7">
        <f>(105/'Rules &amp; Formulas'!B10)*'Rules &amp; Formulas'!B11</f>
        <v/>
      </c>
      <c r="T94" s="7">
        <f>IF(AD93&gt;=1,(MAX(1,ROUND('Rules &amp; Formulas'!B18*(1+0.3*AE93)*(1+0.4*AF93),0)))*(1000/'Rules &amp; Formulas'!B19)*MIN(0.95,'Rules &amp; Formulas'!B20*SQRT(1+0.55*(AG93&gt;=1))),0)</f>
        <v/>
      </c>
      <c r="U94" s="7">
        <f>S94+T94</f>
        <v/>
      </c>
      <c r="V94" s="7">
        <f>IF(I93&gt;=IF((IFERROR(VLOOKUP(C94,Monsters!$T$4:$AH$15,15,FALSE),0))=0,120,IFERROR(VLOOKUP(C94,Monsters!$T$4:$AH$15,15,FALSE),0)),"YES","no")</f>
        <v/>
      </c>
      <c r="W94" s="7">
        <f>IF(AND(B94="Fight boss",E94="OK"),IF((((105/'Rules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Formulas'!B20*SQRT(1+0.55*(AG93&gt;=1))),0)))),"")</f>
        <v/>
      </c>
      <c r="X94" s="7">
        <f>IF(AND(B94="Fight boss",E94="OK"),IF((IF((((105/'Rules &amp; Formulas'!B10)*'Rules &amp; Formulas'!B11+IF(AD93&gt;=1,(MAX(1,ROUND('Rules &amp; Formulas'!B18*(1+0.3*AE93)*(1+0.4*AF93),0)))*(1000/'Rules &amp; Formulas'!B19)*MIN(0.95,'Rules &amp; Formulas'!B20*SQRT(1+0.55*(AG93&gt;=1))),0)))&lt;=0,9999,(IFERROR(VLOOKUP(C94,Monsters!$T$4:$AH$15,2,FALSE),0))/(((105/'Rules &amp; Formulas'!B10)*'Rules &amp; Formulas'!B11+IF(AD93&gt;=1,(MAX(1,ROUND('Rules &amp; Formulas'!B18*(1+0.3*AE93)*(1+0.4*AF93),0)))*(1000/'Rules &amp; Formulas'!B19)*MIN(0.95,'Rules &amp; Formulas'!B20*SQRT(1+0.55*(AG93&gt;=1))),0))))&lt;='Rules &amp; Formulas'!B12),"WIN","LOSE"),"")</f>
        <v/>
      </c>
      <c r="Y94" s="7">
        <f>IF(B94="Go AFK",MIN(IF(B94="Go AFK",IF(D94="",0,D94),0),Z93/60),"")</f>
        <v/>
      </c>
      <c r="Z94" s="7">
        <f>('Rules &amp; Formulas'!B13+30*AI94)</f>
        <v/>
      </c>
      <c r="AA94">
        <f>COUNTIFS($B$3:$B94,"Buy upgrade",$C$3:$C94,"Idle Power")</f>
        <v/>
      </c>
      <c r="AB94">
        <f>COUNTIFS($B$3:$B94,"Buy upgrade",$C$3:$C94,"Iron Blade")</f>
        <v/>
      </c>
      <c r="AC94">
        <f>COUNTIFS($B$3:$B94,"Buy upgrade",$C$3:$C94,"Steel Blade")</f>
        <v/>
      </c>
      <c r="AD94">
        <f>COUNTIFS($B$3:$B94,"Hire hunter",$C$3:$C94,"Briar")+COUNTIFS($B$3:$B94,"Buy upgrade",$C$3:$C94,"Hire Briar")</f>
        <v/>
      </c>
      <c r="AE94">
        <f>COUNTIFS($B$3:$B94,"Buy upgrade",$C$3:$C94,"Hunter Power")</f>
        <v/>
      </c>
      <c r="AF94">
        <f>COUNTIFS($B$3:$B94,"Buy upgrade",$C$3:$C94,"Bigger Hits")</f>
        <v/>
      </c>
      <c r="AG94">
        <f>COUNTIFS($B$3:$B94,"Buy upgrade",$C$3:$C94,"Swift Walk")</f>
        <v/>
      </c>
      <c r="AH94">
        <f>COUNTIFS($B$3:$B94,"Buy upgrade",$C$3:$C94,"Loot Luck")</f>
        <v/>
      </c>
      <c r="AI94">
        <f>COUNTIFS($B$3:$B94,"Buy upgrade",$C$3:$C94,"Offline Cap")</f>
        <v/>
      </c>
      <c r="AJ94">
        <f>COUNTIFS($B$3:$B94,"Buy upgrade",$C$3:$C94,"Bigger Food Stock")</f>
        <v/>
      </c>
      <c r="AK94">
        <f>COUNTIFS($B$3:$B94,"Buy upgrade",$C$3:$C94,"Food Efficiency")</f>
        <v/>
      </c>
    </row>
    <row r="95">
      <c r="A95" t="n">
        <v>93</v>
      </c>
      <c r="B95" s="6" t="n"/>
      <c r="C95" s="6" t="n"/>
      <c r="D95" s="6" t="n"/>
      <c r="E95" s="7">
        <f>IF(B95="","",IF(OR(B95="Hunt",B95="Go AFK"),IF(C95="","Can't","OK"),IF(B95="Fight boss",IF(I94&lt;IF((IFERROR(VLOOKUP(C95,Monsters!$T$4:$AH$15,15,FALSE),0))=0,120,IFERROR(VLOOKUP(C95,Monsters!$T$4:$AH$15,15,FALSE),0)),"Can't","OK"),IF(B95="Hire hunter",IF(AND(C95="Briar",AD94&gt;=1),"Can't",IF(H94&lt;IF(C95="Briar",140,IF(C95="Quill",3650,IF(C95="Moss",4850,IF(C95="Ember",12200,0)))),"Can't","OK")),IF(OR(B95="Buy upgrade",B95="Forge/Scrapwork buy"),IF(IFERROR(VLOOKUP(C95,Upgrades!$N$4:$T$47,2,FALSE),0)="points","Can't",IF(IFERROR(VLOOKUP(C95,Upgrades!$N$4:$T$47,2,FALSE),0)="gold",IF(H94&lt;IFERROR(FLOOR(IFERROR(VLOOKUP(C95,Upgrades!$N$4:$T$47,3,FALSE),0)*(IFERROR(VLOOKUP(C95,Upgrades!$N$4:$T$47,4,FALSE),0)^(COUNTIFS($B$3:$B94,"Buy upgrade",$C$3:$C94,C95)+COUNTIFS($B$3:$B94,"Hire hunter",$C$3:$C94,C95)+COUNTIFS($B$3:$B94,"Forge/Scrapwork buy",$C$3:$C94,C95))),1),0),"Can't","OK"),IF(IFERROR(VLOOKUP(C95,Upgrades!$N$4:$T$47,2,FALSE),0)="scraps",IF(J94&lt;IFERROR(FLOOR(IFERROR(VLOOKUP(C95,Upgrades!$N$4:$T$47,3,FALSE),0)*(IFERROR(VLOOKUP(C95,Upgrades!$N$4:$T$47,4,FALSE),0)^(COUNTIFS($B$3:$B94,"Buy upgrade",$C$3:$C94,C95)+COUNTIFS($B$3:$B94,"Hire hunter",$C$3:$C94,C95)+COUNTIFS($B$3:$B94,"Forge/Scrapwork buy",$C$3:$C94,C95))),1),0),"Can't","OK"),IF(IFERROR(VLOOKUP(C95,Upgrades!$N$4:$T$47,2,FALSE),0)="mats","Can't","OK")))),"Check")))))</f>
        <v/>
      </c>
      <c r="F95" s="7">
        <f>IF(B95="","",IF(AND(B95="Fight boss",I94&lt;IF((IFERROR(VLOOKUP(C95,Monsters!$T$4:$AH$15,15,FALSE),0))=0,120,IFERROR(VLOOKUP(C95,Monsters!$T$4:$AH$15,15,FALSE),0))),"Can't — need "&amp;TEXT(IF((IFERROR(VLOOKUP(C95,Monsters!$T$4:$AH$15,15,FALSE),0))=0,120,IFERROR(VLOOKUP(C95,Monsters!$T$4:$AH$15,15,FALSE),0))-I94,"0.0")&amp;" more Slayer points on the meter",IF(AND(B95="Hire hunter",C95="Briar",AD94&gt;=1),"Can't — already hired",IF(AND(B95="Hire hunter",H94&lt;IF(C95="Briar",140,IF(C95="Quill",3650,IF(C95="Moss",4850,IF(C95="Ember",12200,0))))),"Can't — need "&amp;TEXT(IF(C95="Briar",140,IF(C95="Quill",3650,IF(C95="Moss",4850,IF(C95="Ember",12200,0))))-H94,"0")&amp;" more gold",IF(AND(OR(B95="Buy upgrade",B95="Forge/Scrapwork buy"),IFERROR(VLOOKUP(C95,Upgrades!$N$4:$T$47,2,FALSE),0)="points"),"Can't — Sp-wallet spends not tracked here",IF(AND(OR(B95="Buy upgrade",B95="Forge/Scrapwork buy"),IFERROR(VLOOKUP(C95,Upgrades!$N$4:$T$47,2,FALSE),0)="gold",H94&lt;IFERROR(FLOOR(IFERROR(VLOOKUP(C95,Upgrades!$N$4:$T$47,3,FALSE),0)*(IFERROR(VLOOKUP(C95,Upgrades!$N$4:$T$47,4,FALSE),0)^(COUNTIFS($B$3:$B94,"Buy upgrade",$C$3:$C94,C95)+COUNTIFS($B$3:$B94,"Hire hunter",$C$3:$C94,C95)+COUNTIFS($B$3:$B94,"Forge/Scrapwork buy",$C$3:$C94,C95))),1),0)),"Can't — need "&amp;TEXT(IFERROR(FLOOR(IFERROR(VLOOKUP(C95,Upgrades!$N$4:$T$47,3,FALSE),0)*(IFERROR(VLOOKUP(C95,Upgrades!$N$4:$T$47,4,FALSE),0)^(COUNTIFS($B$3:$B94,"Buy upgrade",$C$3:$C94,C95)+COUNTIFS($B$3:$B94,"Hire hunter",$C$3:$C94,C95)+COUNTIFS($B$3:$B94,"Forge/Scrapwork buy",$C$3:$C94,C95))),1),0)-H94,"0")&amp;" more gold",IF(AND(OR(B95="Buy upgrade",B95="Forge/Scrapwork buy"),IFERROR(VLOOKUP(C95,Upgrades!$N$4:$T$47,2,FALSE),0)="scraps",J94&lt;IFERROR(FLOOR(IFERROR(VLOOKUP(C95,Upgrades!$N$4:$T$47,3,FALSE),0)*(IFERROR(VLOOKUP(C95,Upgrades!$N$4:$T$47,4,FALSE),0)^(COUNTIFS($B$3:$B94,"Buy upgrade",$C$3:$C94,C95)+COUNTIFS($B$3:$B94,"Hire hunter",$C$3:$C94,C95)+COUNTIFS($B$3:$B94,"Forge/Scrapwork buy",$C$3:$C94,C95))),1),0)),"Can't — need "&amp;TEXT(IFERROR(FLOOR(IFERROR(VLOOKUP(C95,Upgrades!$N$4:$T$47,3,FALSE),0)*(IFERROR(VLOOKUP(C95,Upgrades!$N$4:$T$47,4,FALSE),0)^(COUNTIFS($B$3:$B94,"Buy upgrade",$C$3:$C94,C95)+COUNTIFS($B$3:$B94,"Hire hunter",$C$3:$C94,C95)+COUNTIFS($B$3:$B94,"Forge/Scrapwork buy",$C$3:$C94,C95))),1),0)-J94,"0")&amp;" more scraps",IF(AND(B95="Fight boss",E95="OK",(IF((((105/'Rules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Formulas'!B12)),"WIN — boss down, next Level unlocks",IF(AND(B95="Fight boss",E95="OK"),"LOSE — TTK "&amp;TEXT(IF((((105/'Rules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Formulas'!B20*SQRT(1+0.55*(AG94&gt;=1))),0)))),"0")&amp;"s &gt; patience "&amp;TEXT('Rules &amp; Formulas'!B12,"0")&amp;"s (leave resets HP)",IF(B95="Go AFK","AFK resolved (see AFK counted h)","Applied")))))))))</f>
        <v/>
      </c>
      <c r="G95" s="7">
        <f>IF(AND((E95="OK"),B95="Fight boss",(IF((((105/'Rules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Formulas'!B12),C95="Elder Thornpelt"),2,IF(AND((E95="OK"),B95="Fight boss",(IF((((105/'Rules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Formulas'!B12),C95="Ashfang Alpha"),3,G94))</f>
        <v/>
      </c>
      <c r="H95" s="7">
        <f>MAX(0,H94+IF(AND((E95="OK"),B95="Hunt"),(IF(B95="Hunt",(('Rules &amp; Formulas'!B4*N94*('Rules &amp; Formulas'!B5+O94)*IFERROR(VLOOKUP(C95,Monsters!$T$4:$AH$15,10,FALSE),0)*IFERROR(VLOOKUP(C95,Monsters!$T$4:$AH$15,9,FALSE),0))*'Rules &amp; Formulas'!B6)*IF(D95="",0,D95),0))*(IFERROR(VLOOKUP(C95,Monsters!$T$4:$AH$15,3,FALSE),0))*(1+0.1*AH94)+(IF(OR(B95&lt;&gt;"Hunt",IFERROR(VLOOKUP(C95,Monsters!$T$4:$AH$15,6,FALSE),0)=0),0,FLOOR((IF(B95="Hunt",(('Rules &amp; Formulas'!B4*N94*('Rules &amp; Formulas'!B5+O94)*IFERROR(VLOOKUP(C95,Monsters!$T$4:$AH$15,10,FALSE),0)*IFERROR(VLOOKUP(C95,Monsters!$T$4:$AH$15,9,FALSE),0))*'Rules &amp; Formulas'!B6)*IF(D95="",0,D95),0))/MAX(1,IFERROR(VLOOKUP(C95,Monsters!$T$4:$AH$15,6,FALSE),0)),1)))*(IFERROR(VLOOKUP(C95,Monsters!$T$4:$AH$15,7,FALSE),0))*0.5*(1+0.1*AH94),0)+IF(AND((E95="OK"),B95="Go AFK"),(IF(B95="Go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AFK",IF(D95="",0,D95),0),Z94/60)*60)),0))*(IFERROR(VLOOKUP(C95,Monsters!$T$4:$AH$15,3,FALSE),0))*(1+0.1*AH94)+(IF(OR(B95&lt;&gt;"Go AFK",IFERROR(VLOOKUP(C95,Monsters!$T$4:$AH$15,6,FALSE),0)=0),0,FLOOR((IF(B95="Go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AFK",IF(D95="",0,D95),0),Z94/60)*60)),0))/MAX(1,IFERROR(VLOOKUP(C95,Monsters!$T$4:$AH$15,6,FALSE),0)),1)))*(IFERROR(VLOOKUP(C95,Monsters!$T$4:$AH$15,7,FALSE),0))*0.5*(1+0.1*AH94),0)+IF(AND((E95="OK"),B95="Fight boss",(IF((((105/'Rules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Formulas'!B12)),IFERROR(VLOOKUP(C95,Monsters!$T$4:$AH$15,3,FALSE),0),0)-IF(AND((E95="OK"),OR(B95="Buy upgrade",B95="Forge/Scrapwork buy"),IFERROR(VLOOKUP(C95,Upgrades!$N$4:$T$47,2,FALSE),0)="gold"),IFERROR(FLOOR(IFERROR(VLOOKUP(C95,Upgrades!$N$4:$T$47,3,FALSE),0)*(IFERROR(VLOOKUP(C95,Upgrades!$N$4:$T$47,4,FALSE),0)^(COUNTIFS($B$3:$B94,"Buy upgrade",$C$3:$C94,C95)+COUNTIFS($B$3:$B94,"Hire hunter",$C$3:$C94,C95)+COUNTIFS($B$3:$B94,"Forge/Scrapwork buy",$C$3:$C94,C95))),1),0),0)-IF(AND((E95="OK"),B95="Hire hunter"),IF(C95="Briar",140,IF(C95="Quill",3650,IF(C95="Moss",4850,IF(C95="Ember",12200,0)))),0))</f>
        <v/>
      </c>
      <c r="I95" s="7">
        <f>IF(AND((E95="OK"),B95="Fight boss",(IF((((105/'Rules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Formulas'!B12)),0,MIN(IF(G94&lt;=1,120,IF(G94=2,280,600)),I94+IF(AND((E95="OK"),B95="Hunt"),((IF(B95="Hunt",(('Rules &amp; Formulas'!B4*N94*('Rules &amp; Formulas'!B5+O94)*IFERROR(VLOOKUP(C95,Monsters!$T$4:$AH$15,10,FALSE),0)*IFERROR(VLOOKUP(C95,Monsters!$T$4:$AH$15,9,FALSE),0))*'Rules &amp; Formulas'!B6)*IF(D95="",0,D95),0))*(IFERROR(VLOOKUP(C95,Monsters!$T$4:$AH$15,4,FALSE),0))+(IF(OR(B95&lt;&gt;"Hunt",IFERROR(VLOOKUP(C95,Monsters!$T$4:$AH$15,6,FALSE),0)=0),0,FLOOR((IF(B95="Hunt",(('Rules &amp; Formulas'!B4*N94*('Rules &amp; Formulas'!B5+O94)*IFERROR(VLOOKUP(C95,Monsters!$T$4:$AH$15,10,FALSE),0)*IFERROR(VLOOKUP(C95,Monsters!$T$4:$AH$15,9,FALSE),0))*'Rules &amp; Formulas'!B6)*IF(D95="",0,D95),0))/MAX(1,IFERROR(VLOOKUP(C95,Monsters!$T$4:$AH$15,6,FALSE),0)),1)))*(IFERROR(VLOOKUP(C95,Monsters!$T$4:$AH$15,7,FALSE),0))),0)+IF(AND((E95="OK"),B95="Go AFK"),((IF(B95="Go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AFK",IF(D95="",0,D95),0),Z94/60)*60)),0))*(IFERROR(VLOOKUP(C95,Monsters!$T$4:$AH$15,4,FALSE),0))+(IF(OR(B95&lt;&gt;"Go AFK",IFERROR(VLOOKUP(C95,Monsters!$T$4:$AH$15,6,FALSE),0)=0),0,FLOOR((IF(B95="Go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AFK",IF(D95="",0,D95),0),Z94/60)*60)),0))/MAX(1,IFERROR(VLOOKUP(C95,Monsters!$T$4:$AH$15,6,FALSE),0)),1)))*(IFERROR(VLOOKUP(C95,Monsters!$T$4:$AH$15,7,FALSE),0))),0)))</f>
        <v/>
      </c>
      <c r="J95" s="7">
        <f>MAX(0,J94+IF(AND((E95="OK"),B95="Hunt"),(IF(B95="Hunt",(('Rules &amp; Formulas'!B4*N94*('Rules &amp; Formulas'!B5+O94)*IFERROR(VLOOKUP(C95,Monsters!$T$4:$AH$15,10,FALSE),0)*IFERROR(VLOOKUP(C95,Monsters!$T$4:$AH$15,9,FALSE),0))*'Rules &amp; Formulas'!B6)*IF(D95="",0,D95),0))*(IFERROR(VLOOKUP(C95,Monsters!$T$4:$AH$15,5,FALSE),0)),0)+IF(AND((E95="OK"),B95="Go AFK"),(IF(B95="Go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AFK",IF(D95="",0,D95),0),Z94/60)*60)),0))*(IFERROR(VLOOKUP(C95,Monsters!$T$4:$AH$15,5,FALSE),0)),0)-IF(AND((E95="OK"),OR(B95="Buy upgrade",B95="Forge/Scrapwork buy"),IFERROR(VLOOKUP(C95,Upgrades!$N$4:$T$47,2,FALSE),0)="scraps"),IFERROR(FLOOR(IFERROR(VLOOKUP(C95,Upgrades!$N$4:$T$47,3,FALSE),0)*(IFERROR(VLOOKUP(C95,Upgrades!$N$4:$T$47,4,FALSE),0)^(COUNTIFS($B$3:$B94,"Buy upgrade",$C$3:$C94,C95)+COUNTIFS($B$3:$B94,"Hire hunter",$C$3:$C94,C95)+COUNTIFS($B$3:$B94,"Forge/Scrapwork buy",$C$3:$C94,C95))),1),0),0))</f>
        <v/>
      </c>
      <c r="K95" s="7">
        <f>MAX(0,K94+IF(AND((E95="OK"),B95="Hunt"),IF(C95="Thornpelt Bear",(IF(B95="Hunt",(('Rules &amp; Formulas'!B4*N94*('Rules &amp; Formulas'!B5+O94)*IFERROR(VLOOKUP(C95,Monsters!$T$4:$AH$15,10,FALSE),0)*IFERROR(VLOOKUP(C95,Monsters!$T$4:$AH$15,9,FALSE),0))*'Rules &amp; Formulas'!B6)*IF(D95="",0,D95),0))*0.12,0),0)+IF(AND((E95="OK"),B95="Go AFK"),IF(C95="Thornpelt Bear",(IF(B95="Go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AFK",IF(D95="",0,D95),0),Z94/60)*60)),0))*0.12,0),0))</f>
        <v/>
      </c>
      <c r="L95" s="7">
        <f>MAX(0,L94+IF(AND((E95="OK"),B95="Hunt"),IF(C95="Dire Thornpelt",(IF(B95="Hunt",(('Rules &amp; Formulas'!B4*N94*('Rules &amp; Formulas'!B5+O94)*IFERROR(VLOOKUP(C95,Monsters!$T$4:$AH$15,10,FALSE),0)*IFERROR(VLOOKUP(C95,Monsters!$T$4:$AH$15,9,FALSE),0))*'Rules &amp; Formulas'!B6)*IF(D95="",0,D95),0))*0.1,0),0)+IF(AND((E95="OK"),B95="Go AFK"),IF(C95="Dire Thornpelt",(IF(B95="Go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AFK",IF(D95="",0,D95),0),Z94/60)*60)),0))*0.1,0),0))</f>
        <v/>
      </c>
      <c r="M95" s="7">
        <f>IF(AND((E95="OK"),B95="Go AFK"),MAX(0,MIN(('Rules &amp; Formulas'!B15+25*AJ94),M94+('Rules &amp; Formulas'!B14+0.4*AJ94)*(MIN(IF(B95="Go AFK",IF(D95="",0,D95),0),Z94/60)*60))-(IF(B95="Go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AFK",IF(D95="",0,D95),0),Z94/60)*60)),0))*(IF((IFERROR(VLOOKUP(C95,Monsters!$T$4:$AH$15,8,FALSE),0))=0,0.35,IFERROR(VLOOKUP(C95,Monsters!$T$4:$AH$15,8,FALSE),0))/(1+0.08*AK94))),MIN(('Rules &amp; Formulas'!B15+25*AJ95),M94))</f>
        <v/>
      </c>
      <c r="N95" s="7">
        <f>(1+0.08+0.12*AA95+0.12*AB95+0.16*AC95)</f>
        <v/>
      </c>
      <c r="O95" s="7">
        <f>((AD95&gt;=1)*1*(1+0.3*AE95))</f>
        <v/>
      </c>
      <c r="P95" s="7">
        <f>IF(OR(B95="Hunt",B95="Go AFK"),(('Rules &amp; Formulas'!B4*N94*('Rules &amp; Formulas'!B5+O94)*IFERROR(VLOOKUP(C95,Monsters!$T$4:$AH$15,10,FALSE),0)*IFERROR(VLOOKUP(C95,Monsters!$T$4:$AH$15,9,FALSE),0))*'Rules &amp; Formulas'!B6),"")</f>
        <v/>
      </c>
      <c r="Q95" s="7">
        <f>IF(OR(B95="Hunt",B95="Go AFK"),('Rules &amp; Formulas'!B4*N94*('Rules &amp; Formulas'!B5+O94)*IFERROR(VLOOKUP(C95,Monsters!$T$4:$AH$15,10,FALSE),0)*IFERROR(VLOOKUP(C95,Monsters!$T$4:$AH$15,9,FALSE),0)),"")</f>
        <v/>
      </c>
      <c r="R95" s="7">
        <f>IF(AND((E95="OK"),B95="Hunt"),IF(B95="Hunt",(('Rules &amp; Formulas'!B4*N94*('Rules &amp; Formulas'!B5+O94)*IFERROR(VLOOKUP(C95,Monsters!$T$4:$AH$15,10,FALSE),0)*IFERROR(VLOOKUP(C95,Monsters!$T$4:$AH$15,9,FALSE),0))*'Rules &amp; Formulas'!B6)*IF(D95="",0,D95),0),IF(AND((E95="OK"),B95="Go AFK"),IF(B95="Go AFK",MIN(IF((IF((IFERROR(VLOOKUP(C95,Monsters!$T$4:$AH$15,8,FALSE),0))=0,0.35,IFERROR(VLOOKUP(C95,Monsters!$T$4:$AH$15,8,FALSE),0))/(1+0.08*AK94))&lt;=0,999999,FLOOR(MIN(('Rules &amp; Formulas'!B15+25*AJ94),M94+('Rules &amp; Formulas'!B14+0.4*AJ94)*(MIN(IF(B95="Go AFK",IF(D95="",0,D95),0),Z94/60)*60))/(IF((IFERROR(VLOOKUP(C95,Monsters!$T$4:$AH$15,8,FALSE),0))=0,0.35,IFERROR(VLOOKUP(C95,Monsters!$T$4:$AH$15,8,FALSE),0))/(1+0.08*AK94)),1)),('Rules &amp; Formulas'!B4*N94*('Rules &amp; Formulas'!B5+O94)*IFERROR(VLOOKUP(C95,Monsters!$T$4:$AH$15,10,FALSE),0)*IFERROR(VLOOKUP(C95,Monsters!$T$4:$AH$15,9,FALSE),0))*(MIN(IF(B95="Go AFK",IF(D95="",0,D95),0),Z94/60)*60)),0),0))</f>
        <v/>
      </c>
      <c r="S95" s="7">
        <f>(105/'Rules &amp; Formulas'!B10)*'Rules &amp; Formulas'!B11</f>
        <v/>
      </c>
      <c r="T95" s="7">
        <f>IF(AD94&gt;=1,(MAX(1,ROUND('Rules &amp; Formulas'!B18*(1+0.3*AE94)*(1+0.4*AF94),0)))*(1000/'Rules &amp; Formulas'!B19)*MIN(0.95,'Rules &amp; Formulas'!B20*SQRT(1+0.55*(AG94&gt;=1))),0)</f>
        <v/>
      </c>
      <c r="U95" s="7">
        <f>S95+T95</f>
        <v/>
      </c>
      <c r="V95" s="7">
        <f>IF(I94&gt;=IF((IFERROR(VLOOKUP(C95,Monsters!$T$4:$AH$15,15,FALSE),0))=0,120,IFERROR(VLOOKUP(C95,Monsters!$T$4:$AH$15,15,FALSE),0)),"YES","no")</f>
        <v/>
      </c>
      <c r="W95" s="7">
        <f>IF(AND(B95="Fight boss",E95="OK"),IF((((105/'Rules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Formulas'!B20*SQRT(1+0.55*(AG94&gt;=1))),0)))),"")</f>
        <v/>
      </c>
      <c r="X95" s="7">
        <f>IF(AND(B95="Fight boss",E95="OK"),IF((IF((((105/'Rules &amp; Formulas'!B10)*'Rules &amp; Formulas'!B11+IF(AD94&gt;=1,(MAX(1,ROUND('Rules &amp; Formulas'!B18*(1+0.3*AE94)*(1+0.4*AF94),0)))*(1000/'Rules &amp; Formulas'!B19)*MIN(0.95,'Rules &amp; Formulas'!B20*SQRT(1+0.55*(AG94&gt;=1))),0)))&lt;=0,9999,(IFERROR(VLOOKUP(C95,Monsters!$T$4:$AH$15,2,FALSE),0))/(((105/'Rules &amp; Formulas'!B10)*'Rules &amp; Formulas'!B11+IF(AD94&gt;=1,(MAX(1,ROUND('Rules &amp; Formulas'!B18*(1+0.3*AE94)*(1+0.4*AF94),0)))*(1000/'Rules &amp; Formulas'!B19)*MIN(0.95,'Rules &amp; Formulas'!B20*SQRT(1+0.55*(AG94&gt;=1))),0))))&lt;='Rules &amp; Formulas'!B12),"WIN","LOSE"),"")</f>
        <v/>
      </c>
      <c r="Y95" s="7">
        <f>IF(B95="Go AFK",MIN(IF(B95="Go AFK",IF(D95="",0,D95),0),Z94/60),"")</f>
        <v/>
      </c>
      <c r="Z95" s="7">
        <f>('Rules &amp; Formulas'!B13+30*AI95)</f>
        <v/>
      </c>
      <c r="AA95">
        <f>COUNTIFS($B$3:$B95,"Buy upgrade",$C$3:$C95,"Idle Power")</f>
        <v/>
      </c>
      <c r="AB95">
        <f>COUNTIFS($B$3:$B95,"Buy upgrade",$C$3:$C95,"Iron Blade")</f>
        <v/>
      </c>
      <c r="AC95">
        <f>COUNTIFS($B$3:$B95,"Buy upgrade",$C$3:$C95,"Steel Blade")</f>
        <v/>
      </c>
      <c r="AD95">
        <f>COUNTIFS($B$3:$B95,"Hire hunter",$C$3:$C95,"Briar")+COUNTIFS($B$3:$B95,"Buy upgrade",$C$3:$C95,"Hire Briar")</f>
        <v/>
      </c>
      <c r="AE95">
        <f>COUNTIFS($B$3:$B95,"Buy upgrade",$C$3:$C95,"Hunter Power")</f>
        <v/>
      </c>
      <c r="AF95">
        <f>COUNTIFS($B$3:$B95,"Buy upgrade",$C$3:$C95,"Bigger Hits")</f>
        <v/>
      </c>
      <c r="AG95">
        <f>COUNTIFS($B$3:$B95,"Buy upgrade",$C$3:$C95,"Swift Walk")</f>
        <v/>
      </c>
      <c r="AH95">
        <f>COUNTIFS($B$3:$B95,"Buy upgrade",$C$3:$C95,"Loot Luck")</f>
        <v/>
      </c>
      <c r="AI95">
        <f>COUNTIFS($B$3:$B95,"Buy upgrade",$C$3:$C95,"Offline Cap")</f>
        <v/>
      </c>
      <c r="AJ95">
        <f>COUNTIFS($B$3:$B95,"Buy upgrade",$C$3:$C95,"Bigger Food Stock")</f>
        <v/>
      </c>
      <c r="AK95">
        <f>COUNTIFS($B$3:$B95,"Buy upgrade",$C$3:$C95,"Food Efficiency")</f>
        <v/>
      </c>
    </row>
    <row r="96">
      <c r="A96" t="n">
        <v>94</v>
      </c>
      <c r="B96" s="6" t="n"/>
      <c r="C96" s="6" t="n"/>
      <c r="D96" s="6" t="n"/>
      <c r="E96" s="7">
        <f>IF(B96="","",IF(OR(B96="Hunt",B96="Go AFK"),IF(C96="","Can't","OK"),IF(B96="Fight boss",IF(I95&lt;IF((IFERROR(VLOOKUP(C96,Monsters!$T$4:$AH$15,15,FALSE),0))=0,120,IFERROR(VLOOKUP(C96,Monsters!$T$4:$AH$15,15,FALSE),0)),"Can't","OK"),IF(B96="Hire hunter",IF(AND(C96="Briar",AD95&gt;=1),"Can't",IF(H95&lt;IF(C96="Briar",140,IF(C96="Quill",3650,IF(C96="Moss",4850,IF(C96="Ember",12200,0)))),"Can't","OK")),IF(OR(B96="Buy upgrade",B96="Forge/Scrapwork buy"),IF(IFERROR(VLOOKUP(C96,Upgrades!$N$4:$T$47,2,FALSE),0)="points","Can't",IF(IFERROR(VLOOKUP(C96,Upgrades!$N$4:$T$47,2,FALSE),0)="gold",IF(H95&lt;IFERROR(FLOOR(IFERROR(VLOOKUP(C96,Upgrades!$N$4:$T$47,3,FALSE),0)*(IFERROR(VLOOKUP(C96,Upgrades!$N$4:$T$47,4,FALSE),0)^(COUNTIFS($B$3:$B95,"Buy upgrade",$C$3:$C95,C96)+COUNTIFS($B$3:$B95,"Hire hunter",$C$3:$C95,C96)+COUNTIFS($B$3:$B95,"Forge/Scrapwork buy",$C$3:$C95,C96))),1),0),"Can't","OK"),IF(IFERROR(VLOOKUP(C96,Upgrades!$N$4:$T$47,2,FALSE),0)="scraps",IF(J95&lt;IFERROR(FLOOR(IFERROR(VLOOKUP(C96,Upgrades!$N$4:$T$47,3,FALSE),0)*(IFERROR(VLOOKUP(C96,Upgrades!$N$4:$T$47,4,FALSE),0)^(COUNTIFS($B$3:$B95,"Buy upgrade",$C$3:$C95,C96)+COUNTIFS($B$3:$B95,"Hire hunter",$C$3:$C95,C96)+COUNTIFS($B$3:$B95,"Forge/Scrapwork buy",$C$3:$C95,C96))),1),0),"Can't","OK"),IF(IFERROR(VLOOKUP(C96,Upgrades!$N$4:$T$47,2,FALSE),0)="mats","Can't","OK")))),"Check")))))</f>
        <v/>
      </c>
      <c r="F96" s="7">
        <f>IF(B96="","",IF(AND(B96="Fight boss",I95&lt;IF((IFERROR(VLOOKUP(C96,Monsters!$T$4:$AH$15,15,FALSE),0))=0,120,IFERROR(VLOOKUP(C96,Monsters!$T$4:$AH$15,15,FALSE),0))),"Can't — need "&amp;TEXT(IF((IFERROR(VLOOKUP(C96,Monsters!$T$4:$AH$15,15,FALSE),0))=0,120,IFERROR(VLOOKUP(C96,Monsters!$T$4:$AH$15,15,FALSE),0))-I95,"0.0")&amp;" more Slayer points on the meter",IF(AND(B96="Hire hunter",C96="Briar",AD95&gt;=1),"Can't — already hired",IF(AND(B96="Hire hunter",H95&lt;IF(C96="Briar",140,IF(C96="Quill",3650,IF(C96="Moss",4850,IF(C96="Ember",12200,0))))),"Can't — need "&amp;TEXT(IF(C96="Briar",140,IF(C96="Quill",3650,IF(C96="Moss",4850,IF(C96="Ember",12200,0))))-H95,"0")&amp;" more gold",IF(AND(OR(B96="Buy upgrade",B96="Forge/Scrapwork buy"),IFERROR(VLOOKUP(C96,Upgrades!$N$4:$T$47,2,FALSE),0)="points"),"Can't — Sp-wallet spends not tracked here",IF(AND(OR(B96="Buy upgrade",B96="Forge/Scrapwork buy"),IFERROR(VLOOKUP(C96,Upgrades!$N$4:$T$47,2,FALSE),0)="gold",H95&lt;IFERROR(FLOOR(IFERROR(VLOOKUP(C96,Upgrades!$N$4:$T$47,3,FALSE),0)*(IFERROR(VLOOKUP(C96,Upgrades!$N$4:$T$47,4,FALSE),0)^(COUNTIFS($B$3:$B95,"Buy upgrade",$C$3:$C95,C96)+COUNTIFS($B$3:$B95,"Hire hunter",$C$3:$C95,C96)+COUNTIFS($B$3:$B95,"Forge/Scrapwork buy",$C$3:$C95,C96))),1),0)),"Can't — need "&amp;TEXT(IFERROR(FLOOR(IFERROR(VLOOKUP(C96,Upgrades!$N$4:$T$47,3,FALSE),0)*(IFERROR(VLOOKUP(C96,Upgrades!$N$4:$T$47,4,FALSE),0)^(COUNTIFS($B$3:$B95,"Buy upgrade",$C$3:$C95,C96)+COUNTIFS($B$3:$B95,"Hire hunter",$C$3:$C95,C96)+COUNTIFS($B$3:$B95,"Forge/Scrapwork buy",$C$3:$C95,C96))),1),0)-H95,"0")&amp;" more gold",IF(AND(OR(B96="Buy upgrade",B96="Forge/Scrapwork buy"),IFERROR(VLOOKUP(C96,Upgrades!$N$4:$T$47,2,FALSE),0)="scraps",J95&lt;IFERROR(FLOOR(IFERROR(VLOOKUP(C96,Upgrades!$N$4:$T$47,3,FALSE),0)*(IFERROR(VLOOKUP(C96,Upgrades!$N$4:$T$47,4,FALSE),0)^(COUNTIFS($B$3:$B95,"Buy upgrade",$C$3:$C95,C96)+COUNTIFS($B$3:$B95,"Hire hunter",$C$3:$C95,C96)+COUNTIFS($B$3:$B95,"Forge/Scrapwork buy",$C$3:$C95,C96))),1),0)),"Can't — need "&amp;TEXT(IFERROR(FLOOR(IFERROR(VLOOKUP(C96,Upgrades!$N$4:$T$47,3,FALSE),0)*(IFERROR(VLOOKUP(C96,Upgrades!$N$4:$T$47,4,FALSE),0)^(COUNTIFS($B$3:$B95,"Buy upgrade",$C$3:$C95,C96)+COUNTIFS($B$3:$B95,"Hire hunter",$C$3:$C95,C96)+COUNTIFS($B$3:$B95,"Forge/Scrapwork buy",$C$3:$C95,C96))),1),0)-J95,"0")&amp;" more scraps",IF(AND(B96="Fight boss",E96="OK",(IF((((105/'Rules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Formulas'!B12)),"WIN — boss down, next Level unlocks",IF(AND(B96="Fight boss",E96="OK"),"LOSE — TTK "&amp;TEXT(IF((((105/'Rules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Formulas'!B20*SQRT(1+0.55*(AG95&gt;=1))),0)))),"0")&amp;"s &gt; patience "&amp;TEXT('Rules &amp; Formulas'!B12,"0")&amp;"s (leave resets HP)",IF(B96="Go AFK","AFK resolved (see AFK counted h)","Applied")))))))))</f>
        <v/>
      </c>
      <c r="G96" s="7">
        <f>IF(AND((E96="OK"),B96="Fight boss",(IF((((105/'Rules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Formulas'!B12),C96="Elder Thornpelt"),2,IF(AND((E96="OK"),B96="Fight boss",(IF((((105/'Rules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Formulas'!B12),C96="Ashfang Alpha"),3,G95))</f>
        <v/>
      </c>
      <c r="H96" s="7">
        <f>MAX(0,H95+IF(AND((E96="OK"),B96="Hunt"),(IF(B96="Hunt",(('Rules &amp; Formulas'!B4*N95*('Rules &amp; Formulas'!B5+O95)*IFERROR(VLOOKUP(C96,Monsters!$T$4:$AH$15,10,FALSE),0)*IFERROR(VLOOKUP(C96,Monsters!$T$4:$AH$15,9,FALSE),0))*'Rules &amp; Formulas'!B6)*IF(D96="",0,D96),0))*(IFERROR(VLOOKUP(C96,Monsters!$T$4:$AH$15,3,FALSE),0))*(1+0.1*AH95)+(IF(OR(B96&lt;&gt;"Hunt",IFERROR(VLOOKUP(C96,Monsters!$T$4:$AH$15,6,FALSE),0)=0),0,FLOOR((IF(B96="Hunt",(('Rules &amp; Formulas'!B4*N95*('Rules &amp; Formulas'!B5+O95)*IFERROR(VLOOKUP(C96,Monsters!$T$4:$AH$15,10,FALSE),0)*IFERROR(VLOOKUP(C96,Monsters!$T$4:$AH$15,9,FALSE),0))*'Rules &amp; Formulas'!B6)*IF(D96="",0,D96),0))/MAX(1,IFERROR(VLOOKUP(C96,Monsters!$T$4:$AH$15,6,FALSE),0)),1)))*(IFERROR(VLOOKUP(C96,Monsters!$T$4:$AH$15,7,FALSE),0))*0.5*(1+0.1*AH95),0)+IF(AND((E96="OK"),B96="Go AFK"),(IF(B96="Go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AFK",IF(D96="",0,D96),0),Z95/60)*60)),0))*(IFERROR(VLOOKUP(C96,Monsters!$T$4:$AH$15,3,FALSE),0))*(1+0.1*AH95)+(IF(OR(B96&lt;&gt;"Go AFK",IFERROR(VLOOKUP(C96,Monsters!$T$4:$AH$15,6,FALSE),0)=0),0,FLOOR((IF(B96="Go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AFK",IF(D96="",0,D96),0),Z95/60)*60)),0))/MAX(1,IFERROR(VLOOKUP(C96,Monsters!$T$4:$AH$15,6,FALSE),0)),1)))*(IFERROR(VLOOKUP(C96,Monsters!$T$4:$AH$15,7,FALSE),0))*0.5*(1+0.1*AH95),0)+IF(AND((E96="OK"),B96="Fight boss",(IF((((105/'Rules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Formulas'!B12)),IFERROR(VLOOKUP(C96,Monsters!$T$4:$AH$15,3,FALSE),0),0)-IF(AND((E96="OK"),OR(B96="Buy upgrade",B96="Forge/Scrapwork buy"),IFERROR(VLOOKUP(C96,Upgrades!$N$4:$T$47,2,FALSE),0)="gold"),IFERROR(FLOOR(IFERROR(VLOOKUP(C96,Upgrades!$N$4:$T$47,3,FALSE),0)*(IFERROR(VLOOKUP(C96,Upgrades!$N$4:$T$47,4,FALSE),0)^(COUNTIFS($B$3:$B95,"Buy upgrade",$C$3:$C95,C96)+COUNTIFS($B$3:$B95,"Hire hunter",$C$3:$C95,C96)+COUNTIFS($B$3:$B95,"Forge/Scrapwork buy",$C$3:$C95,C96))),1),0),0)-IF(AND((E96="OK"),B96="Hire hunter"),IF(C96="Briar",140,IF(C96="Quill",3650,IF(C96="Moss",4850,IF(C96="Ember",12200,0)))),0))</f>
        <v/>
      </c>
      <c r="I96" s="7">
        <f>IF(AND((E96="OK"),B96="Fight boss",(IF((((105/'Rules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Formulas'!B12)),0,MIN(IF(G95&lt;=1,120,IF(G95=2,280,600)),I95+IF(AND((E96="OK"),B96="Hunt"),((IF(B96="Hunt",(('Rules &amp; Formulas'!B4*N95*('Rules &amp; Formulas'!B5+O95)*IFERROR(VLOOKUP(C96,Monsters!$T$4:$AH$15,10,FALSE),0)*IFERROR(VLOOKUP(C96,Monsters!$T$4:$AH$15,9,FALSE),0))*'Rules &amp; Formulas'!B6)*IF(D96="",0,D96),0))*(IFERROR(VLOOKUP(C96,Monsters!$T$4:$AH$15,4,FALSE),0))+(IF(OR(B96&lt;&gt;"Hunt",IFERROR(VLOOKUP(C96,Monsters!$T$4:$AH$15,6,FALSE),0)=0),0,FLOOR((IF(B96="Hunt",(('Rules &amp; Formulas'!B4*N95*('Rules &amp; Formulas'!B5+O95)*IFERROR(VLOOKUP(C96,Monsters!$T$4:$AH$15,10,FALSE),0)*IFERROR(VLOOKUP(C96,Monsters!$T$4:$AH$15,9,FALSE),0))*'Rules &amp; Formulas'!B6)*IF(D96="",0,D96),0))/MAX(1,IFERROR(VLOOKUP(C96,Monsters!$T$4:$AH$15,6,FALSE),0)),1)))*(IFERROR(VLOOKUP(C96,Monsters!$T$4:$AH$15,7,FALSE),0))),0)+IF(AND((E96="OK"),B96="Go AFK"),((IF(B96="Go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AFK",IF(D96="",0,D96),0),Z95/60)*60)),0))*(IFERROR(VLOOKUP(C96,Monsters!$T$4:$AH$15,4,FALSE),0))+(IF(OR(B96&lt;&gt;"Go AFK",IFERROR(VLOOKUP(C96,Monsters!$T$4:$AH$15,6,FALSE),0)=0),0,FLOOR((IF(B96="Go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AFK",IF(D96="",0,D96),0),Z95/60)*60)),0))/MAX(1,IFERROR(VLOOKUP(C96,Monsters!$T$4:$AH$15,6,FALSE),0)),1)))*(IFERROR(VLOOKUP(C96,Monsters!$T$4:$AH$15,7,FALSE),0))),0)))</f>
        <v/>
      </c>
      <c r="J96" s="7">
        <f>MAX(0,J95+IF(AND((E96="OK"),B96="Hunt"),(IF(B96="Hunt",(('Rules &amp; Formulas'!B4*N95*('Rules &amp; Formulas'!B5+O95)*IFERROR(VLOOKUP(C96,Monsters!$T$4:$AH$15,10,FALSE),0)*IFERROR(VLOOKUP(C96,Monsters!$T$4:$AH$15,9,FALSE),0))*'Rules &amp; Formulas'!B6)*IF(D96="",0,D96),0))*(IFERROR(VLOOKUP(C96,Monsters!$T$4:$AH$15,5,FALSE),0)),0)+IF(AND((E96="OK"),B96="Go AFK"),(IF(B96="Go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AFK",IF(D96="",0,D96),0),Z95/60)*60)),0))*(IFERROR(VLOOKUP(C96,Monsters!$T$4:$AH$15,5,FALSE),0)),0)-IF(AND((E96="OK"),OR(B96="Buy upgrade",B96="Forge/Scrapwork buy"),IFERROR(VLOOKUP(C96,Upgrades!$N$4:$T$47,2,FALSE),0)="scraps"),IFERROR(FLOOR(IFERROR(VLOOKUP(C96,Upgrades!$N$4:$T$47,3,FALSE),0)*(IFERROR(VLOOKUP(C96,Upgrades!$N$4:$T$47,4,FALSE),0)^(COUNTIFS($B$3:$B95,"Buy upgrade",$C$3:$C95,C96)+COUNTIFS($B$3:$B95,"Hire hunter",$C$3:$C95,C96)+COUNTIFS($B$3:$B95,"Forge/Scrapwork buy",$C$3:$C95,C96))),1),0),0))</f>
        <v/>
      </c>
      <c r="K96" s="7">
        <f>MAX(0,K95+IF(AND((E96="OK"),B96="Hunt"),IF(C96="Thornpelt Bear",(IF(B96="Hunt",(('Rules &amp; Formulas'!B4*N95*('Rules &amp; Formulas'!B5+O95)*IFERROR(VLOOKUP(C96,Monsters!$T$4:$AH$15,10,FALSE),0)*IFERROR(VLOOKUP(C96,Monsters!$T$4:$AH$15,9,FALSE),0))*'Rules &amp; Formulas'!B6)*IF(D96="",0,D96),0))*0.12,0),0)+IF(AND((E96="OK"),B96="Go AFK"),IF(C96="Thornpelt Bear",(IF(B96="Go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AFK",IF(D96="",0,D96),0),Z95/60)*60)),0))*0.12,0),0))</f>
        <v/>
      </c>
      <c r="L96" s="7">
        <f>MAX(0,L95+IF(AND((E96="OK"),B96="Hunt"),IF(C96="Dire Thornpelt",(IF(B96="Hunt",(('Rules &amp; Formulas'!B4*N95*('Rules &amp; Formulas'!B5+O95)*IFERROR(VLOOKUP(C96,Monsters!$T$4:$AH$15,10,FALSE),0)*IFERROR(VLOOKUP(C96,Monsters!$T$4:$AH$15,9,FALSE),0))*'Rules &amp; Formulas'!B6)*IF(D96="",0,D96),0))*0.1,0),0)+IF(AND((E96="OK"),B96="Go AFK"),IF(C96="Dire Thornpelt",(IF(B96="Go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AFK",IF(D96="",0,D96),0),Z95/60)*60)),0))*0.1,0),0))</f>
        <v/>
      </c>
      <c r="M96" s="7">
        <f>IF(AND((E96="OK"),B96="Go AFK"),MAX(0,MIN(('Rules &amp; Formulas'!B15+25*AJ95),M95+('Rules &amp; Formulas'!B14+0.4*AJ95)*(MIN(IF(B96="Go AFK",IF(D96="",0,D96),0),Z95/60)*60))-(IF(B96="Go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AFK",IF(D96="",0,D96),0),Z95/60)*60)),0))*(IF((IFERROR(VLOOKUP(C96,Monsters!$T$4:$AH$15,8,FALSE),0))=0,0.35,IFERROR(VLOOKUP(C96,Monsters!$T$4:$AH$15,8,FALSE),0))/(1+0.08*AK95))),MIN(('Rules &amp; Formulas'!B15+25*AJ96),M95))</f>
        <v/>
      </c>
      <c r="N96" s="7">
        <f>(1+0.08+0.12*AA96+0.12*AB96+0.16*AC96)</f>
        <v/>
      </c>
      <c r="O96" s="7">
        <f>((AD96&gt;=1)*1*(1+0.3*AE96))</f>
        <v/>
      </c>
      <c r="P96" s="7">
        <f>IF(OR(B96="Hunt",B96="Go AFK"),(('Rules &amp; Formulas'!B4*N95*('Rules &amp; Formulas'!B5+O95)*IFERROR(VLOOKUP(C96,Monsters!$T$4:$AH$15,10,FALSE),0)*IFERROR(VLOOKUP(C96,Monsters!$T$4:$AH$15,9,FALSE),0))*'Rules &amp; Formulas'!B6),"")</f>
        <v/>
      </c>
      <c r="Q96" s="7">
        <f>IF(OR(B96="Hunt",B96="Go AFK"),('Rules &amp; Formulas'!B4*N95*('Rules &amp; Formulas'!B5+O95)*IFERROR(VLOOKUP(C96,Monsters!$T$4:$AH$15,10,FALSE),0)*IFERROR(VLOOKUP(C96,Monsters!$T$4:$AH$15,9,FALSE),0)),"")</f>
        <v/>
      </c>
      <c r="R96" s="7">
        <f>IF(AND((E96="OK"),B96="Hunt"),IF(B96="Hunt",(('Rules &amp; Formulas'!B4*N95*('Rules &amp; Formulas'!B5+O95)*IFERROR(VLOOKUP(C96,Monsters!$T$4:$AH$15,10,FALSE),0)*IFERROR(VLOOKUP(C96,Monsters!$T$4:$AH$15,9,FALSE),0))*'Rules &amp; Formulas'!B6)*IF(D96="",0,D96),0),IF(AND((E96="OK"),B96="Go AFK"),IF(B96="Go AFK",MIN(IF((IF((IFERROR(VLOOKUP(C96,Monsters!$T$4:$AH$15,8,FALSE),0))=0,0.35,IFERROR(VLOOKUP(C96,Monsters!$T$4:$AH$15,8,FALSE),0))/(1+0.08*AK95))&lt;=0,999999,FLOOR(MIN(('Rules &amp; Formulas'!B15+25*AJ95),M95+('Rules &amp; Formulas'!B14+0.4*AJ95)*(MIN(IF(B96="Go AFK",IF(D96="",0,D96),0),Z95/60)*60))/(IF((IFERROR(VLOOKUP(C96,Monsters!$T$4:$AH$15,8,FALSE),0))=0,0.35,IFERROR(VLOOKUP(C96,Monsters!$T$4:$AH$15,8,FALSE),0))/(1+0.08*AK95)),1)),('Rules &amp; Formulas'!B4*N95*('Rules &amp; Formulas'!B5+O95)*IFERROR(VLOOKUP(C96,Monsters!$T$4:$AH$15,10,FALSE),0)*IFERROR(VLOOKUP(C96,Monsters!$T$4:$AH$15,9,FALSE),0))*(MIN(IF(B96="Go AFK",IF(D96="",0,D96),0),Z95/60)*60)),0),0))</f>
        <v/>
      </c>
      <c r="S96" s="7">
        <f>(105/'Rules &amp; Formulas'!B10)*'Rules &amp; Formulas'!B11</f>
        <v/>
      </c>
      <c r="T96" s="7">
        <f>IF(AD95&gt;=1,(MAX(1,ROUND('Rules &amp; Formulas'!B18*(1+0.3*AE95)*(1+0.4*AF95),0)))*(1000/'Rules &amp; Formulas'!B19)*MIN(0.95,'Rules &amp; Formulas'!B20*SQRT(1+0.55*(AG95&gt;=1))),0)</f>
        <v/>
      </c>
      <c r="U96" s="7">
        <f>S96+T96</f>
        <v/>
      </c>
      <c r="V96" s="7">
        <f>IF(I95&gt;=IF((IFERROR(VLOOKUP(C96,Monsters!$T$4:$AH$15,15,FALSE),0))=0,120,IFERROR(VLOOKUP(C96,Monsters!$T$4:$AH$15,15,FALSE),0)),"YES","no")</f>
        <v/>
      </c>
      <c r="W96" s="7">
        <f>IF(AND(B96="Fight boss",E96="OK"),IF((((105/'Rules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Formulas'!B20*SQRT(1+0.55*(AG95&gt;=1))),0)))),"")</f>
        <v/>
      </c>
      <c r="X96" s="7">
        <f>IF(AND(B96="Fight boss",E96="OK"),IF((IF((((105/'Rules &amp; Formulas'!B10)*'Rules &amp; Formulas'!B11+IF(AD95&gt;=1,(MAX(1,ROUND('Rules &amp; Formulas'!B18*(1+0.3*AE95)*(1+0.4*AF95),0)))*(1000/'Rules &amp; Formulas'!B19)*MIN(0.95,'Rules &amp; Formulas'!B20*SQRT(1+0.55*(AG95&gt;=1))),0)))&lt;=0,9999,(IFERROR(VLOOKUP(C96,Monsters!$T$4:$AH$15,2,FALSE),0))/(((105/'Rules &amp; Formulas'!B10)*'Rules &amp; Formulas'!B11+IF(AD95&gt;=1,(MAX(1,ROUND('Rules &amp; Formulas'!B18*(1+0.3*AE95)*(1+0.4*AF95),0)))*(1000/'Rules &amp; Formulas'!B19)*MIN(0.95,'Rules &amp; Formulas'!B20*SQRT(1+0.55*(AG95&gt;=1))),0))))&lt;='Rules &amp; Formulas'!B12),"WIN","LOSE"),"")</f>
        <v/>
      </c>
      <c r="Y96" s="7">
        <f>IF(B96="Go AFK",MIN(IF(B96="Go AFK",IF(D96="",0,D96),0),Z95/60),"")</f>
        <v/>
      </c>
      <c r="Z96" s="7">
        <f>('Rules &amp; Formulas'!B13+30*AI96)</f>
        <v/>
      </c>
      <c r="AA96">
        <f>COUNTIFS($B$3:$B96,"Buy upgrade",$C$3:$C96,"Idle Power")</f>
        <v/>
      </c>
      <c r="AB96">
        <f>COUNTIFS($B$3:$B96,"Buy upgrade",$C$3:$C96,"Iron Blade")</f>
        <v/>
      </c>
      <c r="AC96">
        <f>COUNTIFS($B$3:$B96,"Buy upgrade",$C$3:$C96,"Steel Blade")</f>
        <v/>
      </c>
      <c r="AD96">
        <f>COUNTIFS($B$3:$B96,"Hire hunter",$C$3:$C96,"Briar")+COUNTIFS($B$3:$B96,"Buy upgrade",$C$3:$C96,"Hire Briar")</f>
        <v/>
      </c>
      <c r="AE96">
        <f>COUNTIFS($B$3:$B96,"Buy upgrade",$C$3:$C96,"Hunter Power")</f>
        <v/>
      </c>
      <c r="AF96">
        <f>COUNTIFS($B$3:$B96,"Buy upgrade",$C$3:$C96,"Bigger Hits")</f>
        <v/>
      </c>
      <c r="AG96">
        <f>COUNTIFS($B$3:$B96,"Buy upgrade",$C$3:$C96,"Swift Walk")</f>
        <v/>
      </c>
      <c r="AH96">
        <f>COUNTIFS($B$3:$B96,"Buy upgrade",$C$3:$C96,"Loot Luck")</f>
        <v/>
      </c>
      <c r="AI96">
        <f>COUNTIFS($B$3:$B96,"Buy upgrade",$C$3:$C96,"Offline Cap")</f>
        <v/>
      </c>
      <c r="AJ96">
        <f>COUNTIFS($B$3:$B96,"Buy upgrade",$C$3:$C96,"Bigger Food Stock")</f>
        <v/>
      </c>
      <c r="AK96">
        <f>COUNTIFS($B$3:$B96,"Buy upgrade",$C$3:$C96,"Food Efficiency")</f>
        <v/>
      </c>
    </row>
    <row r="97">
      <c r="A97" t="n">
        <v>95</v>
      </c>
      <c r="B97" s="6" t="n"/>
      <c r="C97" s="6" t="n"/>
      <c r="D97" s="6" t="n"/>
      <c r="E97" s="7">
        <f>IF(B97="","",IF(OR(B97="Hunt",B97="Go AFK"),IF(C97="","Can't","OK"),IF(B97="Fight boss",IF(I96&lt;IF((IFERROR(VLOOKUP(C97,Monsters!$T$4:$AH$15,15,FALSE),0))=0,120,IFERROR(VLOOKUP(C97,Monsters!$T$4:$AH$15,15,FALSE),0)),"Can't","OK"),IF(B97="Hire hunter",IF(AND(C97="Briar",AD96&gt;=1),"Can't",IF(H96&lt;IF(C97="Briar",140,IF(C97="Quill",3650,IF(C97="Moss",4850,IF(C97="Ember",12200,0)))),"Can't","OK")),IF(OR(B97="Buy upgrade",B97="Forge/Scrapwork buy"),IF(IFERROR(VLOOKUP(C97,Upgrades!$N$4:$T$47,2,FALSE),0)="points","Can't",IF(IFERROR(VLOOKUP(C97,Upgrades!$N$4:$T$47,2,FALSE),0)="gold",IF(H96&lt;IFERROR(FLOOR(IFERROR(VLOOKUP(C97,Upgrades!$N$4:$T$47,3,FALSE),0)*(IFERROR(VLOOKUP(C97,Upgrades!$N$4:$T$47,4,FALSE),0)^(COUNTIFS($B$3:$B96,"Buy upgrade",$C$3:$C96,C97)+COUNTIFS($B$3:$B96,"Hire hunter",$C$3:$C96,C97)+COUNTIFS($B$3:$B96,"Forge/Scrapwork buy",$C$3:$C96,C97))),1),0),"Can't","OK"),IF(IFERROR(VLOOKUP(C97,Upgrades!$N$4:$T$47,2,FALSE),0)="scraps",IF(J96&lt;IFERROR(FLOOR(IFERROR(VLOOKUP(C97,Upgrades!$N$4:$T$47,3,FALSE),0)*(IFERROR(VLOOKUP(C97,Upgrades!$N$4:$T$47,4,FALSE),0)^(COUNTIFS($B$3:$B96,"Buy upgrade",$C$3:$C96,C97)+COUNTIFS($B$3:$B96,"Hire hunter",$C$3:$C96,C97)+COUNTIFS($B$3:$B96,"Forge/Scrapwork buy",$C$3:$C96,C97))),1),0),"Can't","OK"),IF(IFERROR(VLOOKUP(C97,Upgrades!$N$4:$T$47,2,FALSE),0)="mats","Can't","OK")))),"Check")))))</f>
        <v/>
      </c>
      <c r="F97" s="7">
        <f>IF(B97="","",IF(AND(B97="Fight boss",I96&lt;IF((IFERROR(VLOOKUP(C97,Monsters!$T$4:$AH$15,15,FALSE),0))=0,120,IFERROR(VLOOKUP(C97,Monsters!$T$4:$AH$15,15,FALSE),0))),"Can't — need "&amp;TEXT(IF((IFERROR(VLOOKUP(C97,Monsters!$T$4:$AH$15,15,FALSE),0))=0,120,IFERROR(VLOOKUP(C97,Monsters!$T$4:$AH$15,15,FALSE),0))-I96,"0.0")&amp;" more Slayer points on the meter",IF(AND(B97="Hire hunter",C97="Briar",AD96&gt;=1),"Can't — already hired",IF(AND(B97="Hire hunter",H96&lt;IF(C97="Briar",140,IF(C97="Quill",3650,IF(C97="Moss",4850,IF(C97="Ember",12200,0))))),"Can't — need "&amp;TEXT(IF(C97="Briar",140,IF(C97="Quill",3650,IF(C97="Moss",4850,IF(C97="Ember",12200,0))))-H96,"0")&amp;" more gold",IF(AND(OR(B97="Buy upgrade",B97="Forge/Scrapwork buy"),IFERROR(VLOOKUP(C97,Upgrades!$N$4:$T$47,2,FALSE),0)="points"),"Can't — Sp-wallet spends not tracked here",IF(AND(OR(B97="Buy upgrade",B97="Forge/Scrapwork buy"),IFERROR(VLOOKUP(C97,Upgrades!$N$4:$T$47,2,FALSE),0)="gold",H96&lt;IFERROR(FLOOR(IFERROR(VLOOKUP(C97,Upgrades!$N$4:$T$47,3,FALSE),0)*(IFERROR(VLOOKUP(C97,Upgrades!$N$4:$T$47,4,FALSE),0)^(COUNTIFS($B$3:$B96,"Buy upgrade",$C$3:$C96,C97)+COUNTIFS($B$3:$B96,"Hire hunter",$C$3:$C96,C97)+COUNTIFS($B$3:$B96,"Forge/Scrapwork buy",$C$3:$C96,C97))),1),0)),"Can't — need "&amp;TEXT(IFERROR(FLOOR(IFERROR(VLOOKUP(C97,Upgrades!$N$4:$T$47,3,FALSE),0)*(IFERROR(VLOOKUP(C97,Upgrades!$N$4:$T$47,4,FALSE),0)^(COUNTIFS($B$3:$B96,"Buy upgrade",$C$3:$C96,C97)+COUNTIFS($B$3:$B96,"Hire hunter",$C$3:$C96,C97)+COUNTIFS($B$3:$B96,"Forge/Scrapwork buy",$C$3:$C96,C97))),1),0)-H96,"0")&amp;" more gold",IF(AND(OR(B97="Buy upgrade",B97="Forge/Scrapwork buy"),IFERROR(VLOOKUP(C97,Upgrades!$N$4:$T$47,2,FALSE),0)="scraps",J96&lt;IFERROR(FLOOR(IFERROR(VLOOKUP(C97,Upgrades!$N$4:$T$47,3,FALSE),0)*(IFERROR(VLOOKUP(C97,Upgrades!$N$4:$T$47,4,FALSE),0)^(COUNTIFS($B$3:$B96,"Buy upgrade",$C$3:$C96,C97)+COUNTIFS($B$3:$B96,"Hire hunter",$C$3:$C96,C97)+COUNTIFS($B$3:$B96,"Forge/Scrapwork buy",$C$3:$C96,C97))),1),0)),"Can't — need "&amp;TEXT(IFERROR(FLOOR(IFERROR(VLOOKUP(C97,Upgrades!$N$4:$T$47,3,FALSE),0)*(IFERROR(VLOOKUP(C97,Upgrades!$N$4:$T$47,4,FALSE),0)^(COUNTIFS($B$3:$B96,"Buy upgrade",$C$3:$C96,C97)+COUNTIFS($B$3:$B96,"Hire hunter",$C$3:$C96,C97)+COUNTIFS($B$3:$B96,"Forge/Scrapwork buy",$C$3:$C96,C97))),1),0)-J96,"0")&amp;" more scraps",IF(AND(B97="Fight boss",E97="OK",(IF((((105/'Rules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Formulas'!B12)),"WIN — boss down, next Level unlocks",IF(AND(B97="Fight boss",E97="OK"),"LOSE — TTK "&amp;TEXT(IF((((105/'Rules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Formulas'!B20*SQRT(1+0.55*(AG96&gt;=1))),0)))),"0")&amp;"s &gt; patience "&amp;TEXT('Rules &amp; Formulas'!B12,"0")&amp;"s (leave resets HP)",IF(B97="Go AFK","AFK resolved (see AFK counted h)","Applied")))))))))</f>
        <v/>
      </c>
      <c r="G97" s="7">
        <f>IF(AND((E97="OK"),B97="Fight boss",(IF((((105/'Rules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Formulas'!B12),C97="Elder Thornpelt"),2,IF(AND((E97="OK"),B97="Fight boss",(IF((((105/'Rules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Formulas'!B12),C97="Ashfang Alpha"),3,G96))</f>
        <v/>
      </c>
      <c r="H97" s="7">
        <f>MAX(0,H96+IF(AND((E97="OK"),B97="Hunt"),(IF(B97="Hunt",(('Rules &amp; Formulas'!B4*N96*('Rules &amp; Formulas'!B5+O96)*IFERROR(VLOOKUP(C97,Monsters!$T$4:$AH$15,10,FALSE),0)*IFERROR(VLOOKUP(C97,Monsters!$T$4:$AH$15,9,FALSE),0))*'Rules &amp; Formulas'!B6)*IF(D97="",0,D97),0))*(IFERROR(VLOOKUP(C97,Monsters!$T$4:$AH$15,3,FALSE),0))*(1+0.1*AH96)+(IF(OR(B97&lt;&gt;"Hunt",IFERROR(VLOOKUP(C97,Monsters!$T$4:$AH$15,6,FALSE),0)=0),0,FLOOR((IF(B97="Hunt",(('Rules &amp; Formulas'!B4*N96*('Rules &amp; Formulas'!B5+O96)*IFERROR(VLOOKUP(C97,Monsters!$T$4:$AH$15,10,FALSE),0)*IFERROR(VLOOKUP(C97,Monsters!$T$4:$AH$15,9,FALSE),0))*'Rules &amp; Formulas'!B6)*IF(D97="",0,D97),0))/MAX(1,IFERROR(VLOOKUP(C97,Monsters!$T$4:$AH$15,6,FALSE),0)),1)))*(IFERROR(VLOOKUP(C97,Monsters!$T$4:$AH$15,7,FALSE),0))*0.5*(1+0.1*AH96),0)+IF(AND((E97="OK"),B97="Go AFK"),(IF(B97="Go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AFK",IF(D97="",0,D97),0),Z96/60)*60)),0))*(IFERROR(VLOOKUP(C97,Monsters!$T$4:$AH$15,3,FALSE),0))*(1+0.1*AH96)+(IF(OR(B97&lt;&gt;"Go AFK",IFERROR(VLOOKUP(C97,Monsters!$T$4:$AH$15,6,FALSE),0)=0),0,FLOOR((IF(B97="Go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AFK",IF(D97="",0,D97),0),Z96/60)*60)),0))/MAX(1,IFERROR(VLOOKUP(C97,Monsters!$T$4:$AH$15,6,FALSE),0)),1)))*(IFERROR(VLOOKUP(C97,Monsters!$T$4:$AH$15,7,FALSE),0))*0.5*(1+0.1*AH96),0)+IF(AND((E97="OK"),B97="Fight boss",(IF((((105/'Rules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Formulas'!B12)),IFERROR(VLOOKUP(C97,Monsters!$T$4:$AH$15,3,FALSE),0),0)-IF(AND((E97="OK"),OR(B97="Buy upgrade",B97="Forge/Scrapwork buy"),IFERROR(VLOOKUP(C97,Upgrades!$N$4:$T$47,2,FALSE),0)="gold"),IFERROR(FLOOR(IFERROR(VLOOKUP(C97,Upgrades!$N$4:$T$47,3,FALSE),0)*(IFERROR(VLOOKUP(C97,Upgrades!$N$4:$T$47,4,FALSE),0)^(COUNTIFS($B$3:$B96,"Buy upgrade",$C$3:$C96,C97)+COUNTIFS($B$3:$B96,"Hire hunter",$C$3:$C96,C97)+COUNTIFS($B$3:$B96,"Forge/Scrapwork buy",$C$3:$C96,C97))),1),0),0)-IF(AND((E97="OK"),B97="Hire hunter"),IF(C97="Briar",140,IF(C97="Quill",3650,IF(C97="Moss",4850,IF(C97="Ember",12200,0)))),0))</f>
        <v/>
      </c>
      <c r="I97" s="7">
        <f>IF(AND((E97="OK"),B97="Fight boss",(IF((((105/'Rules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Formulas'!B12)),0,MIN(IF(G96&lt;=1,120,IF(G96=2,280,600)),I96+IF(AND((E97="OK"),B97="Hunt"),((IF(B97="Hunt",(('Rules &amp; Formulas'!B4*N96*('Rules &amp; Formulas'!B5+O96)*IFERROR(VLOOKUP(C97,Monsters!$T$4:$AH$15,10,FALSE),0)*IFERROR(VLOOKUP(C97,Monsters!$T$4:$AH$15,9,FALSE),0))*'Rules &amp; Formulas'!B6)*IF(D97="",0,D97),0))*(IFERROR(VLOOKUP(C97,Monsters!$T$4:$AH$15,4,FALSE),0))+(IF(OR(B97&lt;&gt;"Hunt",IFERROR(VLOOKUP(C97,Monsters!$T$4:$AH$15,6,FALSE),0)=0),0,FLOOR((IF(B97="Hunt",(('Rules &amp; Formulas'!B4*N96*('Rules &amp; Formulas'!B5+O96)*IFERROR(VLOOKUP(C97,Monsters!$T$4:$AH$15,10,FALSE),0)*IFERROR(VLOOKUP(C97,Monsters!$T$4:$AH$15,9,FALSE),0))*'Rules &amp; Formulas'!B6)*IF(D97="",0,D97),0))/MAX(1,IFERROR(VLOOKUP(C97,Monsters!$T$4:$AH$15,6,FALSE),0)),1)))*(IFERROR(VLOOKUP(C97,Monsters!$T$4:$AH$15,7,FALSE),0))),0)+IF(AND((E97="OK"),B97="Go AFK"),((IF(B97="Go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AFK",IF(D97="",0,D97),0),Z96/60)*60)),0))*(IFERROR(VLOOKUP(C97,Monsters!$T$4:$AH$15,4,FALSE),0))+(IF(OR(B97&lt;&gt;"Go AFK",IFERROR(VLOOKUP(C97,Monsters!$T$4:$AH$15,6,FALSE),0)=0),0,FLOOR((IF(B97="Go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AFK",IF(D97="",0,D97),0),Z96/60)*60)),0))/MAX(1,IFERROR(VLOOKUP(C97,Monsters!$T$4:$AH$15,6,FALSE),0)),1)))*(IFERROR(VLOOKUP(C97,Monsters!$T$4:$AH$15,7,FALSE),0))),0)))</f>
        <v/>
      </c>
      <c r="J97" s="7">
        <f>MAX(0,J96+IF(AND((E97="OK"),B97="Hunt"),(IF(B97="Hunt",(('Rules &amp; Formulas'!B4*N96*('Rules &amp; Formulas'!B5+O96)*IFERROR(VLOOKUP(C97,Monsters!$T$4:$AH$15,10,FALSE),0)*IFERROR(VLOOKUP(C97,Monsters!$T$4:$AH$15,9,FALSE),0))*'Rules &amp; Formulas'!B6)*IF(D97="",0,D97),0))*(IFERROR(VLOOKUP(C97,Monsters!$T$4:$AH$15,5,FALSE),0)),0)+IF(AND((E97="OK"),B97="Go AFK"),(IF(B97="Go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AFK",IF(D97="",0,D97),0),Z96/60)*60)),0))*(IFERROR(VLOOKUP(C97,Monsters!$T$4:$AH$15,5,FALSE),0)),0)-IF(AND((E97="OK"),OR(B97="Buy upgrade",B97="Forge/Scrapwork buy"),IFERROR(VLOOKUP(C97,Upgrades!$N$4:$T$47,2,FALSE),0)="scraps"),IFERROR(FLOOR(IFERROR(VLOOKUP(C97,Upgrades!$N$4:$T$47,3,FALSE),0)*(IFERROR(VLOOKUP(C97,Upgrades!$N$4:$T$47,4,FALSE),0)^(COUNTIFS($B$3:$B96,"Buy upgrade",$C$3:$C96,C97)+COUNTIFS($B$3:$B96,"Hire hunter",$C$3:$C96,C97)+COUNTIFS($B$3:$B96,"Forge/Scrapwork buy",$C$3:$C96,C97))),1),0),0))</f>
        <v/>
      </c>
      <c r="K97" s="7">
        <f>MAX(0,K96+IF(AND((E97="OK"),B97="Hunt"),IF(C97="Thornpelt Bear",(IF(B97="Hunt",(('Rules &amp; Formulas'!B4*N96*('Rules &amp; Formulas'!B5+O96)*IFERROR(VLOOKUP(C97,Monsters!$T$4:$AH$15,10,FALSE),0)*IFERROR(VLOOKUP(C97,Monsters!$T$4:$AH$15,9,FALSE),0))*'Rules &amp; Formulas'!B6)*IF(D97="",0,D97),0))*0.12,0),0)+IF(AND((E97="OK"),B97="Go AFK"),IF(C97="Thornpelt Bear",(IF(B97="Go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AFK",IF(D97="",0,D97),0),Z96/60)*60)),0))*0.12,0),0))</f>
        <v/>
      </c>
      <c r="L97" s="7">
        <f>MAX(0,L96+IF(AND((E97="OK"),B97="Hunt"),IF(C97="Dire Thornpelt",(IF(B97="Hunt",(('Rules &amp; Formulas'!B4*N96*('Rules &amp; Formulas'!B5+O96)*IFERROR(VLOOKUP(C97,Monsters!$T$4:$AH$15,10,FALSE),0)*IFERROR(VLOOKUP(C97,Monsters!$T$4:$AH$15,9,FALSE),0))*'Rules &amp; Formulas'!B6)*IF(D97="",0,D97),0))*0.1,0),0)+IF(AND((E97="OK"),B97="Go AFK"),IF(C97="Dire Thornpelt",(IF(B97="Go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AFK",IF(D97="",0,D97),0),Z96/60)*60)),0))*0.1,0),0))</f>
        <v/>
      </c>
      <c r="M97" s="7">
        <f>IF(AND((E97="OK"),B97="Go AFK"),MAX(0,MIN(('Rules &amp; Formulas'!B15+25*AJ96),M96+('Rules &amp; Formulas'!B14+0.4*AJ96)*(MIN(IF(B97="Go AFK",IF(D97="",0,D97),0),Z96/60)*60))-(IF(B97="Go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AFK",IF(D97="",0,D97),0),Z96/60)*60)),0))*(IF((IFERROR(VLOOKUP(C97,Monsters!$T$4:$AH$15,8,FALSE),0))=0,0.35,IFERROR(VLOOKUP(C97,Monsters!$T$4:$AH$15,8,FALSE),0))/(1+0.08*AK96))),MIN(('Rules &amp; Formulas'!B15+25*AJ97),M96))</f>
        <v/>
      </c>
      <c r="N97" s="7">
        <f>(1+0.08+0.12*AA97+0.12*AB97+0.16*AC97)</f>
        <v/>
      </c>
      <c r="O97" s="7">
        <f>((AD97&gt;=1)*1*(1+0.3*AE97))</f>
        <v/>
      </c>
      <c r="P97" s="7">
        <f>IF(OR(B97="Hunt",B97="Go AFK"),(('Rules &amp; Formulas'!B4*N96*('Rules &amp; Formulas'!B5+O96)*IFERROR(VLOOKUP(C97,Monsters!$T$4:$AH$15,10,FALSE),0)*IFERROR(VLOOKUP(C97,Monsters!$T$4:$AH$15,9,FALSE),0))*'Rules &amp; Formulas'!B6),"")</f>
        <v/>
      </c>
      <c r="Q97" s="7">
        <f>IF(OR(B97="Hunt",B97="Go AFK"),('Rules &amp; Formulas'!B4*N96*('Rules &amp; Formulas'!B5+O96)*IFERROR(VLOOKUP(C97,Monsters!$T$4:$AH$15,10,FALSE),0)*IFERROR(VLOOKUP(C97,Monsters!$T$4:$AH$15,9,FALSE),0)),"")</f>
        <v/>
      </c>
      <c r="R97" s="7">
        <f>IF(AND((E97="OK"),B97="Hunt"),IF(B97="Hunt",(('Rules &amp; Formulas'!B4*N96*('Rules &amp; Formulas'!B5+O96)*IFERROR(VLOOKUP(C97,Monsters!$T$4:$AH$15,10,FALSE),0)*IFERROR(VLOOKUP(C97,Monsters!$T$4:$AH$15,9,FALSE),0))*'Rules &amp; Formulas'!B6)*IF(D97="",0,D97),0),IF(AND((E97="OK"),B97="Go AFK"),IF(B97="Go AFK",MIN(IF((IF((IFERROR(VLOOKUP(C97,Monsters!$T$4:$AH$15,8,FALSE),0))=0,0.35,IFERROR(VLOOKUP(C97,Monsters!$T$4:$AH$15,8,FALSE),0))/(1+0.08*AK96))&lt;=0,999999,FLOOR(MIN(('Rules &amp; Formulas'!B15+25*AJ96),M96+('Rules &amp; Formulas'!B14+0.4*AJ96)*(MIN(IF(B97="Go AFK",IF(D97="",0,D97),0),Z96/60)*60))/(IF((IFERROR(VLOOKUP(C97,Monsters!$T$4:$AH$15,8,FALSE),0))=0,0.35,IFERROR(VLOOKUP(C97,Monsters!$T$4:$AH$15,8,FALSE),0))/(1+0.08*AK96)),1)),('Rules &amp; Formulas'!B4*N96*('Rules &amp; Formulas'!B5+O96)*IFERROR(VLOOKUP(C97,Monsters!$T$4:$AH$15,10,FALSE),0)*IFERROR(VLOOKUP(C97,Monsters!$T$4:$AH$15,9,FALSE),0))*(MIN(IF(B97="Go AFK",IF(D97="",0,D97),0),Z96/60)*60)),0),0))</f>
        <v/>
      </c>
      <c r="S97" s="7">
        <f>(105/'Rules &amp; Formulas'!B10)*'Rules &amp; Formulas'!B11</f>
        <v/>
      </c>
      <c r="T97" s="7">
        <f>IF(AD96&gt;=1,(MAX(1,ROUND('Rules &amp; Formulas'!B18*(1+0.3*AE96)*(1+0.4*AF96),0)))*(1000/'Rules &amp; Formulas'!B19)*MIN(0.95,'Rules &amp; Formulas'!B20*SQRT(1+0.55*(AG96&gt;=1))),0)</f>
        <v/>
      </c>
      <c r="U97" s="7">
        <f>S97+T97</f>
        <v/>
      </c>
      <c r="V97" s="7">
        <f>IF(I96&gt;=IF((IFERROR(VLOOKUP(C97,Monsters!$T$4:$AH$15,15,FALSE),0))=0,120,IFERROR(VLOOKUP(C97,Monsters!$T$4:$AH$15,15,FALSE),0)),"YES","no")</f>
        <v/>
      </c>
      <c r="W97" s="7">
        <f>IF(AND(B97="Fight boss",E97="OK"),IF((((105/'Rules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Formulas'!B20*SQRT(1+0.55*(AG96&gt;=1))),0)))),"")</f>
        <v/>
      </c>
      <c r="X97" s="7">
        <f>IF(AND(B97="Fight boss",E97="OK"),IF((IF((((105/'Rules &amp; Formulas'!B10)*'Rules &amp; Formulas'!B11+IF(AD96&gt;=1,(MAX(1,ROUND('Rules &amp; Formulas'!B18*(1+0.3*AE96)*(1+0.4*AF96),0)))*(1000/'Rules &amp; Formulas'!B19)*MIN(0.95,'Rules &amp; Formulas'!B20*SQRT(1+0.55*(AG96&gt;=1))),0)))&lt;=0,9999,(IFERROR(VLOOKUP(C97,Monsters!$T$4:$AH$15,2,FALSE),0))/(((105/'Rules &amp; Formulas'!B10)*'Rules &amp; Formulas'!B11+IF(AD96&gt;=1,(MAX(1,ROUND('Rules &amp; Formulas'!B18*(1+0.3*AE96)*(1+0.4*AF96),0)))*(1000/'Rules &amp; Formulas'!B19)*MIN(0.95,'Rules &amp; Formulas'!B20*SQRT(1+0.55*(AG96&gt;=1))),0))))&lt;='Rules &amp; Formulas'!B12),"WIN","LOSE"),"")</f>
        <v/>
      </c>
      <c r="Y97" s="7">
        <f>IF(B97="Go AFK",MIN(IF(B97="Go AFK",IF(D97="",0,D97),0),Z96/60),"")</f>
        <v/>
      </c>
      <c r="Z97" s="7">
        <f>('Rules &amp; Formulas'!B13+30*AI97)</f>
        <v/>
      </c>
      <c r="AA97">
        <f>COUNTIFS($B$3:$B97,"Buy upgrade",$C$3:$C97,"Idle Power")</f>
        <v/>
      </c>
      <c r="AB97">
        <f>COUNTIFS($B$3:$B97,"Buy upgrade",$C$3:$C97,"Iron Blade")</f>
        <v/>
      </c>
      <c r="AC97">
        <f>COUNTIFS($B$3:$B97,"Buy upgrade",$C$3:$C97,"Steel Blade")</f>
        <v/>
      </c>
      <c r="AD97">
        <f>COUNTIFS($B$3:$B97,"Hire hunter",$C$3:$C97,"Briar")+COUNTIFS($B$3:$B97,"Buy upgrade",$C$3:$C97,"Hire Briar")</f>
        <v/>
      </c>
      <c r="AE97">
        <f>COUNTIFS($B$3:$B97,"Buy upgrade",$C$3:$C97,"Hunter Power")</f>
        <v/>
      </c>
      <c r="AF97">
        <f>COUNTIFS($B$3:$B97,"Buy upgrade",$C$3:$C97,"Bigger Hits")</f>
        <v/>
      </c>
      <c r="AG97">
        <f>COUNTIFS($B$3:$B97,"Buy upgrade",$C$3:$C97,"Swift Walk")</f>
        <v/>
      </c>
      <c r="AH97">
        <f>COUNTIFS($B$3:$B97,"Buy upgrade",$C$3:$C97,"Loot Luck")</f>
        <v/>
      </c>
      <c r="AI97">
        <f>COUNTIFS($B$3:$B97,"Buy upgrade",$C$3:$C97,"Offline Cap")</f>
        <v/>
      </c>
      <c r="AJ97">
        <f>COUNTIFS($B$3:$B97,"Buy upgrade",$C$3:$C97,"Bigger Food Stock")</f>
        <v/>
      </c>
      <c r="AK97">
        <f>COUNTIFS($B$3:$B97,"Buy upgrade",$C$3:$C97,"Food Efficiency")</f>
        <v/>
      </c>
    </row>
    <row r="98">
      <c r="A98" t="n">
        <v>96</v>
      </c>
      <c r="B98" s="6" t="n"/>
      <c r="C98" s="6" t="n"/>
      <c r="D98" s="6" t="n"/>
      <c r="E98" s="7">
        <f>IF(B98="","",IF(OR(B98="Hunt",B98="Go AFK"),IF(C98="","Can't","OK"),IF(B98="Fight boss",IF(I97&lt;IF((IFERROR(VLOOKUP(C98,Monsters!$T$4:$AH$15,15,FALSE),0))=0,120,IFERROR(VLOOKUP(C98,Monsters!$T$4:$AH$15,15,FALSE),0)),"Can't","OK"),IF(B98="Hire hunter",IF(AND(C98="Briar",AD97&gt;=1),"Can't",IF(H97&lt;IF(C98="Briar",140,IF(C98="Quill",3650,IF(C98="Moss",4850,IF(C98="Ember",12200,0)))),"Can't","OK")),IF(OR(B98="Buy upgrade",B98="Forge/Scrapwork buy"),IF(IFERROR(VLOOKUP(C98,Upgrades!$N$4:$T$47,2,FALSE),0)="points","Can't",IF(IFERROR(VLOOKUP(C98,Upgrades!$N$4:$T$47,2,FALSE),0)="gold",IF(H97&lt;IFERROR(FLOOR(IFERROR(VLOOKUP(C98,Upgrades!$N$4:$T$47,3,FALSE),0)*(IFERROR(VLOOKUP(C98,Upgrades!$N$4:$T$47,4,FALSE),0)^(COUNTIFS($B$3:$B97,"Buy upgrade",$C$3:$C97,C98)+COUNTIFS($B$3:$B97,"Hire hunter",$C$3:$C97,C98)+COUNTIFS($B$3:$B97,"Forge/Scrapwork buy",$C$3:$C97,C98))),1),0),"Can't","OK"),IF(IFERROR(VLOOKUP(C98,Upgrades!$N$4:$T$47,2,FALSE),0)="scraps",IF(J97&lt;IFERROR(FLOOR(IFERROR(VLOOKUP(C98,Upgrades!$N$4:$T$47,3,FALSE),0)*(IFERROR(VLOOKUP(C98,Upgrades!$N$4:$T$47,4,FALSE),0)^(COUNTIFS($B$3:$B97,"Buy upgrade",$C$3:$C97,C98)+COUNTIFS($B$3:$B97,"Hire hunter",$C$3:$C97,C98)+COUNTIFS($B$3:$B97,"Forge/Scrapwork buy",$C$3:$C97,C98))),1),0),"Can't","OK"),IF(IFERROR(VLOOKUP(C98,Upgrades!$N$4:$T$47,2,FALSE),0)="mats","Can't","OK")))),"Check")))))</f>
        <v/>
      </c>
      <c r="F98" s="7">
        <f>IF(B98="","",IF(AND(B98="Fight boss",I97&lt;IF((IFERROR(VLOOKUP(C98,Monsters!$T$4:$AH$15,15,FALSE),0))=0,120,IFERROR(VLOOKUP(C98,Monsters!$T$4:$AH$15,15,FALSE),0))),"Can't — need "&amp;TEXT(IF((IFERROR(VLOOKUP(C98,Monsters!$T$4:$AH$15,15,FALSE),0))=0,120,IFERROR(VLOOKUP(C98,Monsters!$T$4:$AH$15,15,FALSE),0))-I97,"0.0")&amp;" more Slayer points on the meter",IF(AND(B98="Hire hunter",C98="Briar",AD97&gt;=1),"Can't — already hired",IF(AND(B98="Hire hunter",H97&lt;IF(C98="Briar",140,IF(C98="Quill",3650,IF(C98="Moss",4850,IF(C98="Ember",12200,0))))),"Can't — need "&amp;TEXT(IF(C98="Briar",140,IF(C98="Quill",3650,IF(C98="Moss",4850,IF(C98="Ember",12200,0))))-H97,"0")&amp;" more gold",IF(AND(OR(B98="Buy upgrade",B98="Forge/Scrapwork buy"),IFERROR(VLOOKUP(C98,Upgrades!$N$4:$T$47,2,FALSE),0)="points"),"Can't — Sp-wallet spends not tracked here",IF(AND(OR(B98="Buy upgrade",B98="Forge/Scrapwork buy"),IFERROR(VLOOKUP(C98,Upgrades!$N$4:$T$47,2,FALSE),0)="gold",H97&lt;IFERROR(FLOOR(IFERROR(VLOOKUP(C98,Upgrades!$N$4:$T$47,3,FALSE),0)*(IFERROR(VLOOKUP(C98,Upgrades!$N$4:$T$47,4,FALSE),0)^(COUNTIFS($B$3:$B97,"Buy upgrade",$C$3:$C97,C98)+COUNTIFS($B$3:$B97,"Hire hunter",$C$3:$C97,C98)+COUNTIFS($B$3:$B97,"Forge/Scrapwork buy",$C$3:$C97,C98))),1),0)),"Can't — need "&amp;TEXT(IFERROR(FLOOR(IFERROR(VLOOKUP(C98,Upgrades!$N$4:$T$47,3,FALSE),0)*(IFERROR(VLOOKUP(C98,Upgrades!$N$4:$T$47,4,FALSE),0)^(COUNTIFS($B$3:$B97,"Buy upgrade",$C$3:$C97,C98)+COUNTIFS($B$3:$B97,"Hire hunter",$C$3:$C97,C98)+COUNTIFS($B$3:$B97,"Forge/Scrapwork buy",$C$3:$C97,C98))),1),0)-H97,"0")&amp;" more gold",IF(AND(OR(B98="Buy upgrade",B98="Forge/Scrapwork buy"),IFERROR(VLOOKUP(C98,Upgrades!$N$4:$T$47,2,FALSE),0)="scraps",J97&lt;IFERROR(FLOOR(IFERROR(VLOOKUP(C98,Upgrades!$N$4:$T$47,3,FALSE),0)*(IFERROR(VLOOKUP(C98,Upgrades!$N$4:$T$47,4,FALSE),0)^(COUNTIFS($B$3:$B97,"Buy upgrade",$C$3:$C97,C98)+COUNTIFS($B$3:$B97,"Hire hunter",$C$3:$C97,C98)+COUNTIFS($B$3:$B97,"Forge/Scrapwork buy",$C$3:$C97,C98))),1),0)),"Can't — need "&amp;TEXT(IFERROR(FLOOR(IFERROR(VLOOKUP(C98,Upgrades!$N$4:$T$47,3,FALSE),0)*(IFERROR(VLOOKUP(C98,Upgrades!$N$4:$T$47,4,FALSE),0)^(COUNTIFS($B$3:$B97,"Buy upgrade",$C$3:$C97,C98)+COUNTIFS($B$3:$B97,"Hire hunter",$C$3:$C97,C98)+COUNTIFS($B$3:$B97,"Forge/Scrapwork buy",$C$3:$C97,C98))),1),0)-J97,"0")&amp;" more scraps",IF(AND(B98="Fight boss",E98="OK",(IF((((105/'Rules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Formulas'!B12)),"WIN — boss down, next Level unlocks",IF(AND(B98="Fight boss",E98="OK"),"LOSE — TTK "&amp;TEXT(IF((((105/'Rules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Formulas'!B20*SQRT(1+0.55*(AG97&gt;=1))),0)))),"0")&amp;"s &gt; patience "&amp;TEXT('Rules &amp; Formulas'!B12,"0")&amp;"s (leave resets HP)",IF(B98="Go AFK","AFK resolved (see AFK counted h)","Applied")))))))))</f>
        <v/>
      </c>
      <c r="G98" s="7">
        <f>IF(AND((E98="OK"),B98="Fight boss",(IF((((105/'Rules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Formulas'!B12),C98="Elder Thornpelt"),2,IF(AND((E98="OK"),B98="Fight boss",(IF((((105/'Rules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Formulas'!B12),C98="Ashfang Alpha"),3,G97))</f>
        <v/>
      </c>
      <c r="H98" s="7">
        <f>MAX(0,H97+IF(AND((E98="OK"),B98="Hunt"),(IF(B98="Hunt",(('Rules &amp; Formulas'!B4*N97*('Rules &amp; Formulas'!B5+O97)*IFERROR(VLOOKUP(C98,Monsters!$T$4:$AH$15,10,FALSE),0)*IFERROR(VLOOKUP(C98,Monsters!$T$4:$AH$15,9,FALSE),0))*'Rules &amp; Formulas'!B6)*IF(D98="",0,D98),0))*(IFERROR(VLOOKUP(C98,Monsters!$T$4:$AH$15,3,FALSE),0))*(1+0.1*AH97)+(IF(OR(B98&lt;&gt;"Hunt",IFERROR(VLOOKUP(C98,Monsters!$T$4:$AH$15,6,FALSE),0)=0),0,FLOOR((IF(B98="Hunt",(('Rules &amp; Formulas'!B4*N97*('Rules &amp; Formulas'!B5+O97)*IFERROR(VLOOKUP(C98,Monsters!$T$4:$AH$15,10,FALSE),0)*IFERROR(VLOOKUP(C98,Monsters!$T$4:$AH$15,9,FALSE),0))*'Rules &amp; Formulas'!B6)*IF(D98="",0,D98),0))/MAX(1,IFERROR(VLOOKUP(C98,Monsters!$T$4:$AH$15,6,FALSE),0)),1)))*(IFERROR(VLOOKUP(C98,Monsters!$T$4:$AH$15,7,FALSE),0))*0.5*(1+0.1*AH97),0)+IF(AND((E98="OK"),B98="Go AFK"),(IF(B98="Go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AFK",IF(D98="",0,D98),0),Z97/60)*60)),0))*(IFERROR(VLOOKUP(C98,Monsters!$T$4:$AH$15,3,FALSE),0))*(1+0.1*AH97)+(IF(OR(B98&lt;&gt;"Go AFK",IFERROR(VLOOKUP(C98,Monsters!$T$4:$AH$15,6,FALSE),0)=0),0,FLOOR((IF(B98="Go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AFK",IF(D98="",0,D98),0),Z97/60)*60)),0))/MAX(1,IFERROR(VLOOKUP(C98,Monsters!$T$4:$AH$15,6,FALSE),0)),1)))*(IFERROR(VLOOKUP(C98,Monsters!$T$4:$AH$15,7,FALSE),0))*0.5*(1+0.1*AH97),0)+IF(AND((E98="OK"),B98="Fight boss",(IF((((105/'Rules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Formulas'!B12)),IFERROR(VLOOKUP(C98,Monsters!$T$4:$AH$15,3,FALSE),0),0)-IF(AND((E98="OK"),OR(B98="Buy upgrade",B98="Forge/Scrapwork buy"),IFERROR(VLOOKUP(C98,Upgrades!$N$4:$T$47,2,FALSE),0)="gold"),IFERROR(FLOOR(IFERROR(VLOOKUP(C98,Upgrades!$N$4:$T$47,3,FALSE),0)*(IFERROR(VLOOKUP(C98,Upgrades!$N$4:$T$47,4,FALSE),0)^(COUNTIFS($B$3:$B97,"Buy upgrade",$C$3:$C97,C98)+COUNTIFS($B$3:$B97,"Hire hunter",$C$3:$C97,C98)+COUNTIFS($B$3:$B97,"Forge/Scrapwork buy",$C$3:$C97,C98))),1),0),0)-IF(AND((E98="OK"),B98="Hire hunter"),IF(C98="Briar",140,IF(C98="Quill",3650,IF(C98="Moss",4850,IF(C98="Ember",12200,0)))),0))</f>
        <v/>
      </c>
      <c r="I98" s="7">
        <f>IF(AND((E98="OK"),B98="Fight boss",(IF((((105/'Rules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Formulas'!B12)),0,MIN(IF(G97&lt;=1,120,IF(G97=2,280,600)),I97+IF(AND((E98="OK"),B98="Hunt"),((IF(B98="Hunt",(('Rules &amp; Formulas'!B4*N97*('Rules &amp; Formulas'!B5+O97)*IFERROR(VLOOKUP(C98,Monsters!$T$4:$AH$15,10,FALSE),0)*IFERROR(VLOOKUP(C98,Monsters!$T$4:$AH$15,9,FALSE),0))*'Rules &amp; Formulas'!B6)*IF(D98="",0,D98),0))*(IFERROR(VLOOKUP(C98,Monsters!$T$4:$AH$15,4,FALSE),0))+(IF(OR(B98&lt;&gt;"Hunt",IFERROR(VLOOKUP(C98,Monsters!$T$4:$AH$15,6,FALSE),0)=0),0,FLOOR((IF(B98="Hunt",(('Rules &amp; Formulas'!B4*N97*('Rules &amp; Formulas'!B5+O97)*IFERROR(VLOOKUP(C98,Monsters!$T$4:$AH$15,10,FALSE),0)*IFERROR(VLOOKUP(C98,Monsters!$T$4:$AH$15,9,FALSE),0))*'Rules &amp; Formulas'!B6)*IF(D98="",0,D98),0))/MAX(1,IFERROR(VLOOKUP(C98,Monsters!$T$4:$AH$15,6,FALSE),0)),1)))*(IFERROR(VLOOKUP(C98,Monsters!$T$4:$AH$15,7,FALSE),0))),0)+IF(AND((E98="OK"),B98="Go AFK"),((IF(B98="Go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AFK",IF(D98="",0,D98),0),Z97/60)*60)),0))*(IFERROR(VLOOKUP(C98,Monsters!$T$4:$AH$15,4,FALSE),0))+(IF(OR(B98&lt;&gt;"Go AFK",IFERROR(VLOOKUP(C98,Monsters!$T$4:$AH$15,6,FALSE),0)=0),0,FLOOR((IF(B98="Go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AFK",IF(D98="",0,D98),0),Z97/60)*60)),0))/MAX(1,IFERROR(VLOOKUP(C98,Monsters!$T$4:$AH$15,6,FALSE),0)),1)))*(IFERROR(VLOOKUP(C98,Monsters!$T$4:$AH$15,7,FALSE),0))),0)))</f>
        <v/>
      </c>
      <c r="J98" s="7">
        <f>MAX(0,J97+IF(AND((E98="OK"),B98="Hunt"),(IF(B98="Hunt",(('Rules &amp; Formulas'!B4*N97*('Rules &amp; Formulas'!B5+O97)*IFERROR(VLOOKUP(C98,Monsters!$T$4:$AH$15,10,FALSE),0)*IFERROR(VLOOKUP(C98,Monsters!$T$4:$AH$15,9,FALSE),0))*'Rules &amp; Formulas'!B6)*IF(D98="",0,D98),0))*(IFERROR(VLOOKUP(C98,Monsters!$T$4:$AH$15,5,FALSE),0)),0)+IF(AND((E98="OK"),B98="Go AFK"),(IF(B98="Go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AFK",IF(D98="",0,D98),0),Z97/60)*60)),0))*(IFERROR(VLOOKUP(C98,Monsters!$T$4:$AH$15,5,FALSE),0)),0)-IF(AND((E98="OK"),OR(B98="Buy upgrade",B98="Forge/Scrapwork buy"),IFERROR(VLOOKUP(C98,Upgrades!$N$4:$T$47,2,FALSE),0)="scraps"),IFERROR(FLOOR(IFERROR(VLOOKUP(C98,Upgrades!$N$4:$T$47,3,FALSE),0)*(IFERROR(VLOOKUP(C98,Upgrades!$N$4:$T$47,4,FALSE),0)^(COUNTIFS($B$3:$B97,"Buy upgrade",$C$3:$C97,C98)+COUNTIFS($B$3:$B97,"Hire hunter",$C$3:$C97,C98)+COUNTIFS($B$3:$B97,"Forge/Scrapwork buy",$C$3:$C97,C98))),1),0),0))</f>
        <v/>
      </c>
      <c r="K98" s="7">
        <f>MAX(0,K97+IF(AND((E98="OK"),B98="Hunt"),IF(C98="Thornpelt Bear",(IF(B98="Hunt",(('Rules &amp; Formulas'!B4*N97*('Rules &amp; Formulas'!B5+O97)*IFERROR(VLOOKUP(C98,Monsters!$T$4:$AH$15,10,FALSE),0)*IFERROR(VLOOKUP(C98,Monsters!$T$4:$AH$15,9,FALSE),0))*'Rules &amp; Formulas'!B6)*IF(D98="",0,D98),0))*0.12,0),0)+IF(AND((E98="OK"),B98="Go AFK"),IF(C98="Thornpelt Bear",(IF(B98="Go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AFK",IF(D98="",0,D98),0),Z97/60)*60)),0))*0.12,0),0))</f>
        <v/>
      </c>
      <c r="L98" s="7">
        <f>MAX(0,L97+IF(AND((E98="OK"),B98="Hunt"),IF(C98="Dire Thornpelt",(IF(B98="Hunt",(('Rules &amp; Formulas'!B4*N97*('Rules &amp; Formulas'!B5+O97)*IFERROR(VLOOKUP(C98,Monsters!$T$4:$AH$15,10,FALSE),0)*IFERROR(VLOOKUP(C98,Monsters!$T$4:$AH$15,9,FALSE),0))*'Rules &amp; Formulas'!B6)*IF(D98="",0,D98),0))*0.1,0),0)+IF(AND((E98="OK"),B98="Go AFK"),IF(C98="Dire Thornpelt",(IF(B98="Go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AFK",IF(D98="",0,D98),0),Z97/60)*60)),0))*0.1,0),0))</f>
        <v/>
      </c>
      <c r="M98" s="7">
        <f>IF(AND((E98="OK"),B98="Go AFK"),MAX(0,MIN(('Rules &amp; Formulas'!B15+25*AJ97),M97+('Rules &amp; Formulas'!B14+0.4*AJ97)*(MIN(IF(B98="Go AFK",IF(D98="",0,D98),0),Z97/60)*60))-(IF(B98="Go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AFK",IF(D98="",0,D98),0),Z97/60)*60)),0))*(IF((IFERROR(VLOOKUP(C98,Monsters!$T$4:$AH$15,8,FALSE),0))=0,0.35,IFERROR(VLOOKUP(C98,Monsters!$T$4:$AH$15,8,FALSE),0))/(1+0.08*AK97))),MIN(('Rules &amp; Formulas'!B15+25*AJ98),M97))</f>
        <v/>
      </c>
      <c r="N98" s="7">
        <f>(1+0.08+0.12*AA98+0.12*AB98+0.16*AC98)</f>
        <v/>
      </c>
      <c r="O98" s="7">
        <f>((AD98&gt;=1)*1*(1+0.3*AE98))</f>
        <v/>
      </c>
      <c r="P98" s="7">
        <f>IF(OR(B98="Hunt",B98="Go AFK"),(('Rules &amp; Formulas'!B4*N97*('Rules &amp; Formulas'!B5+O97)*IFERROR(VLOOKUP(C98,Monsters!$T$4:$AH$15,10,FALSE),0)*IFERROR(VLOOKUP(C98,Monsters!$T$4:$AH$15,9,FALSE),0))*'Rules &amp; Formulas'!B6),"")</f>
        <v/>
      </c>
      <c r="Q98" s="7">
        <f>IF(OR(B98="Hunt",B98="Go AFK"),('Rules &amp; Formulas'!B4*N97*('Rules &amp; Formulas'!B5+O97)*IFERROR(VLOOKUP(C98,Monsters!$T$4:$AH$15,10,FALSE),0)*IFERROR(VLOOKUP(C98,Monsters!$T$4:$AH$15,9,FALSE),0)),"")</f>
        <v/>
      </c>
      <c r="R98" s="7">
        <f>IF(AND((E98="OK"),B98="Hunt"),IF(B98="Hunt",(('Rules &amp; Formulas'!B4*N97*('Rules &amp; Formulas'!B5+O97)*IFERROR(VLOOKUP(C98,Monsters!$T$4:$AH$15,10,FALSE),0)*IFERROR(VLOOKUP(C98,Monsters!$T$4:$AH$15,9,FALSE),0))*'Rules &amp; Formulas'!B6)*IF(D98="",0,D98),0),IF(AND((E98="OK"),B98="Go AFK"),IF(B98="Go AFK",MIN(IF((IF((IFERROR(VLOOKUP(C98,Monsters!$T$4:$AH$15,8,FALSE),0))=0,0.35,IFERROR(VLOOKUP(C98,Monsters!$T$4:$AH$15,8,FALSE),0))/(1+0.08*AK97))&lt;=0,999999,FLOOR(MIN(('Rules &amp; Formulas'!B15+25*AJ97),M97+('Rules &amp; Formulas'!B14+0.4*AJ97)*(MIN(IF(B98="Go AFK",IF(D98="",0,D98),0),Z97/60)*60))/(IF((IFERROR(VLOOKUP(C98,Monsters!$T$4:$AH$15,8,FALSE),0))=0,0.35,IFERROR(VLOOKUP(C98,Monsters!$T$4:$AH$15,8,FALSE),0))/(1+0.08*AK97)),1)),('Rules &amp; Formulas'!B4*N97*('Rules &amp; Formulas'!B5+O97)*IFERROR(VLOOKUP(C98,Monsters!$T$4:$AH$15,10,FALSE),0)*IFERROR(VLOOKUP(C98,Monsters!$T$4:$AH$15,9,FALSE),0))*(MIN(IF(B98="Go AFK",IF(D98="",0,D98),0),Z97/60)*60)),0),0))</f>
        <v/>
      </c>
      <c r="S98" s="7">
        <f>(105/'Rules &amp; Formulas'!B10)*'Rules &amp; Formulas'!B11</f>
        <v/>
      </c>
      <c r="T98" s="7">
        <f>IF(AD97&gt;=1,(MAX(1,ROUND('Rules &amp; Formulas'!B18*(1+0.3*AE97)*(1+0.4*AF97),0)))*(1000/'Rules &amp; Formulas'!B19)*MIN(0.95,'Rules &amp; Formulas'!B20*SQRT(1+0.55*(AG97&gt;=1))),0)</f>
        <v/>
      </c>
      <c r="U98" s="7">
        <f>S98+T98</f>
        <v/>
      </c>
      <c r="V98" s="7">
        <f>IF(I97&gt;=IF((IFERROR(VLOOKUP(C98,Monsters!$T$4:$AH$15,15,FALSE),0))=0,120,IFERROR(VLOOKUP(C98,Monsters!$T$4:$AH$15,15,FALSE),0)),"YES","no")</f>
        <v/>
      </c>
      <c r="W98" s="7">
        <f>IF(AND(B98="Fight boss",E98="OK"),IF((((105/'Rules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Formulas'!B20*SQRT(1+0.55*(AG97&gt;=1))),0)))),"")</f>
        <v/>
      </c>
      <c r="X98" s="7">
        <f>IF(AND(B98="Fight boss",E98="OK"),IF((IF((((105/'Rules &amp; Formulas'!B10)*'Rules &amp; Formulas'!B11+IF(AD97&gt;=1,(MAX(1,ROUND('Rules &amp; Formulas'!B18*(1+0.3*AE97)*(1+0.4*AF97),0)))*(1000/'Rules &amp; Formulas'!B19)*MIN(0.95,'Rules &amp; Formulas'!B20*SQRT(1+0.55*(AG97&gt;=1))),0)))&lt;=0,9999,(IFERROR(VLOOKUP(C98,Monsters!$T$4:$AH$15,2,FALSE),0))/(((105/'Rules &amp; Formulas'!B10)*'Rules &amp; Formulas'!B11+IF(AD97&gt;=1,(MAX(1,ROUND('Rules &amp; Formulas'!B18*(1+0.3*AE97)*(1+0.4*AF97),0)))*(1000/'Rules &amp; Formulas'!B19)*MIN(0.95,'Rules &amp; Formulas'!B20*SQRT(1+0.55*(AG97&gt;=1))),0))))&lt;='Rules &amp; Formulas'!B12),"WIN","LOSE"),"")</f>
        <v/>
      </c>
      <c r="Y98" s="7">
        <f>IF(B98="Go AFK",MIN(IF(B98="Go AFK",IF(D98="",0,D98),0),Z97/60),"")</f>
        <v/>
      </c>
      <c r="Z98" s="7">
        <f>('Rules &amp; Formulas'!B13+30*AI98)</f>
        <v/>
      </c>
      <c r="AA98">
        <f>COUNTIFS($B$3:$B98,"Buy upgrade",$C$3:$C98,"Idle Power")</f>
        <v/>
      </c>
      <c r="AB98">
        <f>COUNTIFS($B$3:$B98,"Buy upgrade",$C$3:$C98,"Iron Blade")</f>
        <v/>
      </c>
      <c r="AC98">
        <f>COUNTIFS($B$3:$B98,"Buy upgrade",$C$3:$C98,"Steel Blade")</f>
        <v/>
      </c>
      <c r="AD98">
        <f>COUNTIFS($B$3:$B98,"Hire hunter",$C$3:$C98,"Briar")+COUNTIFS($B$3:$B98,"Buy upgrade",$C$3:$C98,"Hire Briar")</f>
        <v/>
      </c>
      <c r="AE98">
        <f>COUNTIFS($B$3:$B98,"Buy upgrade",$C$3:$C98,"Hunter Power")</f>
        <v/>
      </c>
      <c r="AF98">
        <f>COUNTIFS($B$3:$B98,"Buy upgrade",$C$3:$C98,"Bigger Hits")</f>
        <v/>
      </c>
      <c r="AG98">
        <f>COUNTIFS($B$3:$B98,"Buy upgrade",$C$3:$C98,"Swift Walk")</f>
        <v/>
      </c>
      <c r="AH98">
        <f>COUNTIFS($B$3:$B98,"Buy upgrade",$C$3:$C98,"Loot Luck")</f>
        <v/>
      </c>
      <c r="AI98">
        <f>COUNTIFS($B$3:$B98,"Buy upgrade",$C$3:$C98,"Offline Cap")</f>
        <v/>
      </c>
      <c r="AJ98">
        <f>COUNTIFS($B$3:$B98,"Buy upgrade",$C$3:$C98,"Bigger Food Stock")</f>
        <v/>
      </c>
      <c r="AK98">
        <f>COUNTIFS($B$3:$B98,"Buy upgrade",$C$3:$C98,"Food Efficiency")</f>
        <v/>
      </c>
    </row>
    <row r="99">
      <c r="A99" t="n">
        <v>97</v>
      </c>
      <c r="B99" s="6" t="n"/>
      <c r="C99" s="6" t="n"/>
      <c r="D99" s="6" t="n"/>
      <c r="E99" s="7">
        <f>IF(B99="","",IF(OR(B99="Hunt",B99="Go AFK"),IF(C99="","Can't","OK"),IF(B99="Fight boss",IF(I98&lt;IF((IFERROR(VLOOKUP(C99,Monsters!$T$4:$AH$15,15,FALSE),0))=0,120,IFERROR(VLOOKUP(C99,Monsters!$T$4:$AH$15,15,FALSE),0)),"Can't","OK"),IF(B99="Hire hunter",IF(AND(C99="Briar",AD98&gt;=1),"Can't",IF(H98&lt;IF(C99="Briar",140,IF(C99="Quill",3650,IF(C99="Moss",4850,IF(C99="Ember",12200,0)))),"Can't","OK")),IF(OR(B99="Buy upgrade",B99="Forge/Scrapwork buy"),IF(IFERROR(VLOOKUP(C99,Upgrades!$N$4:$T$47,2,FALSE),0)="points","Can't",IF(IFERROR(VLOOKUP(C99,Upgrades!$N$4:$T$47,2,FALSE),0)="gold",IF(H98&lt;IFERROR(FLOOR(IFERROR(VLOOKUP(C99,Upgrades!$N$4:$T$47,3,FALSE),0)*(IFERROR(VLOOKUP(C99,Upgrades!$N$4:$T$47,4,FALSE),0)^(COUNTIFS($B$3:$B98,"Buy upgrade",$C$3:$C98,C99)+COUNTIFS($B$3:$B98,"Hire hunter",$C$3:$C98,C99)+COUNTIFS($B$3:$B98,"Forge/Scrapwork buy",$C$3:$C98,C99))),1),0),"Can't","OK"),IF(IFERROR(VLOOKUP(C99,Upgrades!$N$4:$T$47,2,FALSE),0)="scraps",IF(J98&lt;IFERROR(FLOOR(IFERROR(VLOOKUP(C99,Upgrades!$N$4:$T$47,3,FALSE),0)*(IFERROR(VLOOKUP(C99,Upgrades!$N$4:$T$47,4,FALSE),0)^(COUNTIFS($B$3:$B98,"Buy upgrade",$C$3:$C98,C99)+COUNTIFS($B$3:$B98,"Hire hunter",$C$3:$C98,C99)+COUNTIFS($B$3:$B98,"Forge/Scrapwork buy",$C$3:$C98,C99))),1),0),"Can't","OK"),IF(IFERROR(VLOOKUP(C99,Upgrades!$N$4:$T$47,2,FALSE),0)="mats","Can't","OK")))),"Check")))))</f>
        <v/>
      </c>
      <c r="F99" s="7">
        <f>IF(B99="","",IF(AND(B99="Fight boss",I98&lt;IF((IFERROR(VLOOKUP(C99,Monsters!$T$4:$AH$15,15,FALSE),0))=0,120,IFERROR(VLOOKUP(C99,Monsters!$T$4:$AH$15,15,FALSE),0))),"Can't — need "&amp;TEXT(IF((IFERROR(VLOOKUP(C99,Monsters!$T$4:$AH$15,15,FALSE),0))=0,120,IFERROR(VLOOKUP(C99,Monsters!$T$4:$AH$15,15,FALSE),0))-I98,"0.0")&amp;" more Slayer points on the meter",IF(AND(B99="Hire hunter",C99="Briar",AD98&gt;=1),"Can't — already hired",IF(AND(B99="Hire hunter",H98&lt;IF(C99="Briar",140,IF(C99="Quill",3650,IF(C99="Moss",4850,IF(C99="Ember",12200,0))))),"Can't — need "&amp;TEXT(IF(C99="Briar",140,IF(C99="Quill",3650,IF(C99="Moss",4850,IF(C99="Ember",12200,0))))-H98,"0")&amp;" more gold",IF(AND(OR(B99="Buy upgrade",B99="Forge/Scrapwork buy"),IFERROR(VLOOKUP(C99,Upgrades!$N$4:$T$47,2,FALSE),0)="points"),"Can't — Sp-wallet spends not tracked here",IF(AND(OR(B99="Buy upgrade",B99="Forge/Scrapwork buy"),IFERROR(VLOOKUP(C99,Upgrades!$N$4:$T$47,2,FALSE),0)="gold",H98&lt;IFERROR(FLOOR(IFERROR(VLOOKUP(C99,Upgrades!$N$4:$T$47,3,FALSE),0)*(IFERROR(VLOOKUP(C99,Upgrades!$N$4:$T$47,4,FALSE),0)^(COUNTIFS($B$3:$B98,"Buy upgrade",$C$3:$C98,C99)+COUNTIFS($B$3:$B98,"Hire hunter",$C$3:$C98,C99)+COUNTIFS($B$3:$B98,"Forge/Scrapwork buy",$C$3:$C98,C99))),1),0)),"Can't — need "&amp;TEXT(IFERROR(FLOOR(IFERROR(VLOOKUP(C99,Upgrades!$N$4:$T$47,3,FALSE),0)*(IFERROR(VLOOKUP(C99,Upgrades!$N$4:$T$47,4,FALSE),0)^(COUNTIFS($B$3:$B98,"Buy upgrade",$C$3:$C98,C99)+COUNTIFS($B$3:$B98,"Hire hunter",$C$3:$C98,C99)+COUNTIFS($B$3:$B98,"Forge/Scrapwork buy",$C$3:$C98,C99))),1),0)-H98,"0")&amp;" more gold",IF(AND(OR(B99="Buy upgrade",B99="Forge/Scrapwork buy"),IFERROR(VLOOKUP(C99,Upgrades!$N$4:$T$47,2,FALSE),0)="scraps",J98&lt;IFERROR(FLOOR(IFERROR(VLOOKUP(C99,Upgrades!$N$4:$T$47,3,FALSE),0)*(IFERROR(VLOOKUP(C99,Upgrades!$N$4:$T$47,4,FALSE),0)^(COUNTIFS($B$3:$B98,"Buy upgrade",$C$3:$C98,C99)+COUNTIFS($B$3:$B98,"Hire hunter",$C$3:$C98,C99)+COUNTIFS($B$3:$B98,"Forge/Scrapwork buy",$C$3:$C98,C99))),1),0)),"Can't — need "&amp;TEXT(IFERROR(FLOOR(IFERROR(VLOOKUP(C99,Upgrades!$N$4:$T$47,3,FALSE),0)*(IFERROR(VLOOKUP(C99,Upgrades!$N$4:$T$47,4,FALSE),0)^(COUNTIFS($B$3:$B98,"Buy upgrade",$C$3:$C98,C99)+COUNTIFS($B$3:$B98,"Hire hunter",$C$3:$C98,C99)+COUNTIFS($B$3:$B98,"Forge/Scrapwork buy",$C$3:$C98,C99))),1),0)-J98,"0")&amp;" more scraps",IF(AND(B99="Fight boss",E99="OK",(IF((((105/'Rules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Formulas'!B12)),"WIN — boss down, next Level unlocks",IF(AND(B99="Fight boss",E99="OK"),"LOSE — TTK "&amp;TEXT(IF((((105/'Rules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Formulas'!B20*SQRT(1+0.55*(AG98&gt;=1))),0)))),"0")&amp;"s &gt; patience "&amp;TEXT('Rules &amp; Formulas'!B12,"0")&amp;"s (leave resets HP)",IF(B99="Go AFK","AFK resolved (see AFK counted h)","Applied")))))))))</f>
        <v/>
      </c>
      <c r="G99" s="7">
        <f>IF(AND((E99="OK"),B99="Fight boss",(IF((((105/'Rules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Formulas'!B12),C99="Elder Thornpelt"),2,IF(AND((E99="OK"),B99="Fight boss",(IF((((105/'Rules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Formulas'!B12),C99="Ashfang Alpha"),3,G98))</f>
        <v/>
      </c>
      <c r="H99" s="7">
        <f>MAX(0,H98+IF(AND((E99="OK"),B99="Hunt"),(IF(B99="Hunt",(('Rules &amp; Formulas'!B4*N98*('Rules &amp; Formulas'!B5+O98)*IFERROR(VLOOKUP(C99,Monsters!$T$4:$AH$15,10,FALSE),0)*IFERROR(VLOOKUP(C99,Monsters!$T$4:$AH$15,9,FALSE),0))*'Rules &amp; Formulas'!B6)*IF(D99="",0,D99),0))*(IFERROR(VLOOKUP(C99,Monsters!$T$4:$AH$15,3,FALSE),0))*(1+0.1*AH98)+(IF(OR(B99&lt;&gt;"Hunt",IFERROR(VLOOKUP(C99,Monsters!$T$4:$AH$15,6,FALSE),0)=0),0,FLOOR((IF(B99="Hunt",(('Rules &amp; Formulas'!B4*N98*('Rules &amp; Formulas'!B5+O98)*IFERROR(VLOOKUP(C99,Monsters!$T$4:$AH$15,10,FALSE),0)*IFERROR(VLOOKUP(C99,Monsters!$T$4:$AH$15,9,FALSE),0))*'Rules &amp; Formulas'!B6)*IF(D99="",0,D99),0))/MAX(1,IFERROR(VLOOKUP(C99,Monsters!$T$4:$AH$15,6,FALSE),0)),1)))*(IFERROR(VLOOKUP(C99,Monsters!$T$4:$AH$15,7,FALSE),0))*0.5*(1+0.1*AH98),0)+IF(AND((E99="OK"),B99="Go AFK"),(IF(B99="Go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AFK",IF(D99="",0,D99),0),Z98/60)*60)),0))*(IFERROR(VLOOKUP(C99,Monsters!$T$4:$AH$15,3,FALSE),0))*(1+0.1*AH98)+(IF(OR(B99&lt;&gt;"Go AFK",IFERROR(VLOOKUP(C99,Monsters!$T$4:$AH$15,6,FALSE),0)=0),0,FLOOR((IF(B99="Go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AFK",IF(D99="",0,D99),0),Z98/60)*60)),0))/MAX(1,IFERROR(VLOOKUP(C99,Monsters!$T$4:$AH$15,6,FALSE),0)),1)))*(IFERROR(VLOOKUP(C99,Monsters!$T$4:$AH$15,7,FALSE),0))*0.5*(1+0.1*AH98),0)+IF(AND((E99="OK"),B99="Fight boss",(IF((((105/'Rules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Formulas'!B12)),IFERROR(VLOOKUP(C99,Monsters!$T$4:$AH$15,3,FALSE),0),0)-IF(AND((E99="OK"),OR(B99="Buy upgrade",B99="Forge/Scrapwork buy"),IFERROR(VLOOKUP(C99,Upgrades!$N$4:$T$47,2,FALSE),0)="gold"),IFERROR(FLOOR(IFERROR(VLOOKUP(C99,Upgrades!$N$4:$T$47,3,FALSE),0)*(IFERROR(VLOOKUP(C99,Upgrades!$N$4:$T$47,4,FALSE),0)^(COUNTIFS($B$3:$B98,"Buy upgrade",$C$3:$C98,C99)+COUNTIFS($B$3:$B98,"Hire hunter",$C$3:$C98,C99)+COUNTIFS($B$3:$B98,"Forge/Scrapwork buy",$C$3:$C98,C99))),1),0),0)-IF(AND((E99="OK"),B99="Hire hunter"),IF(C99="Briar",140,IF(C99="Quill",3650,IF(C99="Moss",4850,IF(C99="Ember",12200,0)))),0))</f>
        <v/>
      </c>
      <c r="I99" s="7">
        <f>IF(AND((E99="OK"),B99="Fight boss",(IF((((105/'Rules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Formulas'!B12)),0,MIN(IF(G98&lt;=1,120,IF(G98=2,280,600)),I98+IF(AND((E99="OK"),B99="Hunt"),((IF(B99="Hunt",(('Rules &amp; Formulas'!B4*N98*('Rules &amp; Formulas'!B5+O98)*IFERROR(VLOOKUP(C99,Monsters!$T$4:$AH$15,10,FALSE),0)*IFERROR(VLOOKUP(C99,Monsters!$T$4:$AH$15,9,FALSE),0))*'Rules &amp; Formulas'!B6)*IF(D99="",0,D99),0))*(IFERROR(VLOOKUP(C99,Monsters!$T$4:$AH$15,4,FALSE),0))+(IF(OR(B99&lt;&gt;"Hunt",IFERROR(VLOOKUP(C99,Monsters!$T$4:$AH$15,6,FALSE),0)=0),0,FLOOR((IF(B99="Hunt",(('Rules &amp; Formulas'!B4*N98*('Rules &amp; Formulas'!B5+O98)*IFERROR(VLOOKUP(C99,Monsters!$T$4:$AH$15,10,FALSE),0)*IFERROR(VLOOKUP(C99,Monsters!$T$4:$AH$15,9,FALSE),0))*'Rules &amp; Formulas'!B6)*IF(D99="",0,D99),0))/MAX(1,IFERROR(VLOOKUP(C99,Monsters!$T$4:$AH$15,6,FALSE),0)),1)))*(IFERROR(VLOOKUP(C99,Monsters!$T$4:$AH$15,7,FALSE),0))),0)+IF(AND((E99="OK"),B99="Go AFK"),((IF(B99="Go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AFK",IF(D99="",0,D99),0),Z98/60)*60)),0))*(IFERROR(VLOOKUP(C99,Monsters!$T$4:$AH$15,4,FALSE),0))+(IF(OR(B99&lt;&gt;"Go AFK",IFERROR(VLOOKUP(C99,Monsters!$T$4:$AH$15,6,FALSE),0)=0),0,FLOOR((IF(B99="Go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AFK",IF(D99="",0,D99),0),Z98/60)*60)),0))/MAX(1,IFERROR(VLOOKUP(C99,Monsters!$T$4:$AH$15,6,FALSE),0)),1)))*(IFERROR(VLOOKUP(C99,Monsters!$T$4:$AH$15,7,FALSE),0))),0)))</f>
        <v/>
      </c>
      <c r="J99" s="7">
        <f>MAX(0,J98+IF(AND((E99="OK"),B99="Hunt"),(IF(B99="Hunt",(('Rules &amp; Formulas'!B4*N98*('Rules &amp; Formulas'!B5+O98)*IFERROR(VLOOKUP(C99,Monsters!$T$4:$AH$15,10,FALSE),0)*IFERROR(VLOOKUP(C99,Monsters!$T$4:$AH$15,9,FALSE),0))*'Rules &amp; Formulas'!B6)*IF(D99="",0,D99),0))*(IFERROR(VLOOKUP(C99,Monsters!$T$4:$AH$15,5,FALSE),0)),0)+IF(AND((E99="OK"),B99="Go AFK"),(IF(B99="Go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AFK",IF(D99="",0,D99),0),Z98/60)*60)),0))*(IFERROR(VLOOKUP(C99,Monsters!$T$4:$AH$15,5,FALSE),0)),0)-IF(AND((E99="OK"),OR(B99="Buy upgrade",B99="Forge/Scrapwork buy"),IFERROR(VLOOKUP(C99,Upgrades!$N$4:$T$47,2,FALSE),0)="scraps"),IFERROR(FLOOR(IFERROR(VLOOKUP(C99,Upgrades!$N$4:$T$47,3,FALSE),0)*(IFERROR(VLOOKUP(C99,Upgrades!$N$4:$T$47,4,FALSE),0)^(COUNTIFS($B$3:$B98,"Buy upgrade",$C$3:$C98,C99)+COUNTIFS($B$3:$B98,"Hire hunter",$C$3:$C98,C99)+COUNTIFS($B$3:$B98,"Forge/Scrapwork buy",$C$3:$C98,C99))),1),0),0))</f>
        <v/>
      </c>
      <c r="K99" s="7">
        <f>MAX(0,K98+IF(AND((E99="OK"),B99="Hunt"),IF(C99="Thornpelt Bear",(IF(B99="Hunt",(('Rules &amp; Formulas'!B4*N98*('Rules &amp; Formulas'!B5+O98)*IFERROR(VLOOKUP(C99,Monsters!$T$4:$AH$15,10,FALSE),0)*IFERROR(VLOOKUP(C99,Monsters!$T$4:$AH$15,9,FALSE),0))*'Rules &amp; Formulas'!B6)*IF(D99="",0,D99),0))*0.12,0),0)+IF(AND((E99="OK"),B99="Go AFK"),IF(C99="Thornpelt Bear",(IF(B99="Go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AFK",IF(D99="",0,D99),0),Z98/60)*60)),0))*0.12,0),0))</f>
        <v/>
      </c>
      <c r="L99" s="7">
        <f>MAX(0,L98+IF(AND((E99="OK"),B99="Hunt"),IF(C99="Dire Thornpelt",(IF(B99="Hunt",(('Rules &amp; Formulas'!B4*N98*('Rules &amp; Formulas'!B5+O98)*IFERROR(VLOOKUP(C99,Monsters!$T$4:$AH$15,10,FALSE),0)*IFERROR(VLOOKUP(C99,Monsters!$T$4:$AH$15,9,FALSE),0))*'Rules &amp; Formulas'!B6)*IF(D99="",0,D99),0))*0.1,0),0)+IF(AND((E99="OK"),B99="Go AFK"),IF(C99="Dire Thornpelt",(IF(B99="Go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AFK",IF(D99="",0,D99),0),Z98/60)*60)),0))*0.1,0),0))</f>
        <v/>
      </c>
      <c r="M99" s="7">
        <f>IF(AND((E99="OK"),B99="Go AFK"),MAX(0,MIN(('Rules &amp; Formulas'!B15+25*AJ98),M98+('Rules &amp; Formulas'!B14+0.4*AJ98)*(MIN(IF(B99="Go AFK",IF(D99="",0,D99),0),Z98/60)*60))-(IF(B99="Go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AFK",IF(D99="",0,D99),0),Z98/60)*60)),0))*(IF((IFERROR(VLOOKUP(C99,Monsters!$T$4:$AH$15,8,FALSE),0))=0,0.35,IFERROR(VLOOKUP(C99,Monsters!$T$4:$AH$15,8,FALSE),0))/(1+0.08*AK98))),MIN(('Rules &amp; Formulas'!B15+25*AJ99),M98))</f>
        <v/>
      </c>
      <c r="N99" s="7">
        <f>(1+0.08+0.12*AA99+0.12*AB99+0.16*AC99)</f>
        <v/>
      </c>
      <c r="O99" s="7">
        <f>((AD99&gt;=1)*1*(1+0.3*AE99))</f>
        <v/>
      </c>
      <c r="P99" s="7">
        <f>IF(OR(B99="Hunt",B99="Go AFK"),(('Rules &amp; Formulas'!B4*N98*('Rules &amp; Formulas'!B5+O98)*IFERROR(VLOOKUP(C99,Monsters!$T$4:$AH$15,10,FALSE),0)*IFERROR(VLOOKUP(C99,Monsters!$T$4:$AH$15,9,FALSE),0))*'Rules &amp; Formulas'!B6),"")</f>
        <v/>
      </c>
      <c r="Q99" s="7">
        <f>IF(OR(B99="Hunt",B99="Go AFK"),('Rules &amp; Formulas'!B4*N98*('Rules &amp; Formulas'!B5+O98)*IFERROR(VLOOKUP(C99,Monsters!$T$4:$AH$15,10,FALSE),0)*IFERROR(VLOOKUP(C99,Monsters!$T$4:$AH$15,9,FALSE),0)),"")</f>
        <v/>
      </c>
      <c r="R99" s="7">
        <f>IF(AND((E99="OK"),B99="Hunt"),IF(B99="Hunt",(('Rules &amp; Formulas'!B4*N98*('Rules &amp; Formulas'!B5+O98)*IFERROR(VLOOKUP(C99,Monsters!$T$4:$AH$15,10,FALSE),0)*IFERROR(VLOOKUP(C99,Monsters!$T$4:$AH$15,9,FALSE),0))*'Rules &amp; Formulas'!B6)*IF(D99="",0,D99),0),IF(AND((E99="OK"),B99="Go AFK"),IF(B99="Go AFK",MIN(IF((IF((IFERROR(VLOOKUP(C99,Monsters!$T$4:$AH$15,8,FALSE),0))=0,0.35,IFERROR(VLOOKUP(C99,Monsters!$T$4:$AH$15,8,FALSE),0))/(1+0.08*AK98))&lt;=0,999999,FLOOR(MIN(('Rules &amp; Formulas'!B15+25*AJ98),M98+('Rules &amp; Formulas'!B14+0.4*AJ98)*(MIN(IF(B99="Go AFK",IF(D99="",0,D99),0),Z98/60)*60))/(IF((IFERROR(VLOOKUP(C99,Monsters!$T$4:$AH$15,8,FALSE),0))=0,0.35,IFERROR(VLOOKUP(C99,Monsters!$T$4:$AH$15,8,FALSE),0))/(1+0.08*AK98)),1)),('Rules &amp; Formulas'!B4*N98*('Rules &amp; Formulas'!B5+O98)*IFERROR(VLOOKUP(C99,Monsters!$T$4:$AH$15,10,FALSE),0)*IFERROR(VLOOKUP(C99,Monsters!$T$4:$AH$15,9,FALSE),0))*(MIN(IF(B99="Go AFK",IF(D99="",0,D99),0),Z98/60)*60)),0),0))</f>
        <v/>
      </c>
      <c r="S99" s="7">
        <f>(105/'Rules &amp; Formulas'!B10)*'Rules &amp; Formulas'!B11</f>
        <v/>
      </c>
      <c r="T99" s="7">
        <f>IF(AD98&gt;=1,(MAX(1,ROUND('Rules &amp; Formulas'!B18*(1+0.3*AE98)*(1+0.4*AF98),0)))*(1000/'Rules &amp; Formulas'!B19)*MIN(0.95,'Rules &amp; Formulas'!B20*SQRT(1+0.55*(AG98&gt;=1))),0)</f>
        <v/>
      </c>
      <c r="U99" s="7">
        <f>S99+T99</f>
        <v/>
      </c>
      <c r="V99" s="7">
        <f>IF(I98&gt;=IF((IFERROR(VLOOKUP(C99,Monsters!$T$4:$AH$15,15,FALSE),0))=0,120,IFERROR(VLOOKUP(C99,Monsters!$T$4:$AH$15,15,FALSE),0)),"YES","no")</f>
        <v/>
      </c>
      <c r="W99" s="7">
        <f>IF(AND(B99="Fight boss",E99="OK"),IF((((105/'Rules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Formulas'!B20*SQRT(1+0.55*(AG98&gt;=1))),0)))),"")</f>
        <v/>
      </c>
      <c r="X99" s="7">
        <f>IF(AND(B99="Fight boss",E99="OK"),IF((IF((((105/'Rules &amp; Formulas'!B10)*'Rules &amp; Formulas'!B11+IF(AD98&gt;=1,(MAX(1,ROUND('Rules &amp; Formulas'!B18*(1+0.3*AE98)*(1+0.4*AF98),0)))*(1000/'Rules &amp; Formulas'!B19)*MIN(0.95,'Rules &amp; Formulas'!B20*SQRT(1+0.55*(AG98&gt;=1))),0)))&lt;=0,9999,(IFERROR(VLOOKUP(C99,Monsters!$T$4:$AH$15,2,FALSE),0))/(((105/'Rules &amp; Formulas'!B10)*'Rules &amp; Formulas'!B11+IF(AD98&gt;=1,(MAX(1,ROUND('Rules &amp; Formulas'!B18*(1+0.3*AE98)*(1+0.4*AF98),0)))*(1000/'Rules &amp; Formulas'!B19)*MIN(0.95,'Rules &amp; Formulas'!B20*SQRT(1+0.55*(AG98&gt;=1))),0))))&lt;='Rules &amp; Formulas'!B12),"WIN","LOSE"),"")</f>
        <v/>
      </c>
      <c r="Y99" s="7">
        <f>IF(B99="Go AFK",MIN(IF(B99="Go AFK",IF(D99="",0,D99),0),Z98/60),"")</f>
        <v/>
      </c>
      <c r="Z99" s="7">
        <f>('Rules &amp; Formulas'!B13+30*AI99)</f>
        <v/>
      </c>
      <c r="AA99">
        <f>COUNTIFS($B$3:$B99,"Buy upgrade",$C$3:$C99,"Idle Power")</f>
        <v/>
      </c>
      <c r="AB99">
        <f>COUNTIFS($B$3:$B99,"Buy upgrade",$C$3:$C99,"Iron Blade")</f>
        <v/>
      </c>
      <c r="AC99">
        <f>COUNTIFS($B$3:$B99,"Buy upgrade",$C$3:$C99,"Steel Blade")</f>
        <v/>
      </c>
      <c r="AD99">
        <f>COUNTIFS($B$3:$B99,"Hire hunter",$C$3:$C99,"Briar")+COUNTIFS($B$3:$B99,"Buy upgrade",$C$3:$C99,"Hire Briar")</f>
        <v/>
      </c>
      <c r="AE99">
        <f>COUNTIFS($B$3:$B99,"Buy upgrade",$C$3:$C99,"Hunter Power")</f>
        <v/>
      </c>
      <c r="AF99">
        <f>COUNTIFS($B$3:$B99,"Buy upgrade",$C$3:$C99,"Bigger Hits")</f>
        <v/>
      </c>
      <c r="AG99">
        <f>COUNTIFS($B$3:$B99,"Buy upgrade",$C$3:$C99,"Swift Walk")</f>
        <v/>
      </c>
      <c r="AH99">
        <f>COUNTIFS($B$3:$B99,"Buy upgrade",$C$3:$C99,"Loot Luck")</f>
        <v/>
      </c>
      <c r="AI99">
        <f>COUNTIFS($B$3:$B99,"Buy upgrade",$C$3:$C99,"Offline Cap")</f>
        <v/>
      </c>
      <c r="AJ99">
        <f>COUNTIFS($B$3:$B99,"Buy upgrade",$C$3:$C99,"Bigger Food Stock")</f>
        <v/>
      </c>
      <c r="AK99">
        <f>COUNTIFS($B$3:$B99,"Buy upgrade",$C$3:$C99,"Food Efficiency")</f>
        <v/>
      </c>
    </row>
    <row r="100">
      <c r="A100" t="n">
        <v>98</v>
      </c>
      <c r="B100" s="6" t="n"/>
      <c r="C100" s="6" t="n"/>
      <c r="D100" s="6" t="n"/>
      <c r="E100" s="7">
        <f>IF(B100="","",IF(OR(B100="Hunt",B100="Go AFK"),IF(C100="","Can't","OK"),IF(B100="Fight boss",IF(I99&lt;IF((IFERROR(VLOOKUP(C100,Monsters!$T$4:$AH$15,15,FALSE),0))=0,120,IFERROR(VLOOKUP(C100,Monsters!$T$4:$AH$15,15,FALSE),0)),"Can't","OK"),IF(B100="Hire hunter",IF(AND(C100="Briar",AD99&gt;=1),"Can't",IF(H99&lt;IF(C100="Briar",140,IF(C100="Quill",3650,IF(C100="Moss",4850,IF(C100="Ember",12200,0)))),"Can't","OK")),IF(OR(B100="Buy upgrade",B100="Forge/Scrapwork buy"),IF(IFERROR(VLOOKUP(C100,Upgrades!$N$4:$T$47,2,FALSE),0)="points","Can't",IF(IFERROR(VLOOKUP(C100,Upgrades!$N$4:$T$47,2,FALSE),0)="gold",IF(H99&lt;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buy",$C$3:$C99,C100))),1),0),"Can't","OK"),IF(IFERROR(VLOOKUP(C100,Upgrades!$N$4:$T$47,2,FALSE),0)="scraps",IF(J99&lt;IFERROR(FLOOR(IFERROR(VLOOKUP(C100,Upgrades!$N$4:$T$47,3,FALSE),0)*(IFERROR(VLOOKUP(C100,Upgrades!$N$4:$T$47,4,FALSE),0)^(COUNTIFS($B$3:$B99,"Buy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buy",$C$3:$C99,C100))),1),0),"Can't","OK"),IF(IFERROR(VLOOKUP(C100,Upgrades!$N$4:$T$47,2,FALSE),0)="mats","Can't","OK")))),"Check")))))</f>
        <v/>
      </c>
      <c r="F100" s="7">
        <f>IF(B100="","",IF(AND(B100="Fight boss",I99&lt;IF((IFERROR(VLOOKUP(C100,Monsters!$T$4:$AH$15,15,FALSE),0))=0,120,IFERROR(VLOOKUP(C100,Monsters!$T$4:$AH$15,15,FALSE),0))),"Can't — need "&amp;TEXT(IF((IFERROR(VLOOKUP(C100,Monsters!$T$4:$AH$15,15,FALSE),0))=0,120,IFERROR(VLOOKUP(C100,Monsters!$T$4:$AH$15,15,FALSE),0))-I99,"0.0")&amp;" more Slayer points on the meter",IF(AND(B100="Hire hunter",C100="Briar",AD99&gt;=1),"Can't — already hired",IF(AND(B100="Hire hunter",H99&lt;IF(C100="Briar",140,IF(C100="Quill",3650,IF(C100="Moss",4850,IF(C100="Ember",12200,0))))),"Can't — need "&amp;TEXT(IF(C100="Briar",140,IF(C100="Quill",3650,IF(C100="Moss",4850,IF(C100="Ember",12200,0))))-H99,"0")&amp;" more gold",IF(AND(OR(B100="Buy upgrade",B100="Forge/Scrapwork buy"),IFERROR(VLOOKUP(C100,Upgrades!$N$4:$T$47,2,FALSE),0)="points"),"Can't — Sp-wallet spends not tracked here",IF(AND(OR(B100="Buy upgrade",B100="Forge/Scrapwork buy"),IFERROR(VLOOKUP(C100,Upgrades!$N$4:$T$47,2,FALSE),0)="gold",H99&lt;IFERROR(FLOOR(IFERROR(VLOOKUP(C100,Upgrades!$N$4:$T$47,3,FALSE),0)*(IFERROR(VLOOKUP(C100,Upgrades!$N$4:$T$47,4,FALSE),0)^(COUNTIFS($B$3:$B99,"Buy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buy",$C$3:$C99,C100))),1),0)),"Can't — need "&amp;TEXT(IFERROR(FLOOR(IFERROR(VLOOKUP(C100,Upgrades!$N$4:$T$47,3,FALSE),0)*(IFERROR(VLOOKUP(C100,Upgrades!$N$4:$T$47,4,FALSE),0)^(COUNTIFS($B$3:$B99,"Buy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buy",$C$3:$C99,C100))),1),0)-H99,"0")&amp;" more gold",IF(AND(OR(B100="Buy upgrade",B100="Forge/Scrapwork buy"),IFERROR(VLOOKUP(C100,Upgrades!$N$4:$T$47,2,FALSE),0)="scraps",J99&lt;IFERROR(FLOOR(IFERROR(VLOOKUP(C100,Upgrades!$N$4:$T$47,3,FALSE),0)*(IFERROR(VLOOKUP(C100,Upgrades!$N$4:$T$47,4,FALSE),0)^(COUNTIFS($B$3:$B99,"Buy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buy",$C$3:$C99,C100))),1),0)),"Can't — need "&amp;TEXT(IFERROR(FLOOR(IFERROR(VLOOKUP(C100,Upgrades!$N$4:$T$47,3,FALSE),0)*(IFERROR(VLOOKUP(C100,Upgrades!$N$4:$T$47,4,FALSE),0)^(COUNTIFS($B$3:$B99,"Buy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buy",$C$3:$C99,C100))),1),0)-J99,"0")&amp;" more scraps",IF(AND(B100="Fight boss",E100="OK",(IF((((105/'Rules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Formulas'!B12)),"WIN — boss down, next Level unlocks",IF(AND(B100="Fight boss",E100="OK"),"LOSE — TTK "&amp;TEXT(IF((((105/'Rules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Formulas'!B20*SQRT(1+0.55*(AG99&gt;=1))),0)))),"0")&amp;"s &gt; patience "&amp;TEXT('Rules &amp; Formulas'!B12,"0")&amp;"s (leave resets HP)",IF(B100="Go AFK","AFK resolved (see AFK counted h)","Applied")))))))))</f>
        <v/>
      </c>
      <c r="G100" s="7">
        <f>IF(AND((E100="OK"),B100="Fight boss",(IF((((105/'Rules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Formulas'!B12),C100="Elder Thornpelt"),2,IF(AND((E100="OK"),B100="Fight boss",(IF((((105/'Rules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Formulas'!B12),C100="Ashfang Alpha"),3,G99))</f>
        <v/>
      </c>
      <c r="H100" s="7">
        <f>MAX(0,H99+IF(AND((E100="OK"),B100="Hunt"),(IF(B100="Hunt",(('Rules &amp; Formulas'!B4*N99*('Rules &amp; Formulas'!B5+O99)*IFERROR(VLOOKUP(C100,Monsters!$T$4:$AH$15,10,FALSE),0)*IFERROR(VLOOKUP(C100,Monsters!$T$4:$AH$15,9,FALSE),0))*'Rules &amp; Formulas'!B6)*IF(D100="",0,D100),0))*(IFERROR(VLOOKUP(C100,Monsters!$T$4:$AH$15,3,FALSE),0))*(1+0.1*AH99)+(IF(OR(B100&lt;&gt;"Hunt",IFERROR(VLOOKUP(C100,Monsters!$T$4:$AH$15,6,FALSE),0)=0),0,FLOOR((IF(B100="Hunt",(('Rules &amp; Formulas'!B4*N99*('Rules &amp; Formulas'!B5+O99)*IFERROR(VLOOKUP(C100,Monsters!$T$4:$AH$15,10,FALSE),0)*IFERROR(VLOOKUP(C100,Monsters!$T$4:$AH$15,9,FALSE),0))*'Rules &amp; Formulas'!B6)*IF(D100="",0,D100),0))/MAX(1,IFERROR(VLOOKUP(C100,Monsters!$T$4:$AH$15,6,FALSE),0)),1)))*(IFERROR(VLOOKUP(C100,Monsters!$T$4:$AH$15,7,FALSE),0))*0.5*(1+0.1*AH99),0)+IF(AND((E100="OK"),B100="Go AFK"),(IF(B100="Go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AFK",IF(D100="",0,D100),0),Z99/60)*60)),0))*(IFERROR(VLOOKUP(C100,Monsters!$T$4:$AH$15,3,FALSE),0))*(1+0.1*AH99)+(IF(OR(B100&lt;&gt;"Go AFK",IFERROR(VLOOKUP(C100,Monsters!$T$4:$AH$15,6,FALSE),0)=0),0,FLOOR((IF(B100="Go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AFK",IF(D100="",0,D100),0),Z99/60)*60)),0))/MAX(1,IFERROR(VLOOKUP(C100,Monsters!$T$4:$AH$15,6,FALSE),0)),1)))*(IFERROR(VLOOKUP(C100,Monsters!$T$4:$AH$15,7,FALSE),0))*0.5*(1+0.1*AH99),0)+IF(AND((E100="OK"),B100="Fight boss",(IF((((105/'Rules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Formulas'!B12)),IFERROR(VLOOKUP(C100,Monsters!$T$4:$AH$15,3,FALSE),0),0)-IF(AND((E100="OK"),OR(B100="Buy upgrade",B100="Forge/Scrapwork buy"),IFERROR(VLOOKUP(C100,Upgrades!$N$4:$T$47,2,FALSE),0)="gold"),IFERROR(FLOOR(IFERROR(VLOOKUP(C100,Upgrades!$N$4:$T$47,3,FALSE),0)*(IFERROR(VLOOKUP(C100,Upgrades!$N$4:$T$47,4,FALSE),0)^(COUNTIFS($B$3:$B99,"Buy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buy",$C$3:$C99,C100))),1),0),0)-IF(AND((E100="OK"),B100="Hire hunter"),IF(C100="Briar",140,IF(C100="Quill",3650,IF(C100="Moss",4850,IF(C100="Ember",12200,0)))),0))</f>
        <v/>
      </c>
      <c r="I100" s="7">
        <f>IF(AND((E100="OK"),B100="Fight boss",(IF((((105/'Rules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Formulas'!B12)),0,MIN(IF(G99&lt;=1,120,IF(G99=2,280,600)),I99+IF(AND((E100="OK"),B100="Hunt"),((IF(B100="Hunt",(('Rules &amp; Formulas'!B4*N99*('Rules &amp; Formulas'!B5+O99)*IFERROR(VLOOKUP(C100,Monsters!$T$4:$AH$15,10,FALSE),0)*IFERROR(VLOOKUP(C100,Monsters!$T$4:$AH$15,9,FALSE),0))*'Rules &amp; Formulas'!B6)*IF(D100="",0,D100),0))*(IFERROR(VLOOKUP(C100,Monsters!$T$4:$AH$15,4,FALSE),0))+(IF(OR(B100&lt;&gt;"Hunt",IFERROR(VLOOKUP(C100,Monsters!$T$4:$AH$15,6,FALSE),0)=0),0,FLOOR((IF(B100="Hunt",(('Rules &amp; Formulas'!B4*N99*('Rules &amp; Formulas'!B5+O99)*IFERROR(VLOOKUP(C100,Monsters!$T$4:$AH$15,10,FALSE),0)*IFERROR(VLOOKUP(C100,Monsters!$T$4:$AH$15,9,FALSE),0))*'Rules &amp; Formulas'!B6)*IF(D100="",0,D100),0))/MAX(1,IFERROR(VLOOKUP(C100,Monsters!$T$4:$AH$15,6,FALSE),0)),1)))*(IFERROR(VLOOKUP(C100,Monsters!$T$4:$AH$15,7,FALSE),0))),0)+IF(AND((E100="OK"),B100="Go AFK"),((IF(B100="Go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AFK",IF(D100="",0,D100),0),Z99/60)*60)),0))*(IFERROR(VLOOKUP(C100,Monsters!$T$4:$AH$15,4,FALSE),0))+(IF(OR(B100&lt;&gt;"Go AFK",IFERROR(VLOOKUP(C100,Monsters!$T$4:$AH$15,6,FALSE),0)=0),0,FLOOR((IF(B100="Go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AFK",IF(D100="",0,D100),0),Z99/60)*60)),0))/MAX(1,IFERROR(VLOOKUP(C100,Monsters!$T$4:$AH$15,6,FALSE),0)),1)))*(IFERROR(VLOOKUP(C100,Monsters!$T$4:$AH$15,7,FALSE),0))),0)))</f>
        <v/>
      </c>
      <c r="J100" s="7">
        <f>MAX(0,J99+IF(AND((E100="OK"),B100="Hunt"),(IF(B100="Hunt",(('Rules &amp; Formulas'!B4*N99*('Rules &amp; Formulas'!B5+O99)*IFERROR(VLOOKUP(C100,Monsters!$T$4:$AH$15,10,FALSE),0)*IFERROR(VLOOKUP(C100,Monsters!$T$4:$AH$15,9,FALSE),0))*'Rules &amp; Formulas'!B6)*IF(D100="",0,D100),0))*(IFERROR(VLOOKUP(C100,Monsters!$T$4:$AH$15,5,FALSE),0)),0)+IF(AND((E100="OK"),B100="Go AFK"),(IF(B100="Go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AFK",IF(D100="",0,D100),0),Z99/60)*60)),0))*(IFERROR(VLOOKUP(C100,Monsters!$T$4:$AH$15,5,FALSE),0)),0)-IF(AND((E100="OK"),OR(B100="Buy upgrade",B100="Forge/Scrapwork buy"),IFERROR(VLOOKUP(C100,Upgrades!$N$4:$T$47,2,FALSE),0)="scraps"),IFERROR(FLOOR(IFERROR(VLOOKUP(C100,Upgrades!$N$4:$T$47,3,FALSE),0)*(IFERROR(VLOOKUP(C100,Upgrades!$N$4:$T$47,4,FALSE),0)^(COUNTIFS($B$3:$B99,"Buy upgrade",$C$3:$C99,C100)+COUNTIFS($B$3:$B99,"Hire hunter",$C$3:$C99,C100)+COUNTIFS($B$3:$B99,"Forge/Scrapwork buy",$C$3:$C99,C100))),1),0),0))</f>
        <v/>
      </c>
      <c r="K100" s="7">
        <f>MAX(0,K99+IF(AND((E100="OK"),B100="Hunt"),IF(C100="Thornpelt Bear",(IF(B100="Hunt",(('Rules &amp; Formulas'!B4*N99*('Rules &amp; Formulas'!B5+O99)*IFERROR(VLOOKUP(C100,Monsters!$T$4:$AH$15,10,FALSE),0)*IFERROR(VLOOKUP(C100,Monsters!$T$4:$AH$15,9,FALSE),0))*'Rules &amp; Formulas'!B6)*IF(D100="",0,D100),0))*0.12,0),0)+IF(AND((E100="OK"),B100="Go AFK"),IF(C100="Thornpelt Bear",(IF(B100="Go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AFK",IF(D100="",0,D100),0),Z99/60)*60)),0))*0.12,0),0))</f>
        <v/>
      </c>
      <c r="L100" s="7">
        <f>MAX(0,L99+IF(AND((E100="OK"),B100="Hunt"),IF(C100="Dire Thornpelt",(IF(B100="Hunt",(('Rules &amp; Formulas'!B4*N99*('Rules &amp; Formulas'!B5+O99)*IFERROR(VLOOKUP(C100,Monsters!$T$4:$AH$15,10,FALSE),0)*IFERROR(VLOOKUP(C100,Monsters!$T$4:$AH$15,9,FALSE),0))*'Rules &amp; Formulas'!B6)*IF(D100="",0,D100),0))*0.1,0),0)+IF(AND((E100="OK"),B100="Go AFK"),IF(C100="Dire Thornpelt",(IF(B100="Go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AFK",IF(D100="",0,D100),0),Z99/60)*60)),0))*0.1,0),0))</f>
        <v/>
      </c>
      <c r="M100" s="7">
        <f>IF(AND((E100="OK"),B100="Go AFK"),MAX(0,MIN(('Rules &amp; Formulas'!B15+25*AJ99),M99+('Rules &amp; Formulas'!B14+0.4*AJ99)*(MIN(IF(B100="Go AFK",IF(D100="",0,D100),0),Z99/60)*60))-(IF(B100="Go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AFK",IF(D100="",0,D100),0),Z99/60)*60)),0))*(IF((IFERROR(VLOOKUP(C100,Monsters!$T$4:$AH$15,8,FALSE),0))=0,0.35,IFERROR(VLOOKUP(C100,Monsters!$T$4:$AH$15,8,FALSE),0))/(1+0.08*AK99))),MIN(('Rules &amp; Formulas'!B15+25*AJ100),M99))</f>
        <v/>
      </c>
      <c r="N100" s="7">
        <f>(1+0.08+0.12*AA100+0.12*AB100+0.16*AC100)</f>
        <v/>
      </c>
      <c r="O100" s="7">
        <f>((AD100&gt;=1)*1*(1+0.3*AE100))</f>
        <v/>
      </c>
      <c r="P100" s="7">
        <f>IF(OR(B100="Hunt",B100="Go AFK"),(('Rules &amp; Formulas'!B4*N99*('Rules &amp; Formulas'!B5+O99)*IFERROR(VLOOKUP(C100,Monsters!$T$4:$AH$15,10,FALSE),0)*IFERROR(VLOOKUP(C100,Monsters!$T$4:$AH$15,9,FALSE),0))*'Rules &amp; Formulas'!B6),"")</f>
        <v/>
      </c>
      <c r="Q100" s="7">
        <f>IF(OR(B100="Hunt",B100="Go AFK"),('Rules &amp; Formulas'!B4*N99*('Rules &amp; Formulas'!B5+O99)*IFERROR(VLOOKUP(C100,Monsters!$T$4:$AH$15,10,FALSE),0)*IFERROR(VLOOKUP(C100,Monsters!$T$4:$AH$15,9,FALSE),0)),"")</f>
        <v/>
      </c>
      <c r="R100" s="7">
        <f>IF(AND((E100="OK"),B100="Hunt"),IF(B100="Hunt",(('Rules &amp; Formulas'!B4*N99*('Rules &amp; Formulas'!B5+O99)*IFERROR(VLOOKUP(C100,Monsters!$T$4:$AH$15,10,FALSE),0)*IFERROR(VLOOKUP(C100,Monsters!$T$4:$AH$15,9,FALSE),0))*'Rules &amp; Formulas'!B6)*IF(D100="",0,D100),0),IF(AND((E100="OK"),B100="Go AFK"),IF(B100="Go AFK",MIN(IF((IF((IFERROR(VLOOKUP(C100,Monsters!$T$4:$AH$15,8,FALSE),0))=0,0.35,IFERROR(VLOOKUP(C100,Monsters!$T$4:$AH$15,8,FALSE),0))/(1+0.08*AK99))&lt;=0,999999,FLOOR(MIN(('Rules &amp; Formulas'!B15+25*AJ99),M99+('Rules &amp; Formulas'!B14+0.4*AJ99)*(MIN(IF(B100="Go AFK",IF(D100="",0,D100),0),Z99/60)*60))/(IF((IFERROR(VLOOKUP(C100,Monsters!$T$4:$AH$15,8,FALSE),0))=0,0.35,IFERROR(VLOOKUP(C100,Monsters!$T$4:$AH$15,8,FALSE),0))/(1+0.08*AK99)),1)),('Rules &amp; Formulas'!B4*N99*('Rules &amp; Formulas'!B5+O99)*IFERROR(VLOOKUP(C100,Monsters!$T$4:$AH$15,10,FALSE),0)*IFERROR(VLOOKUP(C100,Monsters!$T$4:$AH$15,9,FALSE),0))*(MIN(IF(B100="Go AFK",IF(D100="",0,D100),0),Z99/60)*60)),0),0))</f>
        <v/>
      </c>
      <c r="S100" s="7">
        <f>(105/'Rules &amp; Formulas'!B10)*'Rules &amp; Formulas'!B11</f>
        <v/>
      </c>
      <c r="T100" s="7">
        <f>IF(AD99&gt;=1,(MAX(1,ROUND('Rules &amp; Formulas'!B18*(1+0.3*AE99)*(1+0.4*AF99),0)))*(1000/'Rules &amp; Formulas'!B19)*MIN(0.95,'Rules &amp; Formulas'!B20*SQRT(1+0.55*(AG99&gt;=1))),0)</f>
        <v/>
      </c>
      <c r="U100" s="7">
        <f>S100+T100</f>
        <v/>
      </c>
      <c r="V100" s="7">
        <f>IF(I99&gt;=IF((IFERROR(VLOOKUP(C100,Monsters!$T$4:$AH$15,15,FALSE),0))=0,120,IFERROR(VLOOKUP(C100,Monsters!$T$4:$AH$15,15,FALSE),0)),"YES","no")</f>
        <v/>
      </c>
      <c r="W100" s="7">
        <f>IF(AND(B100="Fight boss",E100="OK"),IF((((105/'Rules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Formulas'!B20*SQRT(1+0.55*(AG99&gt;=1))),0)))),"")</f>
        <v/>
      </c>
      <c r="X100" s="7">
        <f>IF(AND(B100="Fight boss",E100="OK"),IF((IF((((105/'Rules &amp; Formulas'!B10)*'Rules &amp; Formulas'!B11+IF(AD99&gt;=1,(MAX(1,ROUND('Rules &amp; Formulas'!B18*(1+0.3*AE99)*(1+0.4*AF99),0)))*(1000/'Rules &amp; Formulas'!B19)*MIN(0.95,'Rules &amp; Formulas'!B20*SQRT(1+0.55*(AG99&gt;=1))),0)))&lt;=0,9999,(IFERROR(VLOOKUP(C100,Monsters!$T$4:$AH$15,2,FALSE),0))/(((105/'Rules &amp; Formulas'!B10)*'Rules &amp; Formulas'!B11+IF(AD99&gt;=1,(MAX(1,ROUND('Rules &amp; Formulas'!B18*(1+0.3*AE99)*(1+0.4*AF99),0)))*(1000/'Rules &amp; Formulas'!B19)*MIN(0.95,'Rules &amp; Formulas'!B20*SQRT(1+0.55*(AG99&gt;=1))),0))))&lt;='Rules &amp; Formulas'!B12),"WIN","LOSE"),"")</f>
        <v/>
      </c>
      <c r="Y100" s="7">
        <f>IF(B100="Go AFK",MIN(IF(B100="Go AFK",IF(D100="",0,D100),0),Z99/60),"")</f>
        <v/>
      </c>
      <c r="Z100" s="7">
        <f>('Rules &amp; Formulas'!B13+30*AI100)</f>
        <v/>
      </c>
      <c r="AA100">
        <f>COUNTIFS($B$3:$B100,"Buy upgrade",$C$3:$C100,"Idle Power")</f>
        <v/>
      </c>
      <c r="AB100">
        <f>COUNTIFS($B$3:$B100,"Buy upgrade",$C$3:$C100,"Iron Blade")</f>
        <v/>
      </c>
      <c r="AC100">
        <f>COUNTIFS($B$3:$B100,"Buy upgrade",$C$3:$C100,"Steel Blade")</f>
        <v/>
      </c>
      <c r="AD100">
        <f>COUNTIFS($B$3:$B100,"Hire hunter",$C$3:$C100,"Briar")+COUNTIFS($B$3:$B100,"Buy upgrade",$C$3:$C100,"Hire Briar")</f>
        <v/>
      </c>
      <c r="AE100">
        <f>COUNTIFS($B$3:$B100,"Buy upgrade",$C$3:$C100,"Hunter Power")</f>
        <v/>
      </c>
      <c r="AF100">
        <f>COUNTIFS($B$3:$B100,"Buy upgrade",$C$3:$C100,"Bigger Hits")</f>
        <v/>
      </c>
      <c r="AG100">
        <f>COUNTIFS($B$3:$B100,"Buy upgrade",$C$3:$C100,"Swift Walk")</f>
        <v/>
      </c>
      <c r="AH100">
        <f>COUNTIFS($B$3:$B100,"Buy upgrade",$C$3:$C100,"Loot Luck")</f>
        <v/>
      </c>
      <c r="AI100">
        <f>COUNTIFS($B$3:$B100,"Buy upgrade",$C$3:$C100,"Offline Cap")</f>
        <v/>
      </c>
      <c r="AJ100">
        <f>COUNTIFS($B$3:$B100,"Buy upgrade",$C$3:$C100,"Bigger Food Stock")</f>
        <v/>
      </c>
      <c r="AK100">
        <f>COUNTIFS($B$3:$B100,"Buy upgrade",$C$3:$C100,"Food Efficiency")</f>
        <v/>
      </c>
    </row>
    <row r="101">
      <c r="A101" t="n">
        <v>99</v>
      </c>
      <c r="B101" s="6" t="n"/>
      <c r="C101" s="6" t="n"/>
      <c r="D101" s="6" t="n"/>
      <c r="E101" s="7">
        <f>IF(B101="","",IF(OR(B101="Hunt",B101="Go AFK"),IF(C101="","Can't","OK"),IF(B101="Fight boss",IF(I100&lt;IF((IFERROR(VLOOKUP(C101,Monsters!$T$4:$AH$15,15,FALSE),0))=0,120,IFERROR(VLOOKUP(C101,Monsters!$T$4:$AH$15,15,FALSE),0)),"Can't","OK"),IF(B101="Hire hunter",IF(AND(C101="Briar",AD100&gt;=1),"Can't",IF(H100&lt;IF(C101="Briar",140,IF(C101="Quill",3650,IF(C101="Moss",4850,IF(C101="Ember",12200,0)))),"Can't","OK")),IF(OR(B101="Buy upgrade",B101="Forge/Scrapwork buy"),IF(IFERROR(VLOOKUP(C101,Upgrades!$N$4:$T$47,2,FALSE),0)="points","Can't",IF(IFERROR(VLOOKUP(C101,Upgrades!$N$4:$T$47,2,FALSE),0)="gold",IF(H100&lt;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buy",$C$3:$C100,C101))),1),0),"Can't","OK"),IF(IFERROR(VLOOKUP(C101,Upgrades!$N$4:$T$47,2,FALSE),0)="scraps",IF(J100&lt;IFERROR(FLOOR(IFERROR(VLOOKUP(C101,Upgrades!$N$4:$T$47,3,FALSE),0)*(IFERROR(VLOOKUP(C101,Upgrades!$N$4:$T$47,4,FALSE),0)^(COUNTIFS($B$3:$B100,"Buy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buy",$C$3:$C100,C101))),1),0),"Can't","OK"),IF(IFERROR(VLOOKUP(C101,Upgrades!$N$4:$T$47,2,FALSE),0)="mats","Can't","OK")))),"Check")))))</f>
        <v/>
      </c>
      <c r="F101" s="7">
        <f>IF(B101="","",IF(AND(B101="Fight boss",I100&lt;IF((IFERROR(VLOOKUP(C101,Monsters!$T$4:$AH$15,15,FALSE),0))=0,120,IFERROR(VLOOKUP(C101,Monsters!$T$4:$AH$15,15,FALSE),0))),"Can't — need "&amp;TEXT(IF((IFERROR(VLOOKUP(C101,Monsters!$T$4:$AH$15,15,FALSE),0))=0,120,IFERROR(VLOOKUP(C101,Monsters!$T$4:$AH$15,15,FALSE),0))-I100,"0.0")&amp;" more Slayer points on the meter",IF(AND(B101="Hire hunter",C101="Briar",AD100&gt;=1),"Can't — already hired",IF(AND(B101="Hire hunter",H100&lt;IF(C101="Briar",140,IF(C101="Quill",3650,IF(C101="Moss",4850,IF(C101="Ember",12200,0))))),"Can't — need "&amp;TEXT(IF(C101="Briar",140,IF(C101="Quill",3650,IF(C101="Moss",4850,IF(C101="Ember",12200,0))))-H100,"0")&amp;" more gold",IF(AND(OR(B101="Buy upgrade",B101="Forge/Scrapwork buy"),IFERROR(VLOOKUP(C101,Upgrades!$N$4:$T$47,2,FALSE),0)="points"),"Can't — Sp-wallet spends not tracked here",IF(AND(OR(B101="Buy upgrade",B101="Forge/Scrapwork buy"),IFERROR(VLOOKUP(C101,Upgrades!$N$4:$T$47,2,FALSE),0)="gold",H100&lt;IFERROR(FLOOR(IFERROR(VLOOKUP(C101,Upgrades!$N$4:$T$47,3,FALSE),0)*(IFERROR(VLOOKUP(C101,Upgrades!$N$4:$T$47,4,FALSE),0)^(COUNTIFS($B$3:$B100,"Buy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buy",$C$3:$C100,C101))),1),0)),"Can't — need "&amp;TEXT(IFERROR(FLOOR(IFERROR(VLOOKUP(C101,Upgrades!$N$4:$T$47,3,FALSE),0)*(IFERROR(VLOOKUP(C101,Upgrades!$N$4:$T$47,4,FALSE),0)^(COUNTIFS($B$3:$B100,"Buy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buy",$C$3:$C100,C101))),1),0)-H100,"0")&amp;" more gold",IF(AND(OR(B101="Buy upgrade",B101="Forge/Scrapwork buy"),IFERROR(VLOOKUP(C101,Upgrades!$N$4:$T$47,2,FALSE),0)="scraps",J100&lt;IFERROR(FLOOR(IFERROR(VLOOKUP(C101,Upgrades!$N$4:$T$47,3,FALSE),0)*(IFERROR(VLOOKUP(C101,Upgrades!$N$4:$T$47,4,FALSE),0)^(COUNTIFS($B$3:$B100,"Buy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buy",$C$3:$C100,C101))),1),0)),"Can't — need "&amp;TEXT(IFERROR(FLOOR(IFERROR(VLOOKUP(C101,Upgrades!$N$4:$T$47,3,FALSE),0)*(IFERROR(VLOOKUP(C101,Upgrades!$N$4:$T$47,4,FALSE),0)^(COUNTIFS($B$3:$B100,"Buy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buy",$C$3:$C100,C101))),1),0)-J100,"0")&amp;" more scraps",IF(AND(B101="Fight boss",E101="OK",(IF((((105/'Rules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Formulas'!B12)),"WIN — boss down, next Level unlocks",IF(AND(B101="Fight boss",E101="OK"),"LOSE — TTK "&amp;TEXT(IF((((105/'Rules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Formulas'!B20*SQRT(1+0.55*(AG100&gt;=1))),0)))),"0")&amp;"s &gt; patience "&amp;TEXT('Rules &amp; Formulas'!B12,"0")&amp;"s (leave resets HP)",IF(B101="Go AFK","AFK resolved (see AFK counted h)","Applied")))))))))</f>
        <v/>
      </c>
      <c r="G101" s="7">
        <f>IF(AND((E101="OK"),B101="Fight boss",(IF((((105/'Rules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Formulas'!B12),C101="Elder Thornpelt"),2,IF(AND((E101="OK"),B101="Fight boss",(IF((((105/'Rules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Formulas'!B12),C101="Ashfang Alpha"),3,G100))</f>
        <v/>
      </c>
      <c r="H101" s="7">
        <f>MAX(0,H100+IF(AND((E101="OK"),B101="Hunt"),(IF(B101="Hunt",(('Rules &amp; Formulas'!B4*N100*('Rules &amp; Formulas'!B5+O100)*IFERROR(VLOOKUP(C101,Monsters!$T$4:$AH$15,10,FALSE),0)*IFERROR(VLOOKUP(C101,Monsters!$T$4:$AH$15,9,FALSE),0))*'Rules &amp; Formulas'!B6)*IF(D101="",0,D101),0))*(IFERROR(VLOOKUP(C101,Monsters!$T$4:$AH$15,3,FALSE),0))*(1+0.1*AH100)+(IF(OR(B101&lt;&gt;"Hunt",IFERROR(VLOOKUP(C101,Monsters!$T$4:$AH$15,6,FALSE),0)=0),0,FLOOR((IF(B101="Hunt",(('Rules &amp; Formulas'!B4*N100*('Rules &amp; Formulas'!B5+O100)*IFERROR(VLOOKUP(C101,Monsters!$T$4:$AH$15,10,FALSE),0)*IFERROR(VLOOKUP(C101,Monsters!$T$4:$AH$15,9,FALSE),0))*'Rules &amp; Formulas'!B6)*IF(D101="",0,D101),0))/MAX(1,IFERROR(VLOOKUP(C101,Monsters!$T$4:$AH$15,6,FALSE),0)),1)))*(IFERROR(VLOOKUP(C101,Monsters!$T$4:$AH$15,7,FALSE),0))*0.5*(1+0.1*AH100),0)+IF(AND((E101="OK"),B101="Go AFK"),(IF(B101="Go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AFK",IF(D101="",0,D101),0),Z100/60)*60)),0))*(IFERROR(VLOOKUP(C101,Monsters!$T$4:$AH$15,3,FALSE),0))*(1+0.1*AH100)+(IF(OR(B101&lt;&gt;"Go AFK",IFERROR(VLOOKUP(C101,Monsters!$T$4:$AH$15,6,FALSE),0)=0),0,FLOOR((IF(B101="Go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AFK",IF(D101="",0,D101),0),Z100/60)*60)),0))/MAX(1,IFERROR(VLOOKUP(C101,Monsters!$T$4:$AH$15,6,FALSE),0)),1)))*(IFERROR(VLOOKUP(C101,Monsters!$T$4:$AH$15,7,FALSE),0))*0.5*(1+0.1*AH100),0)+IF(AND((E101="OK"),B101="Fight boss",(IF((((105/'Rules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Formulas'!B12)),IFERROR(VLOOKUP(C101,Monsters!$T$4:$AH$15,3,FALSE),0),0)-IF(AND((E101="OK"),OR(B101="Buy upgrade",B101="Forge/Scrapwork buy"),IFERROR(VLOOKUP(C101,Upgrades!$N$4:$T$47,2,FALSE),0)="gold"),IFERROR(FLOOR(IFERROR(VLOOKUP(C101,Upgrades!$N$4:$T$47,3,FALSE),0)*(IFERROR(VLOOKUP(C101,Upgrades!$N$4:$T$47,4,FALSE),0)^(COUNTIFS($B$3:$B100,"Buy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buy",$C$3:$C100,C101))),1),0),0)-IF(AND((E101="OK"),B101="Hire hunter"),IF(C101="Briar",140,IF(C101="Quill",3650,IF(C101="Moss",4850,IF(C101="Ember",12200,0)))),0))</f>
        <v/>
      </c>
      <c r="I101" s="7">
        <f>IF(AND((E101="OK"),B101="Fight boss",(IF((((105/'Rules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Formulas'!B12)),0,MIN(IF(G100&lt;=1,120,IF(G100=2,280,600)),I100+IF(AND((E101="OK"),B101="Hunt"),((IF(B101="Hunt",(('Rules &amp; Formulas'!B4*N100*('Rules &amp; Formulas'!B5+O100)*IFERROR(VLOOKUP(C101,Monsters!$T$4:$AH$15,10,FALSE),0)*IFERROR(VLOOKUP(C101,Monsters!$T$4:$AH$15,9,FALSE),0))*'Rules &amp; Formulas'!B6)*IF(D101="",0,D101),0))*(IFERROR(VLOOKUP(C101,Monsters!$T$4:$AH$15,4,FALSE),0))+(IF(OR(B101&lt;&gt;"Hunt",IFERROR(VLOOKUP(C101,Monsters!$T$4:$AH$15,6,FALSE),0)=0),0,FLOOR((IF(B101="Hunt",(('Rules &amp; Formulas'!B4*N100*('Rules &amp; Formulas'!B5+O100)*IFERROR(VLOOKUP(C101,Monsters!$T$4:$AH$15,10,FALSE),0)*IFERROR(VLOOKUP(C101,Monsters!$T$4:$AH$15,9,FALSE),0))*'Rules &amp; Formulas'!B6)*IF(D101="",0,D101),0))/MAX(1,IFERROR(VLOOKUP(C101,Monsters!$T$4:$AH$15,6,FALSE),0)),1)))*(IFERROR(VLOOKUP(C101,Monsters!$T$4:$AH$15,7,FALSE),0))),0)+IF(AND((E101="OK"),B101="Go AFK"),((IF(B101="Go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AFK",IF(D101="",0,D101),0),Z100/60)*60)),0))*(IFERROR(VLOOKUP(C101,Monsters!$T$4:$AH$15,4,FALSE),0))+(IF(OR(B101&lt;&gt;"Go AFK",IFERROR(VLOOKUP(C101,Monsters!$T$4:$AH$15,6,FALSE),0)=0),0,FLOOR((IF(B101="Go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AFK",IF(D101="",0,D101),0),Z100/60)*60)),0))/MAX(1,IFERROR(VLOOKUP(C101,Monsters!$T$4:$AH$15,6,FALSE),0)),1)))*(IFERROR(VLOOKUP(C101,Monsters!$T$4:$AH$15,7,FALSE),0))),0)))</f>
        <v/>
      </c>
      <c r="J101" s="7">
        <f>MAX(0,J100+IF(AND((E101="OK"),B101="Hunt"),(IF(B101="Hunt",(('Rules &amp; Formulas'!B4*N100*('Rules &amp; Formulas'!B5+O100)*IFERROR(VLOOKUP(C101,Monsters!$T$4:$AH$15,10,FALSE),0)*IFERROR(VLOOKUP(C101,Monsters!$T$4:$AH$15,9,FALSE),0))*'Rules &amp; Formulas'!B6)*IF(D101="",0,D101),0))*(IFERROR(VLOOKUP(C101,Monsters!$T$4:$AH$15,5,FALSE),0)),0)+IF(AND((E101="OK"),B101="Go AFK"),(IF(B101="Go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AFK",IF(D101="",0,D101),0),Z100/60)*60)),0))*(IFERROR(VLOOKUP(C101,Monsters!$T$4:$AH$15,5,FALSE),0)),0)-IF(AND((E101="OK"),OR(B101="Buy upgrade",B101="Forge/Scrapwork buy"),IFERROR(VLOOKUP(C101,Upgrades!$N$4:$T$47,2,FALSE),0)="scraps"),IFERROR(FLOOR(IFERROR(VLOOKUP(C101,Upgrades!$N$4:$T$47,3,FALSE),0)*(IFERROR(VLOOKUP(C101,Upgrades!$N$4:$T$47,4,FALSE),0)^(COUNTIFS($B$3:$B100,"Buy upgrade",$C$3:$C100,C101)+COUNTIFS($B$3:$B100,"Hire hunter",$C$3:$C100,C101)+COUNTIFS($B$3:$B100,"Forge/Scrapwork buy",$C$3:$C100,C101))),1),0),0))</f>
        <v/>
      </c>
      <c r="K101" s="7">
        <f>MAX(0,K100+IF(AND((E101="OK"),B101="Hunt"),IF(C101="Thornpelt Bear",(IF(B101="Hunt",(('Rules &amp; Formulas'!B4*N100*('Rules &amp; Formulas'!B5+O100)*IFERROR(VLOOKUP(C101,Monsters!$T$4:$AH$15,10,FALSE),0)*IFERROR(VLOOKUP(C101,Monsters!$T$4:$AH$15,9,FALSE),0))*'Rules &amp; Formulas'!B6)*IF(D101="",0,D101),0))*0.12,0),0)+IF(AND((E101="OK"),B101="Go AFK"),IF(C101="Thornpelt Bear",(IF(B101="Go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AFK",IF(D101="",0,D101),0),Z100/60)*60)),0))*0.12,0),0))</f>
        <v/>
      </c>
      <c r="L101" s="7">
        <f>MAX(0,L100+IF(AND((E101="OK"),B101="Hunt"),IF(C101="Dire Thornpelt",(IF(B101="Hunt",(('Rules &amp; Formulas'!B4*N100*('Rules &amp; Formulas'!B5+O100)*IFERROR(VLOOKUP(C101,Monsters!$T$4:$AH$15,10,FALSE),0)*IFERROR(VLOOKUP(C101,Monsters!$T$4:$AH$15,9,FALSE),0))*'Rules &amp; Formulas'!B6)*IF(D101="",0,D101),0))*0.1,0),0)+IF(AND((E101="OK"),B101="Go AFK"),IF(C101="Dire Thornpelt",(IF(B101="Go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AFK",IF(D101="",0,D101),0),Z100/60)*60)),0))*0.1,0),0))</f>
        <v/>
      </c>
      <c r="M101" s="7">
        <f>IF(AND((E101="OK"),B101="Go AFK"),MAX(0,MIN(('Rules &amp; Formulas'!B15+25*AJ100),M100+('Rules &amp; Formulas'!B14+0.4*AJ100)*(MIN(IF(B101="Go AFK",IF(D101="",0,D101),0),Z100/60)*60))-(IF(B101="Go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AFK",IF(D101="",0,D101),0),Z100/60)*60)),0))*(IF((IFERROR(VLOOKUP(C101,Monsters!$T$4:$AH$15,8,FALSE),0))=0,0.35,IFERROR(VLOOKUP(C101,Monsters!$T$4:$AH$15,8,FALSE),0))/(1+0.08*AK100))),MIN(('Rules &amp; Formulas'!B15+25*AJ101),M100))</f>
        <v/>
      </c>
      <c r="N101" s="7">
        <f>(1+0.08+0.12*AA101+0.12*AB101+0.16*AC101)</f>
        <v/>
      </c>
      <c r="O101" s="7">
        <f>((AD101&gt;=1)*1*(1+0.3*AE101))</f>
        <v/>
      </c>
      <c r="P101" s="7">
        <f>IF(OR(B101="Hunt",B101="Go AFK"),(('Rules &amp; Formulas'!B4*N100*('Rules &amp; Formulas'!B5+O100)*IFERROR(VLOOKUP(C101,Monsters!$T$4:$AH$15,10,FALSE),0)*IFERROR(VLOOKUP(C101,Monsters!$T$4:$AH$15,9,FALSE),0))*'Rules &amp; Formulas'!B6),"")</f>
        <v/>
      </c>
      <c r="Q101" s="7">
        <f>IF(OR(B101="Hunt",B101="Go AFK"),('Rules &amp; Formulas'!B4*N100*('Rules &amp; Formulas'!B5+O100)*IFERROR(VLOOKUP(C101,Monsters!$T$4:$AH$15,10,FALSE),0)*IFERROR(VLOOKUP(C101,Monsters!$T$4:$AH$15,9,FALSE),0)),"")</f>
        <v/>
      </c>
      <c r="R101" s="7">
        <f>IF(AND((E101="OK"),B101="Hunt"),IF(B101="Hunt",(('Rules &amp; Formulas'!B4*N100*('Rules &amp; Formulas'!B5+O100)*IFERROR(VLOOKUP(C101,Monsters!$T$4:$AH$15,10,FALSE),0)*IFERROR(VLOOKUP(C101,Monsters!$T$4:$AH$15,9,FALSE),0))*'Rules &amp; Formulas'!B6)*IF(D101="",0,D101),0),IF(AND((E101="OK"),B101="Go AFK"),IF(B101="Go AFK",MIN(IF((IF((IFERROR(VLOOKUP(C101,Monsters!$T$4:$AH$15,8,FALSE),0))=0,0.35,IFERROR(VLOOKUP(C101,Monsters!$T$4:$AH$15,8,FALSE),0))/(1+0.08*AK100))&lt;=0,999999,FLOOR(MIN(('Rules &amp; Formulas'!B15+25*AJ100),M100+('Rules &amp; Formulas'!B14+0.4*AJ100)*(MIN(IF(B101="Go AFK",IF(D101="",0,D101),0),Z100/60)*60))/(IF((IFERROR(VLOOKUP(C101,Monsters!$T$4:$AH$15,8,FALSE),0))=0,0.35,IFERROR(VLOOKUP(C101,Monsters!$T$4:$AH$15,8,FALSE),0))/(1+0.08*AK100)),1)),('Rules &amp; Formulas'!B4*N100*('Rules &amp; Formulas'!B5+O100)*IFERROR(VLOOKUP(C101,Monsters!$T$4:$AH$15,10,FALSE),0)*IFERROR(VLOOKUP(C101,Monsters!$T$4:$AH$15,9,FALSE),0))*(MIN(IF(B101="Go AFK",IF(D101="",0,D101),0),Z100/60)*60)),0),0))</f>
        <v/>
      </c>
      <c r="S101" s="7">
        <f>(105/'Rules &amp; Formulas'!B10)*'Rules &amp; Formulas'!B11</f>
        <v/>
      </c>
      <c r="T101" s="7">
        <f>IF(AD100&gt;=1,(MAX(1,ROUND('Rules &amp; Formulas'!B18*(1+0.3*AE100)*(1+0.4*AF100),0)))*(1000/'Rules &amp; Formulas'!B19)*MIN(0.95,'Rules &amp; Formulas'!B20*SQRT(1+0.55*(AG100&gt;=1))),0)</f>
        <v/>
      </c>
      <c r="U101" s="7">
        <f>S101+T101</f>
        <v/>
      </c>
      <c r="V101" s="7">
        <f>IF(I100&gt;=IF((IFERROR(VLOOKUP(C101,Monsters!$T$4:$AH$15,15,FALSE),0))=0,120,IFERROR(VLOOKUP(C101,Monsters!$T$4:$AH$15,15,FALSE),0)),"YES","no")</f>
        <v/>
      </c>
      <c r="W101" s="7">
        <f>IF(AND(B101="Fight boss",E101="OK"),IF((((105/'Rules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Formulas'!B20*SQRT(1+0.55*(AG100&gt;=1))),0)))),"")</f>
        <v/>
      </c>
      <c r="X101" s="7">
        <f>IF(AND(B101="Fight boss",E101="OK"),IF((IF((((105/'Rules &amp; Formulas'!B10)*'Rules &amp; Formulas'!B11+IF(AD100&gt;=1,(MAX(1,ROUND('Rules &amp; Formulas'!B18*(1+0.3*AE100)*(1+0.4*AF100),0)))*(1000/'Rules &amp; Formulas'!B19)*MIN(0.95,'Rules &amp; Formulas'!B20*SQRT(1+0.55*(AG100&gt;=1))),0)))&lt;=0,9999,(IFERROR(VLOOKUP(C101,Monsters!$T$4:$AH$15,2,FALSE),0))/(((105/'Rules &amp; Formulas'!B10)*'Rules &amp; Formulas'!B11+IF(AD100&gt;=1,(MAX(1,ROUND('Rules &amp; Formulas'!B18*(1+0.3*AE100)*(1+0.4*AF100),0)))*(1000/'Rules &amp; Formulas'!B19)*MIN(0.95,'Rules &amp; Formulas'!B20*SQRT(1+0.55*(AG100&gt;=1))),0))))&lt;='Rules &amp; Formulas'!B12),"WIN","LOSE"),"")</f>
        <v/>
      </c>
      <c r="Y101" s="7">
        <f>IF(B101="Go AFK",MIN(IF(B101="Go AFK",IF(D101="",0,D101),0),Z100/60),"")</f>
        <v/>
      </c>
      <c r="Z101" s="7">
        <f>('Rules &amp; Formulas'!B13+30*AI101)</f>
        <v/>
      </c>
      <c r="AA101">
        <f>COUNTIFS($B$3:$B101,"Buy upgrade",$C$3:$C101,"Idle Power")</f>
        <v/>
      </c>
      <c r="AB101">
        <f>COUNTIFS($B$3:$B101,"Buy upgrade",$C$3:$C101,"Iron Blade")</f>
        <v/>
      </c>
      <c r="AC101">
        <f>COUNTIFS($B$3:$B101,"Buy upgrade",$C$3:$C101,"Steel Blade")</f>
        <v/>
      </c>
      <c r="AD101">
        <f>COUNTIFS($B$3:$B101,"Hire hunter",$C$3:$C101,"Briar")+COUNTIFS($B$3:$B101,"Buy upgrade",$C$3:$C101,"Hire Briar")</f>
        <v/>
      </c>
      <c r="AE101">
        <f>COUNTIFS($B$3:$B101,"Buy upgrade",$C$3:$C101,"Hunter Power")</f>
        <v/>
      </c>
      <c r="AF101">
        <f>COUNTIFS($B$3:$B101,"Buy upgrade",$C$3:$C101,"Bigger Hits")</f>
        <v/>
      </c>
      <c r="AG101">
        <f>COUNTIFS($B$3:$B101,"Buy upgrade",$C$3:$C101,"Swift Walk")</f>
        <v/>
      </c>
      <c r="AH101">
        <f>COUNTIFS($B$3:$B101,"Buy upgrade",$C$3:$C101,"Loot Luck")</f>
        <v/>
      </c>
      <c r="AI101">
        <f>COUNTIFS($B$3:$B101,"Buy upgrade",$C$3:$C101,"Offline Cap")</f>
        <v/>
      </c>
      <c r="AJ101">
        <f>COUNTIFS($B$3:$B101,"Buy upgrade",$C$3:$C101,"Bigger Food Stock")</f>
        <v/>
      </c>
      <c r="AK101">
        <f>COUNTIFS($B$3:$B101,"Buy upgrade",$C$3:$C101,"Food Efficiency")</f>
        <v/>
      </c>
    </row>
    <row r="102">
      <c r="A102" t="n">
        <v>100</v>
      </c>
      <c r="B102" s="6" t="n"/>
      <c r="C102" s="6" t="n"/>
      <c r="D102" s="6" t="n"/>
      <c r="E102" s="7">
        <f>IF(B102="","",IF(OR(B102="Hunt",B102="Go AFK"),IF(C102="","Can't","OK"),IF(B102="Fight boss",IF(I101&lt;IF((IFERROR(VLOOKUP(C102,Monsters!$T$4:$AH$15,15,FALSE),0))=0,120,IFERROR(VLOOKUP(C102,Monsters!$T$4:$AH$15,15,FALSE),0)),"Can't","OK"),IF(B102="Hire hunter",IF(AND(C102="Briar",AD101&gt;=1),"Can't",IF(H101&lt;IF(C102="Briar",140,IF(C102="Quill",3650,IF(C102="Moss",4850,IF(C102="Ember",12200,0)))),"Can't","OK")),IF(OR(B102="Buy upgrade",B102="Forge/Scrapwork buy"),IF(IFERROR(VLOOKUP(C102,Upgrades!$N$4:$T$47,2,FALSE),0)="points","Can't",IF(IFERROR(VLOOKUP(C102,Upgrades!$N$4:$T$47,2,FALSE),0)="gold",IF(H101&lt;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buy",$C$3:$C101,C102))),1),0),"Can't","OK"),IF(IFERROR(VLOOKUP(C102,Upgrades!$N$4:$T$47,2,FALSE),0)="scraps",IF(J101&lt;IFERROR(FLOOR(IFERROR(VLOOKUP(C102,Upgrades!$N$4:$T$47,3,FALSE),0)*(IFERROR(VLOOKUP(C102,Upgrades!$N$4:$T$47,4,FALSE),0)^(COUNTIFS($B$3:$B101,"Buy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buy",$C$3:$C101,C102))),1),0),"Can't","OK"),IF(IFERROR(VLOOKUP(C102,Upgrades!$N$4:$T$47,2,FALSE),0)="mats","Can't","OK")))),"Check")))))</f>
        <v/>
      </c>
      <c r="F102" s="7">
        <f>IF(B102="","",IF(AND(B102="Fight boss",I101&lt;IF((IFERROR(VLOOKUP(C102,Monsters!$T$4:$AH$15,15,FALSE),0))=0,120,IFERROR(VLOOKUP(C102,Monsters!$T$4:$AH$15,15,FALSE),0))),"Can't — need "&amp;TEXT(IF((IFERROR(VLOOKUP(C102,Monsters!$T$4:$AH$15,15,FALSE),0))=0,120,IFERROR(VLOOKUP(C102,Monsters!$T$4:$AH$15,15,FALSE),0))-I101,"0.0")&amp;" more Slayer points on the meter",IF(AND(B102="Hire hunter",C102="Briar",AD101&gt;=1),"Can't — already hired",IF(AND(B102="Hire hunter",H101&lt;IF(C102="Briar",140,IF(C102="Quill",3650,IF(C102="Moss",4850,IF(C102="Ember",12200,0))))),"Can't — need "&amp;TEXT(IF(C102="Briar",140,IF(C102="Quill",3650,IF(C102="Moss",4850,IF(C102="Ember",12200,0))))-H101,"0")&amp;" more gold",IF(AND(OR(B102="Buy upgrade",B102="Forge/Scrapwork buy"),IFERROR(VLOOKUP(C102,Upgrades!$N$4:$T$47,2,FALSE),0)="points"),"Can't — Sp-wallet spends not tracked here",IF(AND(OR(B102="Buy upgrade",B102="Forge/Scrapwork buy"),IFERROR(VLOOKUP(C102,Upgrades!$N$4:$T$47,2,FALSE),0)="gold",H101&lt;IFERROR(FLOOR(IFERROR(VLOOKUP(C102,Upgrades!$N$4:$T$47,3,FALSE),0)*(IFERROR(VLOOKUP(C102,Upgrades!$N$4:$T$47,4,FALSE),0)^(COUNTIFS($B$3:$B101,"Buy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buy",$C$3:$C101,C102))),1),0)),"Can't — need "&amp;TEXT(IFERROR(FLOOR(IFERROR(VLOOKUP(C102,Upgrades!$N$4:$T$47,3,FALSE),0)*(IFERROR(VLOOKUP(C102,Upgrades!$N$4:$T$47,4,FALSE),0)^(COUNTIFS($B$3:$B101,"Buy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buy",$C$3:$C101,C102))),1),0)-H101,"0")&amp;" more gold",IF(AND(OR(B102="Buy upgrade",B102="Forge/Scrapwork buy"),IFERROR(VLOOKUP(C102,Upgrades!$N$4:$T$47,2,FALSE),0)="scraps",J101&lt;IFERROR(FLOOR(IFERROR(VLOOKUP(C102,Upgrades!$N$4:$T$47,3,FALSE),0)*(IFERROR(VLOOKUP(C102,Upgrades!$N$4:$T$47,4,FALSE),0)^(COUNTIFS($B$3:$B101,"Buy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buy",$C$3:$C101,C102))),1),0)),"Can't — need "&amp;TEXT(IFERROR(FLOOR(IFERROR(VLOOKUP(C102,Upgrades!$N$4:$T$47,3,FALSE),0)*(IFERROR(VLOOKUP(C102,Upgrades!$N$4:$T$47,4,FALSE),0)^(COUNTIFS($B$3:$B101,"Buy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buy",$C$3:$C101,C102))),1),0)-J101,"0")&amp;" more scraps",IF(AND(B102="Fight boss",E102="OK",(IF((((105/'Rules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Formulas'!B12)),"WIN — boss down, next Level unlocks",IF(AND(B102="Fight boss",E102="OK"),"LOSE — TTK "&amp;TEXT(IF((((105/'Rules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Formulas'!B20*SQRT(1+0.55*(AG101&gt;=1))),0)))),"0")&amp;"s &gt; patience "&amp;TEXT('Rules &amp; Formulas'!B12,"0")&amp;"s (leave resets HP)",IF(B102="Go AFK","AFK resolved (see AFK counted h)","Applied")))))))))</f>
        <v/>
      </c>
      <c r="G102" s="7">
        <f>IF(AND((E102="OK"),B102="Fight boss",(IF((((105/'Rules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Formulas'!B12),C102="Elder Thornpelt"),2,IF(AND((E102="OK"),B102="Fight boss",(IF((((105/'Rules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Formulas'!B12),C102="Ashfang Alpha"),3,G101))</f>
        <v/>
      </c>
      <c r="H102" s="7">
        <f>MAX(0,H101+IF(AND((E102="OK"),B102="Hunt"),(IF(B102="Hunt",(('Rules &amp; Formulas'!B4*N101*('Rules &amp; Formulas'!B5+O101)*IFERROR(VLOOKUP(C102,Monsters!$T$4:$AH$15,10,FALSE),0)*IFERROR(VLOOKUP(C102,Monsters!$T$4:$AH$15,9,FALSE),0))*'Rules &amp; Formulas'!B6)*IF(D102="",0,D102),0))*(IFERROR(VLOOKUP(C102,Monsters!$T$4:$AH$15,3,FALSE),0))*(1+0.1*AH101)+(IF(OR(B102&lt;&gt;"Hunt",IFERROR(VLOOKUP(C102,Monsters!$T$4:$AH$15,6,FALSE),0)=0),0,FLOOR((IF(B102="Hunt",(('Rules &amp; Formulas'!B4*N101*('Rules &amp; Formulas'!B5+O101)*IFERROR(VLOOKUP(C102,Monsters!$T$4:$AH$15,10,FALSE),0)*IFERROR(VLOOKUP(C102,Monsters!$T$4:$AH$15,9,FALSE),0))*'Rules &amp; Formulas'!B6)*IF(D102="",0,D102),0))/MAX(1,IFERROR(VLOOKUP(C102,Monsters!$T$4:$AH$15,6,FALSE),0)),1)))*(IFERROR(VLOOKUP(C102,Monsters!$T$4:$AH$15,7,FALSE),0))*0.5*(1+0.1*AH101),0)+IF(AND((E102="OK"),B102="Go AFK"),(IF(B102="Go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AFK",IF(D102="",0,D102),0),Z101/60)*60)),0))*(IFERROR(VLOOKUP(C102,Monsters!$T$4:$AH$15,3,FALSE),0))*(1+0.1*AH101)+(IF(OR(B102&lt;&gt;"Go AFK",IFERROR(VLOOKUP(C102,Monsters!$T$4:$AH$15,6,FALSE),0)=0),0,FLOOR((IF(B102="Go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AFK",IF(D102="",0,D102),0),Z101/60)*60)),0))/MAX(1,IFERROR(VLOOKUP(C102,Monsters!$T$4:$AH$15,6,FALSE),0)),1)))*(IFERROR(VLOOKUP(C102,Monsters!$T$4:$AH$15,7,FALSE),0))*0.5*(1+0.1*AH101),0)+IF(AND((E102="OK"),B102="Fight boss",(IF((((105/'Rules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Formulas'!B12)),IFERROR(VLOOKUP(C102,Monsters!$T$4:$AH$15,3,FALSE),0),0)-IF(AND((E102="OK"),OR(B102="Buy upgrade",B102="Forge/Scrapwork buy"),IFERROR(VLOOKUP(C102,Upgrades!$N$4:$T$47,2,FALSE),0)="gold"),IFERROR(FLOOR(IFERROR(VLOOKUP(C102,Upgrades!$N$4:$T$47,3,FALSE),0)*(IFERROR(VLOOKUP(C102,Upgrades!$N$4:$T$47,4,FALSE),0)^(COUNTIFS($B$3:$B101,"Buy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buy",$C$3:$C101,C102))),1),0),0)-IF(AND((E102="OK"),B102="Hire hunter"),IF(C102="Briar",140,IF(C102="Quill",3650,IF(C102="Moss",4850,IF(C102="Ember",12200,0)))),0))</f>
        <v/>
      </c>
      <c r="I102" s="7">
        <f>IF(AND((E102="OK"),B102="Fight boss",(IF((((105/'Rules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Formulas'!B12)),0,MIN(IF(G101&lt;=1,120,IF(G101=2,280,600)),I101+IF(AND((E102="OK"),B102="Hunt"),((IF(B102="Hunt",(('Rules &amp; Formulas'!B4*N101*('Rules &amp; Formulas'!B5+O101)*IFERROR(VLOOKUP(C102,Monsters!$T$4:$AH$15,10,FALSE),0)*IFERROR(VLOOKUP(C102,Monsters!$T$4:$AH$15,9,FALSE),0))*'Rules &amp; Formulas'!B6)*IF(D102="",0,D102),0))*(IFERROR(VLOOKUP(C102,Monsters!$T$4:$AH$15,4,FALSE),0))+(IF(OR(B102&lt;&gt;"Hunt",IFERROR(VLOOKUP(C102,Monsters!$T$4:$AH$15,6,FALSE),0)=0),0,FLOOR((IF(B102="Hunt",(('Rules &amp; Formulas'!B4*N101*('Rules &amp; Formulas'!B5+O101)*IFERROR(VLOOKUP(C102,Monsters!$T$4:$AH$15,10,FALSE),0)*IFERROR(VLOOKUP(C102,Monsters!$T$4:$AH$15,9,FALSE),0))*'Rules &amp; Formulas'!B6)*IF(D102="",0,D102),0))/MAX(1,IFERROR(VLOOKUP(C102,Monsters!$T$4:$AH$15,6,FALSE),0)),1)))*(IFERROR(VLOOKUP(C102,Monsters!$T$4:$AH$15,7,FALSE),0))),0)+IF(AND((E102="OK"),B102="Go AFK"),((IF(B102="Go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AFK",IF(D102="",0,D102),0),Z101/60)*60)),0))*(IFERROR(VLOOKUP(C102,Monsters!$T$4:$AH$15,4,FALSE),0))+(IF(OR(B102&lt;&gt;"Go AFK",IFERROR(VLOOKUP(C102,Monsters!$T$4:$AH$15,6,FALSE),0)=0),0,FLOOR((IF(B102="Go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AFK",IF(D102="",0,D102),0),Z101/60)*60)),0))/MAX(1,IFERROR(VLOOKUP(C102,Monsters!$T$4:$AH$15,6,FALSE),0)),1)))*(IFERROR(VLOOKUP(C102,Monsters!$T$4:$AH$15,7,FALSE),0))),0)))</f>
        <v/>
      </c>
      <c r="J102" s="7">
        <f>MAX(0,J101+IF(AND((E102="OK"),B102="Hunt"),(IF(B102="Hunt",(('Rules &amp; Formulas'!B4*N101*('Rules &amp; Formulas'!B5+O101)*IFERROR(VLOOKUP(C102,Monsters!$T$4:$AH$15,10,FALSE),0)*IFERROR(VLOOKUP(C102,Monsters!$T$4:$AH$15,9,FALSE),0))*'Rules &amp; Formulas'!B6)*IF(D102="",0,D102),0))*(IFERROR(VLOOKUP(C102,Monsters!$T$4:$AH$15,5,FALSE),0)),0)+IF(AND((E102="OK"),B102="Go AFK"),(IF(B102="Go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AFK",IF(D102="",0,D102),0),Z101/60)*60)),0))*(IFERROR(VLOOKUP(C102,Monsters!$T$4:$AH$15,5,FALSE),0)),0)-IF(AND((E102="OK"),OR(B102="Buy upgrade",B102="Forge/Scrapwork buy"),IFERROR(VLOOKUP(C102,Upgrades!$N$4:$T$47,2,FALSE),0)="scraps"),IFERROR(FLOOR(IFERROR(VLOOKUP(C102,Upgrades!$N$4:$T$47,3,FALSE),0)*(IFERROR(VLOOKUP(C102,Upgrades!$N$4:$T$47,4,FALSE),0)^(COUNTIFS($B$3:$B101,"Buy upgrade",$C$3:$C101,C102)+COUNTIFS($B$3:$B101,"Hire hunter",$C$3:$C101,C102)+COUNTIFS($B$3:$B101,"Forge/Scrapwork buy",$C$3:$C101,C102))),1),0),0))</f>
        <v/>
      </c>
      <c r="K102" s="7">
        <f>MAX(0,K101+IF(AND((E102="OK"),B102="Hunt"),IF(C102="Thornpelt Bear",(IF(B102="Hunt",(('Rules &amp; Formulas'!B4*N101*('Rules &amp; Formulas'!B5+O101)*IFERROR(VLOOKUP(C102,Monsters!$T$4:$AH$15,10,FALSE),0)*IFERROR(VLOOKUP(C102,Monsters!$T$4:$AH$15,9,FALSE),0))*'Rules &amp; Formulas'!B6)*IF(D102="",0,D102),0))*0.12,0),0)+IF(AND((E102="OK"),B102="Go AFK"),IF(C102="Thornpelt Bear",(IF(B102="Go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AFK",IF(D102="",0,D102),0),Z101/60)*60)),0))*0.12,0),0))</f>
        <v/>
      </c>
      <c r="L102" s="7">
        <f>MAX(0,L101+IF(AND((E102="OK"),B102="Hunt"),IF(C102="Dire Thornpelt",(IF(B102="Hunt",(('Rules &amp; Formulas'!B4*N101*('Rules &amp; Formulas'!B5+O101)*IFERROR(VLOOKUP(C102,Monsters!$T$4:$AH$15,10,FALSE),0)*IFERROR(VLOOKUP(C102,Monsters!$T$4:$AH$15,9,FALSE),0))*'Rules &amp; Formulas'!B6)*IF(D102="",0,D102),0))*0.1,0),0)+IF(AND((E102="OK"),B102="Go AFK"),IF(C102="Dire Thornpelt",(IF(B102="Go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AFK",IF(D102="",0,D102),0),Z101/60)*60)),0))*0.1,0),0))</f>
        <v/>
      </c>
      <c r="M102" s="7">
        <f>IF(AND((E102="OK"),B102="Go AFK"),MAX(0,MIN(('Rules &amp; Formulas'!B15+25*AJ101),M101+('Rules &amp; Formulas'!B14+0.4*AJ101)*(MIN(IF(B102="Go AFK",IF(D102="",0,D102),0),Z101/60)*60))-(IF(B102="Go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AFK",IF(D102="",0,D102),0),Z101/60)*60)),0))*(IF((IFERROR(VLOOKUP(C102,Monsters!$T$4:$AH$15,8,FALSE),0))=0,0.35,IFERROR(VLOOKUP(C102,Monsters!$T$4:$AH$15,8,FALSE),0))/(1+0.08*AK101))),MIN(('Rules &amp; Formulas'!B15+25*AJ102),M101))</f>
        <v/>
      </c>
      <c r="N102" s="7">
        <f>(1+0.08+0.12*AA102+0.12*AB102+0.16*AC102)</f>
        <v/>
      </c>
      <c r="O102" s="7">
        <f>((AD102&gt;=1)*1*(1+0.3*AE102))</f>
        <v/>
      </c>
      <c r="P102" s="7">
        <f>IF(OR(B102="Hunt",B102="Go AFK"),(('Rules &amp; Formulas'!B4*N101*('Rules &amp; Formulas'!B5+O101)*IFERROR(VLOOKUP(C102,Monsters!$T$4:$AH$15,10,FALSE),0)*IFERROR(VLOOKUP(C102,Monsters!$T$4:$AH$15,9,FALSE),0))*'Rules &amp; Formulas'!B6),"")</f>
        <v/>
      </c>
      <c r="Q102" s="7">
        <f>IF(OR(B102="Hunt",B102="Go AFK"),('Rules &amp; Formulas'!B4*N101*('Rules &amp; Formulas'!B5+O101)*IFERROR(VLOOKUP(C102,Monsters!$T$4:$AH$15,10,FALSE),0)*IFERROR(VLOOKUP(C102,Monsters!$T$4:$AH$15,9,FALSE),0)),"")</f>
        <v/>
      </c>
      <c r="R102" s="7">
        <f>IF(AND((E102="OK"),B102="Hunt"),IF(B102="Hunt",(('Rules &amp; Formulas'!B4*N101*('Rules &amp; Formulas'!B5+O101)*IFERROR(VLOOKUP(C102,Monsters!$T$4:$AH$15,10,FALSE),0)*IFERROR(VLOOKUP(C102,Monsters!$T$4:$AH$15,9,FALSE),0))*'Rules &amp; Formulas'!B6)*IF(D102="",0,D102),0),IF(AND((E102="OK"),B102="Go AFK"),IF(B102="Go AFK",MIN(IF((IF((IFERROR(VLOOKUP(C102,Monsters!$T$4:$AH$15,8,FALSE),0))=0,0.35,IFERROR(VLOOKUP(C102,Monsters!$T$4:$AH$15,8,FALSE),0))/(1+0.08*AK101))&lt;=0,999999,FLOOR(MIN(('Rules &amp; Formulas'!B15+25*AJ101),M101+('Rules &amp; Formulas'!B14+0.4*AJ101)*(MIN(IF(B102="Go AFK",IF(D102="",0,D102),0),Z101/60)*60))/(IF((IFERROR(VLOOKUP(C102,Monsters!$T$4:$AH$15,8,FALSE),0))=0,0.35,IFERROR(VLOOKUP(C102,Monsters!$T$4:$AH$15,8,FALSE),0))/(1+0.08*AK101)),1)),('Rules &amp; Formulas'!B4*N101*('Rules &amp; Formulas'!B5+O101)*IFERROR(VLOOKUP(C102,Monsters!$T$4:$AH$15,10,FALSE),0)*IFERROR(VLOOKUP(C102,Monsters!$T$4:$AH$15,9,FALSE),0))*(MIN(IF(B102="Go AFK",IF(D102="",0,D102),0),Z101/60)*60)),0),0))</f>
        <v/>
      </c>
      <c r="S102" s="7">
        <f>(105/'Rules &amp; Formulas'!B10)*'Rules &amp; Formulas'!B11</f>
        <v/>
      </c>
      <c r="T102" s="7">
        <f>IF(AD101&gt;=1,(MAX(1,ROUND('Rules &amp; Formulas'!B18*(1+0.3*AE101)*(1+0.4*AF101),0)))*(1000/'Rules &amp; Formulas'!B19)*MIN(0.95,'Rules &amp; Formulas'!B20*SQRT(1+0.55*(AG101&gt;=1))),0)</f>
        <v/>
      </c>
      <c r="U102" s="7">
        <f>S102+T102</f>
        <v/>
      </c>
      <c r="V102" s="7">
        <f>IF(I101&gt;=IF((IFERROR(VLOOKUP(C102,Monsters!$T$4:$AH$15,15,FALSE),0))=0,120,IFERROR(VLOOKUP(C102,Monsters!$T$4:$AH$15,15,FALSE),0)),"YES","no")</f>
        <v/>
      </c>
      <c r="W102" s="7">
        <f>IF(AND(B102="Fight boss",E102="OK"),IF((((105/'Rules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Formulas'!B20*SQRT(1+0.55*(AG101&gt;=1))),0)))),"")</f>
        <v/>
      </c>
      <c r="X102" s="7">
        <f>IF(AND(B102="Fight boss",E102="OK"),IF((IF((((105/'Rules &amp; Formulas'!B10)*'Rules &amp; Formulas'!B11+IF(AD101&gt;=1,(MAX(1,ROUND('Rules &amp; Formulas'!B18*(1+0.3*AE101)*(1+0.4*AF101),0)))*(1000/'Rules &amp; Formulas'!B19)*MIN(0.95,'Rules &amp; Formulas'!B20*SQRT(1+0.55*(AG101&gt;=1))),0)))&lt;=0,9999,(IFERROR(VLOOKUP(C102,Monsters!$T$4:$AH$15,2,FALSE),0))/(((105/'Rules &amp; Formulas'!B10)*'Rules &amp; Formulas'!B11+IF(AD101&gt;=1,(MAX(1,ROUND('Rules &amp; Formulas'!B18*(1+0.3*AE101)*(1+0.4*AF101),0)))*(1000/'Rules &amp; Formulas'!B19)*MIN(0.95,'Rules &amp; Formulas'!B20*SQRT(1+0.55*(AG101&gt;=1))),0))))&lt;='Rules &amp; Formulas'!B12),"WIN","LOSE"),"")</f>
        <v/>
      </c>
      <c r="Y102" s="7">
        <f>IF(B102="Go AFK",MIN(IF(B102="Go AFK",IF(D102="",0,D102),0),Z101/60),"")</f>
        <v/>
      </c>
      <c r="Z102" s="7">
        <f>('Rules &amp; Formulas'!B13+30*AI102)</f>
        <v/>
      </c>
      <c r="AA102">
        <f>COUNTIFS($B$3:$B102,"Buy upgrade",$C$3:$C102,"Idle Power")</f>
        <v/>
      </c>
      <c r="AB102">
        <f>COUNTIFS($B$3:$B102,"Buy upgrade",$C$3:$C102,"Iron Blade")</f>
        <v/>
      </c>
      <c r="AC102">
        <f>COUNTIFS($B$3:$B102,"Buy upgrade",$C$3:$C102,"Steel Blade")</f>
        <v/>
      </c>
      <c r="AD102">
        <f>COUNTIFS($B$3:$B102,"Hire hunter",$C$3:$C102,"Briar")+COUNTIFS($B$3:$B102,"Buy upgrade",$C$3:$C102,"Hire Briar")</f>
        <v/>
      </c>
      <c r="AE102">
        <f>COUNTIFS($B$3:$B102,"Buy upgrade",$C$3:$C102,"Hunter Power")</f>
        <v/>
      </c>
      <c r="AF102">
        <f>COUNTIFS($B$3:$B102,"Buy upgrade",$C$3:$C102,"Bigger Hits")</f>
        <v/>
      </c>
      <c r="AG102">
        <f>COUNTIFS($B$3:$B102,"Buy upgrade",$C$3:$C102,"Swift Walk")</f>
        <v/>
      </c>
      <c r="AH102">
        <f>COUNTIFS($B$3:$B102,"Buy upgrade",$C$3:$C102,"Loot Luck")</f>
        <v/>
      </c>
      <c r="AI102">
        <f>COUNTIFS($B$3:$B102,"Buy upgrade",$C$3:$C102,"Offline Cap")</f>
        <v/>
      </c>
      <c r="AJ102">
        <f>COUNTIFS($B$3:$B102,"Buy upgrade",$C$3:$C102,"Bigger Food Stock")</f>
        <v/>
      </c>
      <c r="AK102">
        <f>COUNTIFS($B$3:$B102,"Buy upgrade",$C$3:$C102,"Food Efficiency")</f>
        <v/>
      </c>
    </row>
    <row r="103">
      <c r="A103" t="n">
        <v>101</v>
      </c>
      <c r="B103" s="6" t="n"/>
      <c r="C103" s="6" t="n"/>
      <c r="D103" s="6" t="n"/>
      <c r="E103" s="7">
        <f>IF(B103="","",IF(OR(B103="Hunt",B103="Go AFK"),IF(C103="","Can't","OK"),IF(B103="Fight boss",IF(I102&lt;IF((IFERROR(VLOOKUP(C103,Monsters!$T$4:$AH$15,15,FALSE),0))=0,120,IFERROR(VLOOKUP(C103,Monsters!$T$4:$AH$15,15,FALSE),0)),"Can't","OK"),IF(B103="Hire hunter",IF(AND(C103="Briar",AD102&gt;=1),"Can't",IF(H102&lt;IF(C103="Briar",140,IF(C103="Quill",3650,IF(C103="Moss",4850,IF(C103="Ember",12200,0)))),"Can't","OK")),IF(OR(B103="Buy upgrade",B103="Forge/Scrapwork buy"),IF(IFERROR(VLOOKUP(C103,Upgrades!$N$4:$T$47,2,FALSE),0)="points","Can't",IF(IFERROR(VLOOKUP(C103,Upgrades!$N$4:$T$47,2,FALSE),0)="gold",IF(H102&lt;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buy",$C$3:$C102,C103))),1),0),"Can't","OK"),IF(IFERROR(VLOOKUP(C103,Upgrades!$N$4:$T$47,2,FALSE),0)="scraps",IF(J102&lt;IFERROR(FLOOR(IFERROR(VLOOKUP(C103,Upgrades!$N$4:$T$47,3,FALSE),0)*(IFERROR(VLOOKUP(C103,Upgrades!$N$4:$T$47,4,FALSE),0)^(COUNTIFS($B$3:$B102,"Buy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buy",$C$3:$C102,C103))),1),0),"Can't","OK"),IF(IFERROR(VLOOKUP(C103,Upgrades!$N$4:$T$47,2,FALSE),0)="mats","Can't","OK")))),"Check")))))</f>
        <v/>
      </c>
      <c r="F103" s="7">
        <f>IF(B103="","",IF(AND(B103="Fight boss",I102&lt;IF((IFERROR(VLOOKUP(C103,Monsters!$T$4:$AH$15,15,FALSE),0))=0,120,IFERROR(VLOOKUP(C103,Monsters!$T$4:$AH$15,15,FALSE),0))),"Can't — need "&amp;TEXT(IF((IFERROR(VLOOKUP(C103,Monsters!$T$4:$AH$15,15,FALSE),0))=0,120,IFERROR(VLOOKUP(C103,Monsters!$T$4:$AH$15,15,FALSE),0))-I102,"0.0")&amp;" more Slayer points on the meter",IF(AND(B103="Hire hunter",C103="Briar",AD102&gt;=1),"Can't — already hired",IF(AND(B103="Hire hunter",H102&lt;IF(C103="Briar",140,IF(C103="Quill",3650,IF(C103="Moss",4850,IF(C103="Ember",12200,0))))),"Can't — need "&amp;TEXT(IF(C103="Briar",140,IF(C103="Quill",3650,IF(C103="Moss",4850,IF(C103="Ember",12200,0))))-H102,"0")&amp;" more gold",IF(AND(OR(B103="Buy upgrade",B103="Forge/Scrapwork buy"),IFERROR(VLOOKUP(C103,Upgrades!$N$4:$T$47,2,FALSE),0)="points"),"Can't — Sp-wallet spends not tracked here",IF(AND(OR(B103="Buy upgrade",B103="Forge/Scrapwork buy"),IFERROR(VLOOKUP(C103,Upgrades!$N$4:$T$47,2,FALSE),0)="gold",H102&lt;IFERROR(FLOOR(IFERROR(VLOOKUP(C103,Upgrades!$N$4:$T$47,3,FALSE),0)*(IFERROR(VLOOKUP(C103,Upgrades!$N$4:$T$47,4,FALSE),0)^(COUNTIFS($B$3:$B102,"Buy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buy",$C$3:$C102,C103))),1),0)),"Can't — need "&amp;TEXT(IFERROR(FLOOR(IFERROR(VLOOKUP(C103,Upgrades!$N$4:$T$47,3,FALSE),0)*(IFERROR(VLOOKUP(C103,Upgrades!$N$4:$T$47,4,FALSE),0)^(COUNTIFS($B$3:$B102,"Buy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buy",$C$3:$C102,C103))),1),0)-H102,"0")&amp;" more gold",IF(AND(OR(B103="Buy upgrade",B103="Forge/Scrapwork buy"),IFERROR(VLOOKUP(C103,Upgrades!$N$4:$T$47,2,FALSE),0)="scraps",J102&lt;IFERROR(FLOOR(IFERROR(VLOOKUP(C103,Upgrades!$N$4:$T$47,3,FALSE),0)*(IFERROR(VLOOKUP(C103,Upgrades!$N$4:$T$47,4,FALSE),0)^(COUNTIFS($B$3:$B102,"Buy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buy",$C$3:$C102,C103))),1),0)),"Can't — need "&amp;TEXT(IFERROR(FLOOR(IFERROR(VLOOKUP(C103,Upgrades!$N$4:$T$47,3,FALSE),0)*(IFERROR(VLOOKUP(C103,Upgrades!$N$4:$T$47,4,FALSE),0)^(COUNTIFS($B$3:$B102,"Buy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buy",$C$3:$C102,C103))),1),0)-J102,"0")&amp;" more scraps",IF(AND(B103="Fight boss",E103="OK",(IF((((105/'Rules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Formulas'!B12)),"WIN — boss down, next Level unlocks",IF(AND(B103="Fight boss",E103="OK"),"LOSE — TTK "&amp;TEXT(IF((((105/'Rules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Formulas'!B20*SQRT(1+0.55*(AG102&gt;=1))),0)))),"0")&amp;"s &gt; patience "&amp;TEXT('Rules &amp; Formulas'!B12,"0")&amp;"s (leave resets HP)",IF(B103="Go AFK","AFK resolved (see AFK counted h)","Applied")))))))))</f>
        <v/>
      </c>
      <c r="G103" s="7">
        <f>IF(AND((E103="OK"),B103="Fight boss",(IF((((105/'Rules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Formulas'!B12),C103="Elder Thornpelt"),2,IF(AND((E103="OK"),B103="Fight boss",(IF((((105/'Rules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Formulas'!B12),C103="Ashfang Alpha"),3,G102))</f>
        <v/>
      </c>
      <c r="H103" s="7">
        <f>MAX(0,H102+IF(AND((E103="OK"),B103="Hunt"),(IF(B103="Hunt",(('Rules &amp; Formulas'!B4*N102*('Rules &amp; Formulas'!B5+O102)*IFERROR(VLOOKUP(C103,Monsters!$T$4:$AH$15,10,FALSE),0)*IFERROR(VLOOKUP(C103,Monsters!$T$4:$AH$15,9,FALSE),0))*'Rules &amp; Formulas'!B6)*IF(D103="",0,D103),0))*(IFERROR(VLOOKUP(C103,Monsters!$T$4:$AH$15,3,FALSE),0))*(1+0.1*AH102)+(IF(OR(B103&lt;&gt;"Hunt",IFERROR(VLOOKUP(C103,Monsters!$T$4:$AH$15,6,FALSE),0)=0),0,FLOOR((IF(B103="Hunt",(('Rules &amp; Formulas'!B4*N102*('Rules &amp; Formulas'!B5+O102)*IFERROR(VLOOKUP(C103,Monsters!$T$4:$AH$15,10,FALSE),0)*IFERROR(VLOOKUP(C103,Monsters!$T$4:$AH$15,9,FALSE),0))*'Rules &amp; Formulas'!B6)*IF(D103="",0,D103),0))/MAX(1,IFERROR(VLOOKUP(C103,Monsters!$T$4:$AH$15,6,FALSE),0)),1)))*(IFERROR(VLOOKUP(C103,Monsters!$T$4:$AH$15,7,FALSE),0))*0.5*(1+0.1*AH102),0)+IF(AND((E103="OK"),B103="Go AFK"),(IF(B103="Go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AFK",IF(D103="",0,D103),0),Z102/60)*60)),0))*(IFERROR(VLOOKUP(C103,Monsters!$T$4:$AH$15,3,FALSE),0))*(1+0.1*AH102)+(IF(OR(B103&lt;&gt;"Go AFK",IFERROR(VLOOKUP(C103,Monsters!$T$4:$AH$15,6,FALSE),0)=0),0,FLOOR((IF(B103="Go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AFK",IF(D103="",0,D103),0),Z102/60)*60)),0))/MAX(1,IFERROR(VLOOKUP(C103,Monsters!$T$4:$AH$15,6,FALSE),0)),1)))*(IFERROR(VLOOKUP(C103,Monsters!$T$4:$AH$15,7,FALSE),0))*0.5*(1+0.1*AH102),0)+IF(AND((E103="OK"),B103="Fight boss",(IF((((105/'Rules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Formulas'!B12)),IFERROR(VLOOKUP(C103,Monsters!$T$4:$AH$15,3,FALSE),0),0)-IF(AND((E103="OK"),OR(B103="Buy upgrade",B103="Forge/Scrapwork buy"),IFERROR(VLOOKUP(C103,Upgrades!$N$4:$T$47,2,FALSE),0)="gold"),IFERROR(FLOOR(IFERROR(VLOOKUP(C103,Upgrades!$N$4:$T$47,3,FALSE),0)*(IFERROR(VLOOKUP(C103,Upgrades!$N$4:$T$47,4,FALSE),0)^(COUNTIFS($B$3:$B102,"Buy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buy",$C$3:$C102,C103))),1),0),0)-IF(AND((E103="OK"),B103="Hire hunter"),IF(C103="Briar",140,IF(C103="Quill",3650,IF(C103="Moss",4850,IF(C103="Ember",12200,0)))),0))</f>
        <v/>
      </c>
      <c r="I103" s="7">
        <f>IF(AND((E103="OK"),B103="Fight boss",(IF((((105/'Rules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Formulas'!B12)),0,MIN(IF(G102&lt;=1,120,IF(G102=2,280,600)),I102+IF(AND((E103="OK"),B103="Hunt"),((IF(B103="Hunt",(('Rules &amp; Formulas'!B4*N102*('Rules &amp; Formulas'!B5+O102)*IFERROR(VLOOKUP(C103,Monsters!$T$4:$AH$15,10,FALSE),0)*IFERROR(VLOOKUP(C103,Monsters!$T$4:$AH$15,9,FALSE),0))*'Rules &amp; Formulas'!B6)*IF(D103="",0,D103),0))*(IFERROR(VLOOKUP(C103,Monsters!$T$4:$AH$15,4,FALSE),0))+(IF(OR(B103&lt;&gt;"Hunt",IFERROR(VLOOKUP(C103,Monsters!$T$4:$AH$15,6,FALSE),0)=0),0,FLOOR((IF(B103="Hunt",(('Rules &amp; Formulas'!B4*N102*('Rules &amp; Formulas'!B5+O102)*IFERROR(VLOOKUP(C103,Monsters!$T$4:$AH$15,10,FALSE),0)*IFERROR(VLOOKUP(C103,Monsters!$T$4:$AH$15,9,FALSE),0))*'Rules &amp; Formulas'!B6)*IF(D103="",0,D103),0))/MAX(1,IFERROR(VLOOKUP(C103,Monsters!$T$4:$AH$15,6,FALSE),0)),1)))*(IFERROR(VLOOKUP(C103,Monsters!$T$4:$AH$15,7,FALSE),0))),0)+IF(AND((E103="OK"),B103="Go AFK"),((IF(B103="Go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AFK",IF(D103="",0,D103),0),Z102/60)*60)),0))*(IFERROR(VLOOKUP(C103,Monsters!$T$4:$AH$15,4,FALSE),0))+(IF(OR(B103&lt;&gt;"Go AFK",IFERROR(VLOOKUP(C103,Monsters!$T$4:$AH$15,6,FALSE),0)=0),0,FLOOR((IF(B103="Go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AFK",IF(D103="",0,D103),0),Z102/60)*60)),0))/MAX(1,IFERROR(VLOOKUP(C103,Monsters!$T$4:$AH$15,6,FALSE),0)),1)))*(IFERROR(VLOOKUP(C103,Monsters!$T$4:$AH$15,7,FALSE),0))),0)))</f>
        <v/>
      </c>
      <c r="J103" s="7">
        <f>MAX(0,J102+IF(AND((E103="OK"),B103="Hunt"),(IF(B103="Hunt",(('Rules &amp; Formulas'!B4*N102*('Rules &amp; Formulas'!B5+O102)*IFERROR(VLOOKUP(C103,Monsters!$T$4:$AH$15,10,FALSE),0)*IFERROR(VLOOKUP(C103,Monsters!$T$4:$AH$15,9,FALSE),0))*'Rules &amp; Formulas'!B6)*IF(D103="",0,D103),0))*(IFERROR(VLOOKUP(C103,Monsters!$T$4:$AH$15,5,FALSE),0)),0)+IF(AND((E103="OK"),B103="Go AFK"),(IF(B103="Go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AFK",IF(D103="",0,D103),0),Z102/60)*60)),0))*(IFERROR(VLOOKUP(C103,Monsters!$T$4:$AH$15,5,FALSE),0)),0)-IF(AND((E103="OK"),OR(B103="Buy upgrade",B103="Forge/Scrapwork buy"),IFERROR(VLOOKUP(C103,Upgrades!$N$4:$T$47,2,FALSE),0)="scraps"),IFERROR(FLOOR(IFERROR(VLOOKUP(C103,Upgrades!$N$4:$T$47,3,FALSE),0)*(IFERROR(VLOOKUP(C103,Upgrades!$N$4:$T$47,4,FALSE),0)^(COUNTIFS($B$3:$B102,"Buy upgrade",$C$3:$C102,C103)+COUNTIFS($B$3:$B102,"Hire hunter",$C$3:$C102,C103)+COUNTIFS($B$3:$B102,"Forge/Scrapwork buy",$C$3:$C102,C103))),1),0),0))</f>
        <v/>
      </c>
      <c r="K103" s="7">
        <f>MAX(0,K102+IF(AND((E103="OK"),B103="Hunt"),IF(C103="Thornpelt Bear",(IF(B103="Hunt",(('Rules &amp; Formulas'!B4*N102*('Rules &amp; Formulas'!B5+O102)*IFERROR(VLOOKUP(C103,Monsters!$T$4:$AH$15,10,FALSE),0)*IFERROR(VLOOKUP(C103,Monsters!$T$4:$AH$15,9,FALSE),0))*'Rules &amp; Formulas'!B6)*IF(D103="",0,D103),0))*0.12,0),0)+IF(AND((E103="OK"),B103="Go AFK"),IF(C103="Thornpelt Bear",(IF(B103="Go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AFK",IF(D103="",0,D103),0),Z102/60)*60)),0))*0.12,0),0))</f>
        <v/>
      </c>
      <c r="L103" s="7">
        <f>MAX(0,L102+IF(AND((E103="OK"),B103="Hunt"),IF(C103="Dire Thornpelt",(IF(B103="Hunt",(('Rules &amp; Formulas'!B4*N102*('Rules &amp; Formulas'!B5+O102)*IFERROR(VLOOKUP(C103,Monsters!$T$4:$AH$15,10,FALSE),0)*IFERROR(VLOOKUP(C103,Monsters!$T$4:$AH$15,9,FALSE),0))*'Rules &amp; Formulas'!B6)*IF(D103="",0,D103),0))*0.1,0),0)+IF(AND((E103="OK"),B103="Go AFK"),IF(C103="Dire Thornpelt",(IF(B103="Go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AFK",IF(D103="",0,D103),0),Z102/60)*60)),0))*0.1,0),0))</f>
        <v/>
      </c>
      <c r="M103" s="7">
        <f>IF(AND((E103="OK"),B103="Go AFK"),MAX(0,MIN(('Rules &amp; Formulas'!B15+25*AJ102),M102+('Rules &amp; Formulas'!B14+0.4*AJ102)*(MIN(IF(B103="Go AFK",IF(D103="",0,D103),0),Z102/60)*60))-(IF(B103="Go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AFK",IF(D103="",0,D103),0),Z102/60)*60)),0))*(IF((IFERROR(VLOOKUP(C103,Monsters!$T$4:$AH$15,8,FALSE),0))=0,0.35,IFERROR(VLOOKUP(C103,Monsters!$T$4:$AH$15,8,FALSE),0))/(1+0.08*AK102))),MIN(('Rules &amp; Formulas'!B15+25*AJ103),M102))</f>
        <v/>
      </c>
      <c r="N103" s="7">
        <f>(1+0.08+0.12*AA103+0.12*AB103+0.16*AC103)</f>
        <v/>
      </c>
      <c r="O103" s="7">
        <f>((AD103&gt;=1)*1*(1+0.3*AE103))</f>
        <v/>
      </c>
      <c r="P103" s="7">
        <f>IF(OR(B103="Hunt",B103="Go AFK"),(('Rules &amp; Formulas'!B4*N102*('Rules &amp; Formulas'!B5+O102)*IFERROR(VLOOKUP(C103,Monsters!$T$4:$AH$15,10,FALSE),0)*IFERROR(VLOOKUP(C103,Monsters!$T$4:$AH$15,9,FALSE),0))*'Rules &amp; Formulas'!B6),"")</f>
        <v/>
      </c>
      <c r="Q103" s="7">
        <f>IF(OR(B103="Hunt",B103="Go AFK"),('Rules &amp; Formulas'!B4*N102*('Rules &amp; Formulas'!B5+O102)*IFERROR(VLOOKUP(C103,Monsters!$T$4:$AH$15,10,FALSE),0)*IFERROR(VLOOKUP(C103,Monsters!$T$4:$AH$15,9,FALSE),0)),"")</f>
        <v/>
      </c>
      <c r="R103" s="7">
        <f>IF(AND((E103="OK"),B103="Hunt"),IF(B103="Hunt",(('Rules &amp; Formulas'!B4*N102*('Rules &amp; Formulas'!B5+O102)*IFERROR(VLOOKUP(C103,Monsters!$T$4:$AH$15,10,FALSE),0)*IFERROR(VLOOKUP(C103,Monsters!$T$4:$AH$15,9,FALSE),0))*'Rules &amp; Formulas'!B6)*IF(D103="",0,D103),0),IF(AND((E103="OK"),B103="Go AFK"),IF(B103="Go AFK",MIN(IF((IF((IFERROR(VLOOKUP(C103,Monsters!$T$4:$AH$15,8,FALSE),0))=0,0.35,IFERROR(VLOOKUP(C103,Monsters!$T$4:$AH$15,8,FALSE),0))/(1+0.08*AK102))&lt;=0,999999,FLOOR(MIN(('Rules &amp; Formulas'!B15+25*AJ102),M102+('Rules &amp; Formulas'!B14+0.4*AJ102)*(MIN(IF(B103="Go AFK",IF(D103="",0,D103),0),Z102/60)*60))/(IF((IFERROR(VLOOKUP(C103,Monsters!$T$4:$AH$15,8,FALSE),0))=0,0.35,IFERROR(VLOOKUP(C103,Monsters!$T$4:$AH$15,8,FALSE),0))/(1+0.08*AK102)),1)),('Rules &amp; Formulas'!B4*N102*('Rules &amp; Formulas'!B5+O102)*IFERROR(VLOOKUP(C103,Monsters!$T$4:$AH$15,10,FALSE),0)*IFERROR(VLOOKUP(C103,Monsters!$T$4:$AH$15,9,FALSE),0))*(MIN(IF(B103="Go AFK",IF(D103="",0,D103),0),Z102/60)*60)),0),0))</f>
        <v/>
      </c>
      <c r="S103" s="7">
        <f>(105/'Rules &amp; Formulas'!B10)*'Rules &amp; Formulas'!B11</f>
        <v/>
      </c>
      <c r="T103" s="7">
        <f>IF(AD102&gt;=1,(MAX(1,ROUND('Rules &amp; Formulas'!B18*(1+0.3*AE102)*(1+0.4*AF102),0)))*(1000/'Rules &amp; Formulas'!B19)*MIN(0.95,'Rules &amp; Formulas'!B20*SQRT(1+0.55*(AG102&gt;=1))),0)</f>
        <v/>
      </c>
      <c r="U103" s="7">
        <f>S103+T103</f>
        <v/>
      </c>
      <c r="V103" s="7">
        <f>IF(I102&gt;=IF((IFERROR(VLOOKUP(C103,Monsters!$T$4:$AH$15,15,FALSE),0))=0,120,IFERROR(VLOOKUP(C103,Monsters!$T$4:$AH$15,15,FALSE),0)),"YES","no")</f>
        <v/>
      </c>
      <c r="W103" s="7">
        <f>IF(AND(B103="Fight boss",E103="OK"),IF((((105/'Rules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Formulas'!B20*SQRT(1+0.55*(AG102&gt;=1))),0)))),"")</f>
        <v/>
      </c>
      <c r="X103" s="7">
        <f>IF(AND(B103="Fight boss",E103="OK"),IF((IF((((105/'Rules &amp; Formulas'!B10)*'Rules &amp; Formulas'!B11+IF(AD102&gt;=1,(MAX(1,ROUND('Rules &amp; Formulas'!B18*(1+0.3*AE102)*(1+0.4*AF102),0)))*(1000/'Rules &amp; Formulas'!B19)*MIN(0.95,'Rules &amp; Formulas'!B20*SQRT(1+0.55*(AG102&gt;=1))),0)))&lt;=0,9999,(IFERROR(VLOOKUP(C103,Monsters!$T$4:$AH$15,2,FALSE),0))/(((105/'Rules &amp; Formulas'!B10)*'Rules &amp; Formulas'!B11+IF(AD102&gt;=1,(MAX(1,ROUND('Rules &amp; Formulas'!B18*(1+0.3*AE102)*(1+0.4*AF102),0)))*(1000/'Rules &amp; Formulas'!B19)*MIN(0.95,'Rules &amp; Formulas'!B20*SQRT(1+0.55*(AG102&gt;=1))),0))))&lt;='Rules &amp; Formulas'!B12),"WIN","LOSE"),"")</f>
        <v/>
      </c>
      <c r="Y103" s="7">
        <f>IF(B103="Go AFK",MIN(IF(B103="Go AFK",IF(D103="",0,D103),0),Z102/60),"")</f>
        <v/>
      </c>
      <c r="Z103" s="7">
        <f>('Rules &amp; Formulas'!B13+30*AI103)</f>
        <v/>
      </c>
      <c r="AA103">
        <f>COUNTIFS($B$3:$B103,"Buy upgrade",$C$3:$C103,"Idle Power")</f>
        <v/>
      </c>
      <c r="AB103">
        <f>COUNTIFS($B$3:$B103,"Buy upgrade",$C$3:$C103,"Iron Blade")</f>
        <v/>
      </c>
      <c r="AC103">
        <f>COUNTIFS($B$3:$B103,"Buy upgrade",$C$3:$C103,"Steel Blade")</f>
        <v/>
      </c>
      <c r="AD103">
        <f>COUNTIFS($B$3:$B103,"Hire hunter",$C$3:$C103,"Briar")+COUNTIFS($B$3:$B103,"Buy upgrade",$C$3:$C103,"Hire Briar")</f>
        <v/>
      </c>
      <c r="AE103">
        <f>COUNTIFS($B$3:$B103,"Buy upgrade",$C$3:$C103,"Hunter Power")</f>
        <v/>
      </c>
      <c r="AF103">
        <f>COUNTIFS($B$3:$B103,"Buy upgrade",$C$3:$C103,"Bigger Hits")</f>
        <v/>
      </c>
      <c r="AG103">
        <f>COUNTIFS($B$3:$B103,"Buy upgrade",$C$3:$C103,"Swift Walk")</f>
        <v/>
      </c>
      <c r="AH103">
        <f>COUNTIFS($B$3:$B103,"Buy upgrade",$C$3:$C103,"Loot Luck")</f>
        <v/>
      </c>
      <c r="AI103">
        <f>COUNTIFS($B$3:$B103,"Buy upgrade",$C$3:$C103,"Offline Cap")</f>
        <v/>
      </c>
      <c r="AJ103">
        <f>COUNTIFS($B$3:$B103,"Buy upgrade",$C$3:$C103,"Bigger Food Stock")</f>
        <v/>
      </c>
      <c r="AK103">
        <f>COUNTIFS($B$3:$B103,"Buy upgrade",$C$3:$C103,"Food Efficiency")</f>
        <v/>
      </c>
    </row>
    <row r="104">
      <c r="A104" t="n">
        <v>102</v>
      </c>
      <c r="B104" s="6" t="n"/>
      <c r="C104" s="6" t="n"/>
      <c r="D104" s="6" t="n"/>
      <c r="E104" s="7">
        <f>IF(B104="","",IF(OR(B104="Hunt",B104="Go AFK"),IF(C104="","Can't","OK"),IF(B104="Fight boss",IF(I103&lt;IF((IFERROR(VLOOKUP(C104,Monsters!$T$4:$AH$15,15,FALSE),0))=0,120,IFERROR(VLOOKUP(C104,Monsters!$T$4:$AH$15,15,FALSE),0)),"Can't","OK"),IF(B104="Hire hunter",IF(AND(C104="Briar",AD103&gt;=1),"Can't",IF(H103&lt;IF(C104="Briar",140,IF(C104="Quill",3650,IF(C104="Moss",4850,IF(C104="Ember",12200,0)))),"Can't","OK")),IF(OR(B104="Buy upgrade",B104="Forge/Scrapwork buy"),IF(IFERROR(VLOOKUP(C104,Upgrades!$N$4:$T$47,2,FALSE),0)="points","Can't",IF(IFERROR(VLOOKUP(C104,Upgrades!$N$4:$T$47,2,FALSE),0)="gold",IF(H103&lt;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buy",$C$3:$C103,C104))),1),0),"Can't","OK"),IF(IFERROR(VLOOKUP(C104,Upgrades!$N$4:$T$47,2,FALSE),0)="scraps",IF(J103&lt;IFERROR(FLOOR(IFERROR(VLOOKUP(C104,Upgrades!$N$4:$T$47,3,FALSE),0)*(IFERROR(VLOOKUP(C104,Upgrades!$N$4:$T$47,4,FALSE),0)^(COUNTIFS($B$3:$B103,"Buy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buy",$C$3:$C103,C104))),1),0),"Can't","OK"),IF(IFERROR(VLOOKUP(C104,Upgrades!$N$4:$T$47,2,FALSE),0)="mats","Can't","OK")))),"Check")))))</f>
        <v/>
      </c>
      <c r="F104" s="7">
        <f>IF(B104="","",IF(AND(B104="Fight boss",I103&lt;IF((IFERROR(VLOOKUP(C104,Monsters!$T$4:$AH$15,15,FALSE),0))=0,120,IFERROR(VLOOKUP(C104,Monsters!$T$4:$AH$15,15,FALSE),0))),"Can't — need "&amp;TEXT(IF((IFERROR(VLOOKUP(C104,Monsters!$T$4:$AH$15,15,FALSE),0))=0,120,IFERROR(VLOOKUP(C104,Monsters!$T$4:$AH$15,15,FALSE),0))-I103,"0.0")&amp;" more Slayer points on the meter",IF(AND(B104="Hire hunter",C104="Briar",AD103&gt;=1),"Can't — already hired",IF(AND(B104="Hire hunter",H103&lt;IF(C104="Briar",140,IF(C104="Quill",3650,IF(C104="Moss",4850,IF(C104="Ember",12200,0))))),"Can't — need "&amp;TEXT(IF(C104="Briar",140,IF(C104="Quill",3650,IF(C104="Moss",4850,IF(C104="Ember",12200,0))))-H103,"0")&amp;" more gold",IF(AND(OR(B104="Buy upgrade",B104="Forge/Scrapwork buy"),IFERROR(VLOOKUP(C104,Upgrades!$N$4:$T$47,2,FALSE),0)="points"),"Can't — Sp-wallet spends not tracked here",IF(AND(OR(B104="Buy upgrade",B104="Forge/Scrapwork buy"),IFERROR(VLOOKUP(C104,Upgrades!$N$4:$T$47,2,FALSE),0)="gold",H103&lt;IFERROR(FLOOR(IFERROR(VLOOKUP(C104,Upgrades!$N$4:$T$47,3,FALSE),0)*(IFERROR(VLOOKUP(C104,Upgrades!$N$4:$T$47,4,FALSE),0)^(COUNTIFS($B$3:$B103,"Buy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buy",$C$3:$C103,C104))),1),0)),"Can't — need "&amp;TEXT(IFERROR(FLOOR(IFERROR(VLOOKUP(C104,Upgrades!$N$4:$T$47,3,FALSE),0)*(IFERROR(VLOOKUP(C104,Upgrades!$N$4:$T$47,4,FALSE),0)^(COUNTIFS($B$3:$B103,"Buy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buy",$C$3:$C103,C104))),1),0)-H103,"0")&amp;" more gold",IF(AND(OR(B104="Buy upgrade",B104="Forge/Scrapwork buy"),IFERROR(VLOOKUP(C104,Upgrades!$N$4:$T$47,2,FALSE),0)="scraps",J103&lt;IFERROR(FLOOR(IFERROR(VLOOKUP(C104,Upgrades!$N$4:$T$47,3,FALSE),0)*(IFERROR(VLOOKUP(C104,Upgrades!$N$4:$T$47,4,FALSE),0)^(COUNTIFS($B$3:$B103,"Buy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buy",$C$3:$C103,C104))),1),0)),"Can't — need "&amp;TEXT(IFERROR(FLOOR(IFERROR(VLOOKUP(C104,Upgrades!$N$4:$T$47,3,FALSE),0)*(IFERROR(VLOOKUP(C104,Upgrades!$N$4:$T$47,4,FALSE),0)^(COUNTIFS($B$3:$B103,"Buy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buy",$C$3:$C103,C104))),1),0)-J103,"0")&amp;" more scraps",IF(AND(B104="Fight boss",E104="OK",(IF((((105/'Rules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Formulas'!B12)),"WIN — boss down, next Level unlocks",IF(AND(B104="Fight boss",E104="OK"),"LOSE — TTK "&amp;TEXT(IF((((105/'Rules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Formulas'!B20*SQRT(1+0.55*(AG103&gt;=1))),0)))),"0")&amp;"s &gt; patience "&amp;TEXT('Rules &amp; Formulas'!B12,"0")&amp;"s (leave resets HP)",IF(B104="Go AFK","AFK resolved (see AFK counted h)","Applied")))))))))</f>
        <v/>
      </c>
      <c r="G104" s="7">
        <f>IF(AND((E104="OK"),B104="Fight boss",(IF((((105/'Rules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Formulas'!B12),C104="Elder Thornpelt"),2,IF(AND((E104="OK"),B104="Fight boss",(IF((((105/'Rules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Formulas'!B12),C104="Ashfang Alpha"),3,G103))</f>
        <v/>
      </c>
      <c r="H104" s="7">
        <f>MAX(0,H103+IF(AND((E104="OK"),B104="Hunt"),(IF(B104="Hunt",(('Rules &amp; Formulas'!B4*N103*('Rules &amp; Formulas'!B5+O103)*IFERROR(VLOOKUP(C104,Monsters!$T$4:$AH$15,10,FALSE),0)*IFERROR(VLOOKUP(C104,Monsters!$T$4:$AH$15,9,FALSE),0))*'Rules &amp; Formulas'!B6)*IF(D104="",0,D104),0))*(IFERROR(VLOOKUP(C104,Monsters!$T$4:$AH$15,3,FALSE),0))*(1+0.1*AH103)+(IF(OR(B104&lt;&gt;"Hunt",IFERROR(VLOOKUP(C104,Monsters!$T$4:$AH$15,6,FALSE),0)=0),0,FLOOR((IF(B104="Hunt",(('Rules &amp; Formulas'!B4*N103*('Rules &amp; Formulas'!B5+O103)*IFERROR(VLOOKUP(C104,Monsters!$T$4:$AH$15,10,FALSE),0)*IFERROR(VLOOKUP(C104,Monsters!$T$4:$AH$15,9,FALSE),0))*'Rules &amp; Formulas'!B6)*IF(D104="",0,D104),0))/MAX(1,IFERROR(VLOOKUP(C104,Monsters!$T$4:$AH$15,6,FALSE),0)),1)))*(IFERROR(VLOOKUP(C104,Monsters!$T$4:$AH$15,7,FALSE),0))*0.5*(1+0.1*AH103),0)+IF(AND((E104="OK"),B104="Go AFK"),(IF(B104="Go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AFK",IF(D104="",0,D104),0),Z103/60)*60)),0))*(IFERROR(VLOOKUP(C104,Monsters!$T$4:$AH$15,3,FALSE),0))*(1+0.1*AH103)+(IF(OR(B104&lt;&gt;"Go AFK",IFERROR(VLOOKUP(C104,Monsters!$T$4:$AH$15,6,FALSE),0)=0),0,FLOOR((IF(B104="Go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AFK",IF(D104="",0,D104),0),Z103/60)*60)),0))/MAX(1,IFERROR(VLOOKUP(C104,Monsters!$T$4:$AH$15,6,FALSE),0)),1)))*(IFERROR(VLOOKUP(C104,Monsters!$T$4:$AH$15,7,FALSE),0))*0.5*(1+0.1*AH103),0)+IF(AND((E104="OK"),B104="Fight boss",(IF((((105/'Rules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Formulas'!B12)),IFERROR(VLOOKUP(C104,Monsters!$T$4:$AH$15,3,FALSE),0),0)-IF(AND((E104="OK"),OR(B104="Buy upgrade",B104="Forge/Scrapwork buy"),IFERROR(VLOOKUP(C104,Upgrades!$N$4:$T$47,2,FALSE),0)="gold"),IFERROR(FLOOR(IFERROR(VLOOKUP(C104,Upgrades!$N$4:$T$47,3,FALSE),0)*(IFERROR(VLOOKUP(C104,Upgrades!$N$4:$T$47,4,FALSE),0)^(COUNTIFS($B$3:$B103,"Buy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buy",$C$3:$C103,C104))),1),0),0)-IF(AND((E104="OK"),B104="Hire hunter"),IF(C104="Briar",140,IF(C104="Quill",3650,IF(C104="Moss",4850,IF(C104="Ember",12200,0)))),0))</f>
        <v/>
      </c>
      <c r="I104" s="7">
        <f>IF(AND((E104="OK"),B104="Fight boss",(IF((((105/'Rules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Formulas'!B12)),0,MIN(IF(G103&lt;=1,120,IF(G103=2,280,600)),I103+IF(AND((E104="OK"),B104="Hunt"),((IF(B104="Hunt",(('Rules &amp; Formulas'!B4*N103*('Rules &amp; Formulas'!B5+O103)*IFERROR(VLOOKUP(C104,Monsters!$T$4:$AH$15,10,FALSE),0)*IFERROR(VLOOKUP(C104,Monsters!$T$4:$AH$15,9,FALSE),0))*'Rules &amp; Formulas'!B6)*IF(D104="",0,D104),0))*(IFERROR(VLOOKUP(C104,Monsters!$T$4:$AH$15,4,FALSE),0))+(IF(OR(B104&lt;&gt;"Hunt",IFERROR(VLOOKUP(C104,Monsters!$T$4:$AH$15,6,FALSE),0)=0),0,FLOOR((IF(B104="Hunt",(('Rules &amp; Formulas'!B4*N103*('Rules &amp; Formulas'!B5+O103)*IFERROR(VLOOKUP(C104,Monsters!$T$4:$AH$15,10,FALSE),0)*IFERROR(VLOOKUP(C104,Monsters!$T$4:$AH$15,9,FALSE),0))*'Rules &amp; Formulas'!B6)*IF(D104="",0,D104),0))/MAX(1,IFERROR(VLOOKUP(C104,Monsters!$T$4:$AH$15,6,FALSE),0)),1)))*(IFERROR(VLOOKUP(C104,Monsters!$T$4:$AH$15,7,FALSE),0))),0)+IF(AND((E104="OK"),B104="Go AFK"),((IF(B104="Go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AFK",IF(D104="",0,D104),0),Z103/60)*60)),0))*(IFERROR(VLOOKUP(C104,Monsters!$T$4:$AH$15,4,FALSE),0))+(IF(OR(B104&lt;&gt;"Go AFK",IFERROR(VLOOKUP(C104,Monsters!$T$4:$AH$15,6,FALSE),0)=0),0,FLOOR((IF(B104="Go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AFK",IF(D104="",0,D104),0),Z103/60)*60)),0))/MAX(1,IFERROR(VLOOKUP(C104,Monsters!$T$4:$AH$15,6,FALSE),0)),1)))*(IFERROR(VLOOKUP(C104,Monsters!$T$4:$AH$15,7,FALSE),0))),0)))</f>
        <v/>
      </c>
      <c r="J104" s="7">
        <f>MAX(0,J103+IF(AND((E104="OK"),B104="Hunt"),(IF(B104="Hunt",(('Rules &amp; Formulas'!B4*N103*('Rules &amp; Formulas'!B5+O103)*IFERROR(VLOOKUP(C104,Monsters!$T$4:$AH$15,10,FALSE),0)*IFERROR(VLOOKUP(C104,Monsters!$T$4:$AH$15,9,FALSE),0))*'Rules &amp; Formulas'!B6)*IF(D104="",0,D104),0))*(IFERROR(VLOOKUP(C104,Monsters!$T$4:$AH$15,5,FALSE),0)),0)+IF(AND((E104="OK"),B104="Go AFK"),(IF(B104="Go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AFK",IF(D104="",0,D104),0),Z103/60)*60)),0))*(IFERROR(VLOOKUP(C104,Monsters!$T$4:$AH$15,5,FALSE),0)),0)-IF(AND((E104="OK"),OR(B104="Buy upgrade",B104="Forge/Scrapwork buy"),IFERROR(VLOOKUP(C104,Upgrades!$N$4:$T$47,2,FALSE),0)="scraps"),IFERROR(FLOOR(IFERROR(VLOOKUP(C104,Upgrades!$N$4:$T$47,3,FALSE),0)*(IFERROR(VLOOKUP(C104,Upgrades!$N$4:$T$47,4,FALSE),0)^(COUNTIFS($B$3:$B103,"Buy upgrade",$C$3:$C103,C104)+COUNTIFS($B$3:$B103,"Hire hunter",$C$3:$C103,C104)+COUNTIFS($B$3:$B103,"Forge/Scrapwork buy",$C$3:$C103,C104))),1),0),0))</f>
        <v/>
      </c>
      <c r="K104" s="7">
        <f>MAX(0,K103+IF(AND((E104="OK"),B104="Hunt"),IF(C104="Thornpelt Bear",(IF(B104="Hunt",(('Rules &amp; Formulas'!B4*N103*('Rules &amp; Formulas'!B5+O103)*IFERROR(VLOOKUP(C104,Monsters!$T$4:$AH$15,10,FALSE),0)*IFERROR(VLOOKUP(C104,Monsters!$T$4:$AH$15,9,FALSE),0))*'Rules &amp; Formulas'!B6)*IF(D104="",0,D104),0))*0.12,0),0)+IF(AND((E104="OK"),B104="Go AFK"),IF(C104="Thornpelt Bear",(IF(B104="Go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AFK",IF(D104="",0,D104),0),Z103/60)*60)),0))*0.12,0),0))</f>
        <v/>
      </c>
      <c r="L104" s="7">
        <f>MAX(0,L103+IF(AND((E104="OK"),B104="Hunt"),IF(C104="Dire Thornpelt",(IF(B104="Hunt",(('Rules &amp; Formulas'!B4*N103*('Rules &amp; Formulas'!B5+O103)*IFERROR(VLOOKUP(C104,Monsters!$T$4:$AH$15,10,FALSE),0)*IFERROR(VLOOKUP(C104,Monsters!$T$4:$AH$15,9,FALSE),0))*'Rules &amp; Formulas'!B6)*IF(D104="",0,D104),0))*0.1,0),0)+IF(AND((E104="OK"),B104="Go AFK"),IF(C104="Dire Thornpelt",(IF(B104="Go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AFK",IF(D104="",0,D104),0),Z103/60)*60)),0))*0.1,0),0))</f>
        <v/>
      </c>
      <c r="M104" s="7">
        <f>IF(AND((E104="OK"),B104="Go AFK"),MAX(0,MIN(('Rules &amp; Formulas'!B15+25*AJ103),M103+('Rules &amp; Formulas'!B14+0.4*AJ103)*(MIN(IF(B104="Go AFK",IF(D104="",0,D104),0),Z103/60)*60))-(IF(B104="Go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AFK",IF(D104="",0,D104),0),Z103/60)*60)),0))*(IF((IFERROR(VLOOKUP(C104,Monsters!$T$4:$AH$15,8,FALSE),0))=0,0.35,IFERROR(VLOOKUP(C104,Monsters!$T$4:$AH$15,8,FALSE),0))/(1+0.08*AK103))),MIN(('Rules &amp; Formulas'!B15+25*AJ104),M103))</f>
        <v/>
      </c>
      <c r="N104" s="7">
        <f>(1+0.08+0.12*AA104+0.12*AB104+0.16*AC104)</f>
        <v/>
      </c>
      <c r="O104" s="7">
        <f>((AD104&gt;=1)*1*(1+0.3*AE104))</f>
        <v/>
      </c>
      <c r="P104" s="7">
        <f>IF(OR(B104="Hunt",B104="Go AFK"),(('Rules &amp; Formulas'!B4*N103*('Rules &amp; Formulas'!B5+O103)*IFERROR(VLOOKUP(C104,Monsters!$T$4:$AH$15,10,FALSE),0)*IFERROR(VLOOKUP(C104,Monsters!$T$4:$AH$15,9,FALSE),0))*'Rules &amp; Formulas'!B6),"")</f>
        <v/>
      </c>
      <c r="Q104" s="7">
        <f>IF(OR(B104="Hunt",B104="Go AFK"),('Rules &amp; Formulas'!B4*N103*('Rules &amp; Formulas'!B5+O103)*IFERROR(VLOOKUP(C104,Monsters!$T$4:$AH$15,10,FALSE),0)*IFERROR(VLOOKUP(C104,Monsters!$T$4:$AH$15,9,FALSE),0)),"")</f>
        <v/>
      </c>
      <c r="R104" s="7">
        <f>IF(AND((E104="OK"),B104="Hunt"),IF(B104="Hunt",(('Rules &amp; Formulas'!B4*N103*('Rules &amp; Formulas'!B5+O103)*IFERROR(VLOOKUP(C104,Monsters!$T$4:$AH$15,10,FALSE),0)*IFERROR(VLOOKUP(C104,Monsters!$T$4:$AH$15,9,FALSE),0))*'Rules &amp; Formulas'!B6)*IF(D104="",0,D104),0),IF(AND((E104="OK"),B104="Go AFK"),IF(B104="Go AFK",MIN(IF((IF((IFERROR(VLOOKUP(C104,Monsters!$T$4:$AH$15,8,FALSE),0))=0,0.35,IFERROR(VLOOKUP(C104,Monsters!$T$4:$AH$15,8,FALSE),0))/(1+0.08*AK103))&lt;=0,999999,FLOOR(MIN(('Rules &amp; Formulas'!B15+25*AJ103),M103+('Rules &amp; Formulas'!B14+0.4*AJ103)*(MIN(IF(B104="Go AFK",IF(D104="",0,D104),0),Z103/60)*60))/(IF((IFERROR(VLOOKUP(C104,Monsters!$T$4:$AH$15,8,FALSE),0))=0,0.35,IFERROR(VLOOKUP(C104,Monsters!$T$4:$AH$15,8,FALSE),0))/(1+0.08*AK103)),1)),('Rules &amp; Formulas'!B4*N103*('Rules &amp; Formulas'!B5+O103)*IFERROR(VLOOKUP(C104,Monsters!$T$4:$AH$15,10,FALSE),0)*IFERROR(VLOOKUP(C104,Monsters!$T$4:$AH$15,9,FALSE),0))*(MIN(IF(B104="Go AFK",IF(D104="",0,D104),0),Z103/60)*60)),0),0))</f>
        <v/>
      </c>
      <c r="S104" s="7">
        <f>(105/'Rules &amp; Formulas'!B10)*'Rules &amp; Formulas'!B11</f>
        <v/>
      </c>
      <c r="T104" s="7">
        <f>IF(AD103&gt;=1,(MAX(1,ROUND('Rules &amp; Formulas'!B18*(1+0.3*AE103)*(1+0.4*AF103),0)))*(1000/'Rules &amp; Formulas'!B19)*MIN(0.95,'Rules &amp; Formulas'!B20*SQRT(1+0.55*(AG103&gt;=1))),0)</f>
        <v/>
      </c>
      <c r="U104" s="7">
        <f>S104+T104</f>
        <v/>
      </c>
      <c r="V104" s="7">
        <f>IF(I103&gt;=IF((IFERROR(VLOOKUP(C104,Monsters!$T$4:$AH$15,15,FALSE),0))=0,120,IFERROR(VLOOKUP(C104,Monsters!$T$4:$AH$15,15,FALSE),0)),"YES","no")</f>
        <v/>
      </c>
      <c r="W104" s="7">
        <f>IF(AND(B104="Fight boss",E104="OK"),IF((((105/'Rules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Formulas'!B20*SQRT(1+0.55*(AG103&gt;=1))),0)))),"")</f>
        <v/>
      </c>
      <c r="X104" s="7">
        <f>IF(AND(B104="Fight boss",E104="OK"),IF((IF((((105/'Rules &amp; Formulas'!B10)*'Rules &amp; Formulas'!B11+IF(AD103&gt;=1,(MAX(1,ROUND('Rules &amp; Formulas'!B18*(1+0.3*AE103)*(1+0.4*AF103),0)))*(1000/'Rules &amp; Formulas'!B19)*MIN(0.95,'Rules &amp; Formulas'!B20*SQRT(1+0.55*(AG103&gt;=1))),0)))&lt;=0,9999,(IFERROR(VLOOKUP(C104,Monsters!$T$4:$AH$15,2,FALSE),0))/(((105/'Rules &amp; Formulas'!B10)*'Rules &amp; Formulas'!B11+IF(AD103&gt;=1,(MAX(1,ROUND('Rules &amp; Formulas'!B18*(1+0.3*AE103)*(1+0.4*AF103),0)))*(1000/'Rules &amp; Formulas'!B19)*MIN(0.95,'Rules &amp; Formulas'!B20*SQRT(1+0.55*(AG103&gt;=1))),0))))&lt;='Rules &amp; Formulas'!B12),"WIN","LOSE"),"")</f>
        <v/>
      </c>
      <c r="Y104" s="7">
        <f>IF(B104="Go AFK",MIN(IF(B104="Go AFK",IF(D104="",0,D104),0),Z103/60),"")</f>
        <v/>
      </c>
      <c r="Z104" s="7">
        <f>('Rules &amp; Formulas'!B13+30*AI104)</f>
        <v/>
      </c>
      <c r="AA104">
        <f>COUNTIFS($B$3:$B104,"Buy upgrade",$C$3:$C104,"Idle Power")</f>
        <v/>
      </c>
      <c r="AB104">
        <f>COUNTIFS($B$3:$B104,"Buy upgrade",$C$3:$C104,"Iron Blade")</f>
        <v/>
      </c>
      <c r="AC104">
        <f>COUNTIFS($B$3:$B104,"Buy upgrade",$C$3:$C104,"Steel Blade")</f>
        <v/>
      </c>
      <c r="AD104">
        <f>COUNTIFS($B$3:$B104,"Hire hunter",$C$3:$C104,"Briar")+COUNTIFS($B$3:$B104,"Buy upgrade",$C$3:$C104,"Hire Briar")</f>
        <v/>
      </c>
      <c r="AE104">
        <f>COUNTIFS($B$3:$B104,"Buy upgrade",$C$3:$C104,"Hunter Power")</f>
        <v/>
      </c>
      <c r="AF104">
        <f>COUNTIFS($B$3:$B104,"Buy upgrade",$C$3:$C104,"Bigger Hits")</f>
        <v/>
      </c>
      <c r="AG104">
        <f>COUNTIFS($B$3:$B104,"Buy upgrade",$C$3:$C104,"Swift Walk")</f>
        <v/>
      </c>
      <c r="AH104">
        <f>COUNTIFS($B$3:$B104,"Buy upgrade",$C$3:$C104,"Loot Luck")</f>
        <v/>
      </c>
      <c r="AI104">
        <f>COUNTIFS($B$3:$B104,"Buy upgrade",$C$3:$C104,"Offline Cap")</f>
        <v/>
      </c>
      <c r="AJ104">
        <f>COUNTIFS($B$3:$B104,"Buy upgrade",$C$3:$C104,"Bigger Food Stock")</f>
        <v/>
      </c>
      <c r="AK104">
        <f>COUNTIFS($B$3:$B104,"Buy upgrade",$C$3:$C104,"Food Efficiency")</f>
        <v/>
      </c>
    </row>
    <row r="105">
      <c r="A105" t="n">
        <v>103</v>
      </c>
      <c r="B105" s="6" t="n"/>
      <c r="C105" s="6" t="n"/>
      <c r="D105" s="6" t="n"/>
      <c r="E105" s="7">
        <f>IF(B105="","",IF(OR(B105="Hunt",B105="Go AFK"),IF(C105="","Can't","OK"),IF(B105="Fight boss",IF(I104&lt;IF((IFERROR(VLOOKUP(C105,Monsters!$T$4:$AH$15,15,FALSE),0))=0,120,IFERROR(VLOOKUP(C105,Monsters!$T$4:$AH$15,15,FALSE),0)),"Can't","OK"),IF(B105="Hire hunter",IF(AND(C105="Briar",AD104&gt;=1),"Can't",IF(H104&lt;IF(C105="Briar",140,IF(C105="Quill",3650,IF(C105="Moss",4850,IF(C105="Ember",12200,0)))),"Can't","OK")),IF(OR(B105="Buy upgrade",B105="Forge/Scrapwork buy"),IF(IFERROR(VLOOKUP(C105,Upgrades!$N$4:$T$47,2,FALSE),0)="points","Can't",IF(IFERROR(VLOOKUP(C105,Upgrades!$N$4:$T$47,2,FALSE),0)="gold",IF(H104&lt;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buy",$C$3:$C104,C105))),1),0),"Can't","OK"),IF(IFERROR(VLOOKUP(C105,Upgrades!$N$4:$T$47,2,FALSE),0)="scraps",IF(J104&lt;IFERROR(FLOOR(IFERROR(VLOOKUP(C105,Upgrades!$N$4:$T$47,3,FALSE),0)*(IFERROR(VLOOKUP(C105,Upgrades!$N$4:$T$47,4,FALSE),0)^(COUNTIFS($B$3:$B104,"Buy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buy",$C$3:$C104,C105))),1),0),"Can't","OK"),IF(IFERROR(VLOOKUP(C105,Upgrades!$N$4:$T$47,2,FALSE),0)="mats","Can't","OK")))),"Check")))))</f>
        <v/>
      </c>
      <c r="F105" s="7">
        <f>IF(B105="","",IF(AND(B105="Fight boss",I104&lt;IF((IFERROR(VLOOKUP(C105,Monsters!$T$4:$AH$15,15,FALSE),0))=0,120,IFERROR(VLOOKUP(C105,Monsters!$T$4:$AH$15,15,FALSE),0))),"Can't — need "&amp;TEXT(IF((IFERROR(VLOOKUP(C105,Monsters!$T$4:$AH$15,15,FALSE),0))=0,120,IFERROR(VLOOKUP(C105,Monsters!$T$4:$AH$15,15,FALSE),0))-I104,"0.0")&amp;" more Slayer points on the meter",IF(AND(B105="Hire hunter",C105="Briar",AD104&gt;=1),"Can't — already hired",IF(AND(B105="Hire hunter",H104&lt;IF(C105="Briar",140,IF(C105="Quill",3650,IF(C105="Moss",4850,IF(C105="Ember",12200,0))))),"Can't — need "&amp;TEXT(IF(C105="Briar",140,IF(C105="Quill",3650,IF(C105="Moss",4850,IF(C105="Ember",12200,0))))-H104,"0")&amp;" more gold",IF(AND(OR(B105="Buy upgrade",B105="Forge/Scrapwork buy"),IFERROR(VLOOKUP(C105,Upgrades!$N$4:$T$47,2,FALSE),0)="points"),"Can't — Sp-wallet spends not tracked here",IF(AND(OR(B105="Buy upgrade",B105="Forge/Scrapwork buy"),IFERROR(VLOOKUP(C105,Upgrades!$N$4:$T$47,2,FALSE),0)="gold",H104&lt;IFERROR(FLOOR(IFERROR(VLOOKUP(C105,Upgrades!$N$4:$T$47,3,FALSE),0)*(IFERROR(VLOOKUP(C105,Upgrades!$N$4:$T$47,4,FALSE),0)^(COUNTIFS($B$3:$B104,"Buy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buy",$C$3:$C104,C105))),1),0)),"Can't — need "&amp;TEXT(IFERROR(FLOOR(IFERROR(VLOOKUP(C105,Upgrades!$N$4:$T$47,3,FALSE),0)*(IFERROR(VLOOKUP(C105,Upgrades!$N$4:$T$47,4,FALSE),0)^(COUNTIFS($B$3:$B104,"Buy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buy",$C$3:$C104,C105))),1),0)-H104,"0")&amp;" more gold",IF(AND(OR(B105="Buy upgrade",B105="Forge/Scrapwork buy"),IFERROR(VLOOKUP(C105,Upgrades!$N$4:$T$47,2,FALSE),0)="scraps",J104&lt;IFERROR(FLOOR(IFERROR(VLOOKUP(C105,Upgrades!$N$4:$T$47,3,FALSE),0)*(IFERROR(VLOOKUP(C105,Upgrades!$N$4:$T$47,4,FALSE),0)^(COUNTIFS($B$3:$B104,"Buy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buy",$C$3:$C104,C105))),1),0)),"Can't — need "&amp;TEXT(IFERROR(FLOOR(IFERROR(VLOOKUP(C105,Upgrades!$N$4:$T$47,3,FALSE),0)*(IFERROR(VLOOKUP(C105,Upgrades!$N$4:$T$47,4,FALSE),0)^(COUNTIFS($B$3:$B104,"Buy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buy",$C$3:$C104,C105))),1),0)-J104,"0")&amp;" more scraps",IF(AND(B105="Fight boss",E105="OK",(IF((((105/'Rules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Formulas'!B12)),"WIN — boss down, next Level unlocks",IF(AND(B105="Fight boss",E105="OK"),"LOSE — TTK "&amp;TEXT(IF((((105/'Rules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Formulas'!B20*SQRT(1+0.55*(AG104&gt;=1))),0)))),"0")&amp;"s &gt; patience "&amp;TEXT('Rules &amp; Formulas'!B12,"0")&amp;"s (leave resets HP)",IF(B105="Go AFK","AFK resolved (see AFK counted h)","Applied")))))))))</f>
        <v/>
      </c>
      <c r="G105" s="7">
        <f>IF(AND((E105="OK"),B105="Fight boss",(IF((((105/'Rules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Formulas'!B12),C105="Elder Thornpelt"),2,IF(AND((E105="OK"),B105="Fight boss",(IF((((105/'Rules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Formulas'!B12),C105="Ashfang Alpha"),3,G104))</f>
        <v/>
      </c>
      <c r="H105" s="7">
        <f>MAX(0,H104+IF(AND((E105="OK"),B105="Hunt"),(IF(B105="Hunt",(('Rules &amp; Formulas'!B4*N104*('Rules &amp; Formulas'!B5+O104)*IFERROR(VLOOKUP(C105,Monsters!$T$4:$AH$15,10,FALSE),0)*IFERROR(VLOOKUP(C105,Monsters!$T$4:$AH$15,9,FALSE),0))*'Rules &amp; Formulas'!B6)*IF(D105="",0,D105),0))*(IFERROR(VLOOKUP(C105,Monsters!$T$4:$AH$15,3,FALSE),0))*(1+0.1*AH104)+(IF(OR(B105&lt;&gt;"Hunt",IFERROR(VLOOKUP(C105,Monsters!$T$4:$AH$15,6,FALSE),0)=0),0,FLOOR((IF(B105="Hunt",(('Rules &amp; Formulas'!B4*N104*('Rules &amp; Formulas'!B5+O104)*IFERROR(VLOOKUP(C105,Monsters!$T$4:$AH$15,10,FALSE),0)*IFERROR(VLOOKUP(C105,Monsters!$T$4:$AH$15,9,FALSE),0))*'Rules &amp; Formulas'!B6)*IF(D105="",0,D105),0))/MAX(1,IFERROR(VLOOKUP(C105,Monsters!$T$4:$AH$15,6,FALSE),0)),1)))*(IFERROR(VLOOKUP(C105,Monsters!$T$4:$AH$15,7,FALSE),0))*0.5*(1+0.1*AH104),0)+IF(AND((E105="OK"),B105="Go AFK"),(IF(B105="Go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AFK",IF(D105="",0,D105),0),Z104/60)*60)),0))*(IFERROR(VLOOKUP(C105,Monsters!$T$4:$AH$15,3,FALSE),0))*(1+0.1*AH104)+(IF(OR(B105&lt;&gt;"Go AFK",IFERROR(VLOOKUP(C105,Monsters!$T$4:$AH$15,6,FALSE),0)=0),0,FLOOR((IF(B105="Go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AFK",IF(D105="",0,D105),0),Z104/60)*60)),0))/MAX(1,IFERROR(VLOOKUP(C105,Monsters!$T$4:$AH$15,6,FALSE),0)),1)))*(IFERROR(VLOOKUP(C105,Monsters!$T$4:$AH$15,7,FALSE),0))*0.5*(1+0.1*AH104),0)+IF(AND((E105="OK"),B105="Fight boss",(IF((((105/'Rules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Formulas'!B12)),IFERROR(VLOOKUP(C105,Monsters!$T$4:$AH$15,3,FALSE),0),0)-IF(AND((E105="OK"),OR(B105="Buy upgrade",B105="Forge/Scrapwork buy"),IFERROR(VLOOKUP(C105,Upgrades!$N$4:$T$47,2,FALSE),0)="gold"),IFERROR(FLOOR(IFERROR(VLOOKUP(C105,Upgrades!$N$4:$T$47,3,FALSE),0)*(IFERROR(VLOOKUP(C105,Upgrades!$N$4:$T$47,4,FALSE),0)^(COUNTIFS($B$3:$B104,"Buy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buy",$C$3:$C104,C105))),1),0),0)-IF(AND((E105="OK"),B105="Hire hunter"),IF(C105="Briar",140,IF(C105="Quill",3650,IF(C105="Moss",4850,IF(C105="Ember",12200,0)))),0))</f>
        <v/>
      </c>
      <c r="I105" s="7">
        <f>IF(AND((E105="OK"),B105="Fight boss",(IF((((105/'Rules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Formulas'!B12)),0,MIN(IF(G104&lt;=1,120,IF(G104=2,280,600)),I104+IF(AND((E105="OK"),B105="Hunt"),((IF(B105="Hunt",(('Rules &amp; Formulas'!B4*N104*('Rules &amp; Formulas'!B5+O104)*IFERROR(VLOOKUP(C105,Monsters!$T$4:$AH$15,10,FALSE),0)*IFERROR(VLOOKUP(C105,Monsters!$T$4:$AH$15,9,FALSE),0))*'Rules &amp; Formulas'!B6)*IF(D105="",0,D105),0))*(IFERROR(VLOOKUP(C105,Monsters!$T$4:$AH$15,4,FALSE),0))+(IF(OR(B105&lt;&gt;"Hunt",IFERROR(VLOOKUP(C105,Monsters!$T$4:$AH$15,6,FALSE),0)=0),0,FLOOR((IF(B105="Hunt",(('Rules &amp; Formulas'!B4*N104*('Rules &amp; Formulas'!B5+O104)*IFERROR(VLOOKUP(C105,Monsters!$T$4:$AH$15,10,FALSE),0)*IFERROR(VLOOKUP(C105,Monsters!$T$4:$AH$15,9,FALSE),0))*'Rules &amp; Formulas'!B6)*IF(D105="",0,D105),0))/MAX(1,IFERROR(VLOOKUP(C105,Monsters!$T$4:$AH$15,6,FALSE),0)),1)))*(IFERROR(VLOOKUP(C105,Monsters!$T$4:$AH$15,7,FALSE),0))),0)+IF(AND((E105="OK"),B105="Go AFK"),((IF(B105="Go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AFK",IF(D105="",0,D105),0),Z104/60)*60)),0))*(IFERROR(VLOOKUP(C105,Monsters!$T$4:$AH$15,4,FALSE),0))+(IF(OR(B105&lt;&gt;"Go AFK",IFERROR(VLOOKUP(C105,Monsters!$T$4:$AH$15,6,FALSE),0)=0),0,FLOOR((IF(B105="Go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AFK",IF(D105="",0,D105),0),Z104/60)*60)),0))/MAX(1,IFERROR(VLOOKUP(C105,Monsters!$T$4:$AH$15,6,FALSE),0)),1)))*(IFERROR(VLOOKUP(C105,Monsters!$T$4:$AH$15,7,FALSE),0))),0)))</f>
        <v/>
      </c>
      <c r="J105" s="7">
        <f>MAX(0,J104+IF(AND((E105="OK"),B105="Hunt"),(IF(B105="Hunt",(('Rules &amp; Formulas'!B4*N104*('Rules &amp; Formulas'!B5+O104)*IFERROR(VLOOKUP(C105,Monsters!$T$4:$AH$15,10,FALSE),0)*IFERROR(VLOOKUP(C105,Monsters!$T$4:$AH$15,9,FALSE),0))*'Rules &amp; Formulas'!B6)*IF(D105="",0,D105),0))*(IFERROR(VLOOKUP(C105,Monsters!$T$4:$AH$15,5,FALSE),0)),0)+IF(AND((E105="OK"),B105="Go AFK"),(IF(B105="Go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AFK",IF(D105="",0,D105),0),Z104/60)*60)),0))*(IFERROR(VLOOKUP(C105,Monsters!$T$4:$AH$15,5,FALSE),0)),0)-IF(AND((E105="OK"),OR(B105="Buy upgrade",B105="Forge/Scrapwork buy"),IFERROR(VLOOKUP(C105,Upgrades!$N$4:$T$47,2,FALSE),0)="scraps"),IFERROR(FLOOR(IFERROR(VLOOKUP(C105,Upgrades!$N$4:$T$47,3,FALSE),0)*(IFERROR(VLOOKUP(C105,Upgrades!$N$4:$T$47,4,FALSE),0)^(COUNTIFS($B$3:$B104,"Buy upgrade",$C$3:$C104,C105)+COUNTIFS($B$3:$B104,"Hire hunter",$C$3:$C104,C105)+COUNTIFS($B$3:$B104,"Forge/Scrapwork buy",$C$3:$C104,C105))),1),0),0))</f>
        <v/>
      </c>
      <c r="K105" s="7">
        <f>MAX(0,K104+IF(AND((E105="OK"),B105="Hunt"),IF(C105="Thornpelt Bear",(IF(B105="Hunt",(('Rules &amp; Formulas'!B4*N104*('Rules &amp; Formulas'!B5+O104)*IFERROR(VLOOKUP(C105,Monsters!$T$4:$AH$15,10,FALSE),0)*IFERROR(VLOOKUP(C105,Monsters!$T$4:$AH$15,9,FALSE),0))*'Rules &amp; Formulas'!B6)*IF(D105="",0,D105),0))*0.12,0),0)+IF(AND((E105="OK"),B105="Go AFK"),IF(C105="Thornpelt Bear",(IF(B105="Go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AFK",IF(D105="",0,D105),0),Z104/60)*60)),0))*0.12,0),0))</f>
        <v/>
      </c>
      <c r="L105" s="7">
        <f>MAX(0,L104+IF(AND((E105="OK"),B105="Hunt"),IF(C105="Dire Thornpelt",(IF(B105="Hunt",(('Rules &amp; Formulas'!B4*N104*('Rules &amp; Formulas'!B5+O104)*IFERROR(VLOOKUP(C105,Monsters!$T$4:$AH$15,10,FALSE),0)*IFERROR(VLOOKUP(C105,Monsters!$T$4:$AH$15,9,FALSE),0))*'Rules &amp; Formulas'!B6)*IF(D105="",0,D105),0))*0.1,0),0)+IF(AND((E105="OK"),B105="Go AFK"),IF(C105="Dire Thornpelt",(IF(B105="Go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AFK",IF(D105="",0,D105),0),Z104/60)*60)),0))*0.1,0),0))</f>
        <v/>
      </c>
      <c r="M105" s="7">
        <f>IF(AND((E105="OK"),B105="Go AFK"),MAX(0,MIN(('Rules &amp; Formulas'!B15+25*AJ104),M104+('Rules &amp; Formulas'!B14+0.4*AJ104)*(MIN(IF(B105="Go AFK",IF(D105="",0,D105),0),Z104/60)*60))-(IF(B105="Go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AFK",IF(D105="",0,D105),0),Z104/60)*60)),0))*(IF((IFERROR(VLOOKUP(C105,Monsters!$T$4:$AH$15,8,FALSE),0))=0,0.35,IFERROR(VLOOKUP(C105,Monsters!$T$4:$AH$15,8,FALSE),0))/(1+0.08*AK104))),MIN(('Rules &amp; Formulas'!B15+25*AJ105),M104))</f>
        <v/>
      </c>
      <c r="N105" s="7">
        <f>(1+0.08+0.12*AA105+0.12*AB105+0.16*AC105)</f>
        <v/>
      </c>
      <c r="O105" s="7">
        <f>((AD105&gt;=1)*1*(1+0.3*AE105))</f>
        <v/>
      </c>
      <c r="P105" s="7">
        <f>IF(OR(B105="Hunt",B105="Go AFK"),(('Rules &amp; Formulas'!B4*N104*('Rules &amp; Formulas'!B5+O104)*IFERROR(VLOOKUP(C105,Monsters!$T$4:$AH$15,10,FALSE),0)*IFERROR(VLOOKUP(C105,Monsters!$T$4:$AH$15,9,FALSE),0))*'Rules &amp; Formulas'!B6),"")</f>
        <v/>
      </c>
      <c r="Q105" s="7">
        <f>IF(OR(B105="Hunt",B105="Go AFK"),('Rules &amp; Formulas'!B4*N104*('Rules &amp; Formulas'!B5+O104)*IFERROR(VLOOKUP(C105,Monsters!$T$4:$AH$15,10,FALSE),0)*IFERROR(VLOOKUP(C105,Monsters!$T$4:$AH$15,9,FALSE),0)),"")</f>
        <v/>
      </c>
      <c r="R105" s="7">
        <f>IF(AND((E105="OK"),B105="Hunt"),IF(B105="Hunt",(('Rules &amp; Formulas'!B4*N104*('Rules &amp; Formulas'!B5+O104)*IFERROR(VLOOKUP(C105,Monsters!$T$4:$AH$15,10,FALSE),0)*IFERROR(VLOOKUP(C105,Monsters!$T$4:$AH$15,9,FALSE),0))*'Rules &amp; Formulas'!B6)*IF(D105="",0,D105),0),IF(AND((E105="OK"),B105="Go AFK"),IF(B105="Go AFK",MIN(IF((IF((IFERROR(VLOOKUP(C105,Monsters!$T$4:$AH$15,8,FALSE),0))=0,0.35,IFERROR(VLOOKUP(C105,Monsters!$T$4:$AH$15,8,FALSE),0))/(1+0.08*AK104))&lt;=0,999999,FLOOR(MIN(('Rules &amp; Formulas'!B15+25*AJ104),M104+('Rules &amp; Formulas'!B14+0.4*AJ104)*(MIN(IF(B105="Go AFK",IF(D105="",0,D105),0),Z104/60)*60))/(IF((IFERROR(VLOOKUP(C105,Monsters!$T$4:$AH$15,8,FALSE),0))=0,0.35,IFERROR(VLOOKUP(C105,Monsters!$T$4:$AH$15,8,FALSE),0))/(1+0.08*AK104)),1)),('Rules &amp; Formulas'!B4*N104*('Rules &amp; Formulas'!B5+O104)*IFERROR(VLOOKUP(C105,Monsters!$T$4:$AH$15,10,FALSE),0)*IFERROR(VLOOKUP(C105,Monsters!$T$4:$AH$15,9,FALSE),0))*(MIN(IF(B105="Go AFK",IF(D105="",0,D105),0),Z104/60)*60)),0),0))</f>
        <v/>
      </c>
      <c r="S105" s="7">
        <f>(105/'Rules &amp; Formulas'!B10)*'Rules &amp; Formulas'!B11</f>
        <v/>
      </c>
      <c r="T105" s="7">
        <f>IF(AD104&gt;=1,(MAX(1,ROUND('Rules &amp; Formulas'!B18*(1+0.3*AE104)*(1+0.4*AF104),0)))*(1000/'Rules &amp; Formulas'!B19)*MIN(0.95,'Rules &amp; Formulas'!B20*SQRT(1+0.55*(AG104&gt;=1))),0)</f>
        <v/>
      </c>
      <c r="U105" s="7">
        <f>S105+T105</f>
        <v/>
      </c>
      <c r="V105" s="7">
        <f>IF(I104&gt;=IF((IFERROR(VLOOKUP(C105,Monsters!$T$4:$AH$15,15,FALSE),0))=0,120,IFERROR(VLOOKUP(C105,Monsters!$T$4:$AH$15,15,FALSE),0)),"YES","no")</f>
        <v/>
      </c>
      <c r="W105" s="7">
        <f>IF(AND(B105="Fight boss",E105="OK"),IF((((105/'Rules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Formulas'!B20*SQRT(1+0.55*(AG104&gt;=1))),0)))),"")</f>
        <v/>
      </c>
      <c r="X105" s="7">
        <f>IF(AND(B105="Fight boss",E105="OK"),IF((IF((((105/'Rules &amp; Formulas'!B10)*'Rules &amp; Formulas'!B11+IF(AD104&gt;=1,(MAX(1,ROUND('Rules &amp; Formulas'!B18*(1+0.3*AE104)*(1+0.4*AF104),0)))*(1000/'Rules &amp; Formulas'!B19)*MIN(0.95,'Rules &amp; Formulas'!B20*SQRT(1+0.55*(AG104&gt;=1))),0)))&lt;=0,9999,(IFERROR(VLOOKUP(C105,Monsters!$T$4:$AH$15,2,FALSE),0))/(((105/'Rules &amp; Formulas'!B10)*'Rules &amp; Formulas'!B11+IF(AD104&gt;=1,(MAX(1,ROUND('Rules &amp; Formulas'!B18*(1+0.3*AE104)*(1+0.4*AF104),0)))*(1000/'Rules &amp; Formulas'!B19)*MIN(0.95,'Rules &amp; Formulas'!B20*SQRT(1+0.55*(AG104&gt;=1))),0))))&lt;='Rules &amp; Formulas'!B12),"WIN","LOSE"),"")</f>
        <v/>
      </c>
      <c r="Y105" s="7">
        <f>IF(B105="Go AFK",MIN(IF(B105="Go AFK",IF(D105="",0,D105),0),Z104/60),"")</f>
        <v/>
      </c>
      <c r="Z105" s="7">
        <f>('Rules &amp; Formulas'!B13+30*AI105)</f>
        <v/>
      </c>
      <c r="AA105">
        <f>COUNTIFS($B$3:$B105,"Buy upgrade",$C$3:$C105,"Idle Power")</f>
        <v/>
      </c>
      <c r="AB105">
        <f>COUNTIFS($B$3:$B105,"Buy upgrade",$C$3:$C105,"Iron Blade")</f>
        <v/>
      </c>
      <c r="AC105">
        <f>COUNTIFS($B$3:$B105,"Buy upgrade",$C$3:$C105,"Steel Blade")</f>
        <v/>
      </c>
      <c r="AD105">
        <f>COUNTIFS($B$3:$B105,"Hire hunter",$C$3:$C105,"Briar")+COUNTIFS($B$3:$B105,"Buy upgrade",$C$3:$C105,"Hire Briar")</f>
        <v/>
      </c>
      <c r="AE105">
        <f>COUNTIFS($B$3:$B105,"Buy upgrade",$C$3:$C105,"Hunter Power")</f>
        <v/>
      </c>
      <c r="AF105">
        <f>COUNTIFS($B$3:$B105,"Buy upgrade",$C$3:$C105,"Bigger Hits")</f>
        <v/>
      </c>
      <c r="AG105">
        <f>COUNTIFS($B$3:$B105,"Buy upgrade",$C$3:$C105,"Swift Walk")</f>
        <v/>
      </c>
      <c r="AH105">
        <f>COUNTIFS($B$3:$B105,"Buy upgrade",$C$3:$C105,"Loot Luck")</f>
        <v/>
      </c>
      <c r="AI105">
        <f>COUNTIFS($B$3:$B105,"Buy upgrade",$C$3:$C105,"Offline Cap")</f>
        <v/>
      </c>
      <c r="AJ105">
        <f>COUNTIFS($B$3:$B105,"Buy upgrade",$C$3:$C105,"Bigger Food Stock")</f>
        <v/>
      </c>
      <c r="AK105">
        <f>COUNTIFS($B$3:$B105,"Buy upgrade",$C$3:$C105,"Food Efficiency")</f>
        <v/>
      </c>
    </row>
    <row r="106">
      <c r="A106" t="n">
        <v>104</v>
      </c>
      <c r="B106" s="6" t="n"/>
      <c r="C106" s="6" t="n"/>
      <c r="D106" s="6" t="n"/>
      <c r="E106" s="7">
        <f>IF(B106="","",IF(OR(B106="Hunt",B106="Go AFK"),IF(C106="","Can't","OK"),IF(B106="Fight boss",IF(I105&lt;IF((IFERROR(VLOOKUP(C106,Monsters!$T$4:$AH$15,15,FALSE),0))=0,120,IFERROR(VLOOKUP(C106,Monsters!$T$4:$AH$15,15,FALSE),0)),"Can't","OK"),IF(B106="Hire hunter",IF(AND(C106="Briar",AD105&gt;=1),"Can't",IF(H105&lt;IF(C106="Briar",140,IF(C106="Quill",3650,IF(C106="Moss",4850,IF(C106="Ember",12200,0)))),"Can't","OK")),IF(OR(B106="Buy upgrade",B106="Forge/Scrapwork buy"),IF(IFERROR(VLOOKUP(C106,Upgrades!$N$4:$T$47,2,FALSE),0)="points","Can't",IF(IFERROR(VLOOKUP(C106,Upgrades!$N$4:$T$47,2,FALSE),0)="gold",IF(H105&lt;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buy",$C$3:$C105,C106))),1),0),"Can't","OK"),IF(IFERROR(VLOOKUP(C106,Upgrades!$N$4:$T$47,2,FALSE),0)="scraps",IF(J105&lt;IFERROR(FLOOR(IFERROR(VLOOKUP(C106,Upgrades!$N$4:$T$47,3,FALSE),0)*(IFERROR(VLOOKUP(C106,Upgrades!$N$4:$T$47,4,FALSE),0)^(COUNTIFS($B$3:$B105,"Buy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buy",$C$3:$C105,C106))),1),0),"Can't","OK"),IF(IFERROR(VLOOKUP(C106,Upgrades!$N$4:$T$47,2,FALSE),0)="mats","Can't","OK")))),"Check")))))</f>
        <v/>
      </c>
      <c r="F106" s="7">
        <f>IF(B106="","",IF(AND(B106="Fight boss",I105&lt;IF((IFERROR(VLOOKUP(C106,Monsters!$T$4:$AH$15,15,FALSE),0))=0,120,IFERROR(VLOOKUP(C106,Monsters!$T$4:$AH$15,15,FALSE),0))),"Can't — need "&amp;TEXT(IF((IFERROR(VLOOKUP(C106,Monsters!$T$4:$AH$15,15,FALSE),0))=0,120,IFERROR(VLOOKUP(C106,Monsters!$T$4:$AH$15,15,FALSE),0))-I105,"0.0")&amp;" more Slayer points on the meter",IF(AND(B106="Hire hunter",C106="Briar",AD105&gt;=1),"Can't — already hired",IF(AND(B106="Hire hunter",H105&lt;IF(C106="Briar",140,IF(C106="Quill",3650,IF(C106="Moss",4850,IF(C106="Ember",12200,0))))),"Can't — need "&amp;TEXT(IF(C106="Briar",140,IF(C106="Quill",3650,IF(C106="Moss",4850,IF(C106="Ember",12200,0))))-H105,"0")&amp;" more gold",IF(AND(OR(B106="Buy upgrade",B106="Forge/Scrapwork buy"),IFERROR(VLOOKUP(C106,Upgrades!$N$4:$T$47,2,FALSE),0)="points"),"Can't — Sp-wallet spends not tracked here",IF(AND(OR(B106="Buy upgrade",B106="Forge/Scrapwork buy"),IFERROR(VLOOKUP(C106,Upgrades!$N$4:$T$47,2,FALSE),0)="gold",H105&lt;IFERROR(FLOOR(IFERROR(VLOOKUP(C106,Upgrades!$N$4:$T$47,3,FALSE),0)*(IFERROR(VLOOKUP(C106,Upgrades!$N$4:$T$47,4,FALSE),0)^(COUNTIFS($B$3:$B105,"Buy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buy",$C$3:$C105,C106))),1),0)),"Can't — need "&amp;TEXT(IFERROR(FLOOR(IFERROR(VLOOKUP(C106,Upgrades!$N$4:$T$47,3,FALSE),0)*(IFERROR(VLOOKUP(C106,Upgrades!$N$4:$T$47,4,FALSE),0)^(COUNTIFS($B$3:$B105,"Buy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buy",$C$3:$C105,C106))),1),0)-H105,"0")&amp;" more gold",IF(AND(OR(B106="Buy upgrade",B106="Forge/Scrapwork buy"),IFERROR(VLOOKUP(C106,Upgrades!$N$4:$T$47,2,FALSE),0)="scraps",J105&lt;IFERROR(FLOOR(IFERROR(VLOOKUP(C106,Upgrades!$N$4:$T$47,3,FALSE),0)*(IFERROR(VLOOKUP(C106,Upgrades!$N$4:$T$47,4,FALSE),0)^(COUNTIFS($B$3:$B105,"Buy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buy",$C$3:$C105,C106))),1),0)),"Can't — need "&amp;TEXT(IFERROR(FLOOR(IFERROR(VLOOKUP(C106,Upgrades!$N$4:$T$47,3,FALSE),0)*(IFERROR(VLOOKUP(C106,Upgrades!$N$4:$T$47,4,FALSE),0)^(COUNTIFS($B$3:$B105,"Buy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buy",$C$3:$C105,C106))),1),0)-J105,"0")&amp;" more scraps",IF(AND(B106="Fight boss",E106="OK",(IF((((105/'Rules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Formulas'!B12)),"WIN — boss down, next Level unlocks",IF(AND(B106="Fight boss",E106="OK"),"LOSE — TTK "&amp;TEXT(IF((((105/'Rules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Formulas'!B20*SQRT(1+0.55*(AG105&gt;=1))),0)))),"0")&amp;"s &gt; patience "&amp;TEXT('Rules &amp; Formulas'!B12,"0")&amp;"s (leave resets HP)",IF(B106="Go AFK","AFK resolved (see AFK counted h)","Applied")))))))))</f>
        <v/>
      </c>
      <c r="G106" s="7">
        <f>IF(AND((E106="OK"),B106="Fight boss",(IF((((105/'Rules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Formulas'!B12),C106="Elder Thornpelt"),2,IF(AND((E106="OK"),B106="Fight boss",(IF((((105/'Rules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Formulas'!B12),C106="Ashfang Alpha"),3,G105))</f>
        <v/>
      </c>
      <c r="H106" s="7">
        <f>MAX(0,H105+IF(AND((E106="OK"),B106="Hunt"),(IF(B106="Hunt",(('Rules &amp; Formulas'!B4*N105*('Rules &amp; Formulas'!B5+O105)*IFERROR(VLOOKUP(C106,Monsters!$T$4:$AH$15,10,FALSE),0)*IFERROR(VLOOKUP(C106,Monsters!$T$4:$AH$15,9,FALSE),0))*'Rules &amp; Formulas'!B6)*IF(D106="",0,D106),0))*(IFERROR(VLOOKUP(C106,Monsters!$T$4:$AH$15,3,FALSE),0))*(1+0.1*AH105)+(IF(OR(B106&lt;&gt;"Hunt",IFERROR(VLOOKUP(C106,Monsters!$T$4:$AH$15,6,FALSE),0)=0),0,FLOOR((IF(B106="Hunt",(('Rules &amp; Formulas'!B4*N105*('Rules &amp; Formulas'!B5+O105)*IFERROR(VLOOKUP(C106,Monsters!$T$4:$AH$15,10,FALSE),0)*IFERROR(VLOOKUP(C106,Monsters!$T$4:$AH$15,9,FALSE),0))*'Rules &amp; Formulas'!B6)*IF(D106="",0,D106),0))/MAX(1,IFERROR(VLOOKUP(C106,Monsters!$T$4:$AH$15,6,FALSE),0)),1)))*(IFERROR(VLOOKUP(C106,Monsters!$T$4:$AH$15,7,FALSE),0))*0.5*(1+0.1*AH105),0)+IF(AND((E106="OK"),B106="Go AFK"),(IF(B106="Go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AFK",IF(D106="",0,D106),0),Z105/60)*60)),0))*(IFERROR(VLOOKUP(C106,Monsters!$T$4:$AH$15,3,FALSE),0))*(1+0.1*AH105)+(IF(OR(B106&lt;&gt;"Go AFK",IFERROR(VLOOKUP(C106,Monsters!$T$4:$AH$15,6,FALSE),0)=0),0,FLOOR((IF(B106="Go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AFK",IF(D106="",0,D106),0),Z105/60)*60)),0))/MAX(1,IFERROR(VLOOKUP(C106,Monsters!$T$4:$AH$15,6,FALSE),0)),1)))*(IFERROR(VLOOKUP(C106,Monsters!$T$4:$AH$15,7,FALSE),0))*0.5*(1+0.1*AH105),0)+IF(AND((E106="OK"),B106="Fight boss",(IF((((105/'Rules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Formulas'!B12)),IFERROR(VLOOKUP(C106,Monsters!$T$4:$AH$15,3,FALSE),0),0)-IF(AND((E106="OK"),OR(B106="Buy upgrade",B106="Forge/Scrapwork buy"),IFERROR(VLOOKUP(C106,Upgrades!$N$4:$T$47,2,FALSE),0)="gold"),IFERROR(FLOOR(IFERROR(VLOOKUP(C106,Upgrades!$N$4:$T$47,3,FALSE),0)*(IFERROR(VLOOKUP(C106,Upgrades!$N$4:$T$47,4,FALSE),0)^(COUNTIFS($B$3:$B105,"Buy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buy",$C$3:$C105,C106))),1),0),0)-IF(AND((E106="OK"),B106="Hire hunter"),IF(C106="Briar",140,IF(C106="Quill",3650,IF(C106="Moss",4850,IF(C106="Ember",12200,0)))),0))</f>
        <v/>
      </c>
      <c r="I106" s="7">
        <f>IF(AND((E106="OK"),B106="Fight boss",(IF((((105/'Rules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Formulas'!B12)),0,MIN(IF(G105&lt;=1,120,IF(G105=2,280,600)),I105+IF(AND((E106="OK"),B106="Hunt"),((IF(B106="Hunt",(('Rules &amp; Formulas'!B4*N105*('Rules &amp; Formulas'!B5+O105)*IFERROR(VLOOKUP(C106,Monsters!$T$4:$AH$15,10,FALSE),0)*IFERROR(VLOOKUP(C106,Monsters!$T$4:$AH$15,9,FALSE),0))*'Rules &amp; Formulas'!B6)*IF(D106="",0,D106),0))*(IFERROR(VLOOKUP(C106,Monsters!$T$4:$AH$15,4,FALSE),0))+(IF(OR(B106&lt;&gt;"Hunt",IFERROR(VLOOKUP(C106,Monsters!$T$4:$AH$15,6,FALSE),0)=0),0,FLOOR((IF(B106="Hunt",(('Rules &amp; Formulas'!B4*N105*('Rules &amp; Formulas'!B5+O105)*IFERROR(VLOOKUP(C106,Monsters!$T$4:$AH$15,10,FALSE),0)*IFERROR(VLOOKUP(C106,Monsters!$T$4:$AH$15,9,FALSE),0))*'Rules &amp; Formulas'!B6)*IF(D106="",0,D106),0))/MAX(1,IFERROR(VLOOKUP(C106,Monsters!$T$4:$AH$15,6,FALSE),0)),1)))*(IFERROR(VLOOKUP(C106,Monsters!$T$4:$AH$15,7,FALSE),0))),0)+IF(AND((E106="OK"),B106="Go AFK"),((IF(B106="Go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AFK",IF(D106="",0,D106),0),Z105/60)*60)),0))*(IFERROR(VLOOKUP(C106,Monsters!$T$4:$AH$15,4,FALSE),0))+(IF(OR(B106&lt;&gt;"Go AFK",IFERROR(VLOOKUP(C106,Monsters!$T$4:$AH$15,6,FALSE),0)=0),0,FLOOR((IF(B106="Go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AFK",IF(D106="",0,D106),0),Z105/60)*60)),0))/MAX(1,IFERROR(VLOOKUP(C106,Monsters!$T$4:$AH$15,6,FALSE),0)),1)))*(IFERROR(VLOOKUP(C106,Monsters!$T$4:$AH$15,7,FALSE),0))),0)))</f>
        <v/>
      </c>
      <c r="J106" s="7">
        <f>MAX(0,J105+IF(AND((E106="OK"),B106="Hunt"),(IF(B106="Hunt",(('Rules &amp; Formulas'!B4*N105*('Rules &amp; Formulas'!B5+O105)*IFERROR(VLOOKUP(C106,Monsters!$T$4:$AH$15,10,FALSE),0)*IFERROR(VLOOKUP(C106,Monsters!$T$4:$AH$15,9,FALSE),0))*'Rules &amp; Formulas'!B6)*IF(D106="",0,D106),0))*(IFERROR(VLOOKUP(C106,Monsters!$T$4:$AH$15,5,FALSE),0)),0)+IF(AND((E106="OK"),B106="Go AFK"),(IF(B106="Go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AFK",IF(D106="",0,D106),0),Z105/60)*60)),0))*(IFERROR(VLOOKUP(C106,Monsters!$T$4:$AH$15,5,FALSE),0)),0)-IF(AND((E106="OK"),OR(B106="Buy upgrade",B106="Forge/Scrapwork buy"),IFERROR(VLOOKUP(C106,Upgrades!$N$4:$T$47,2,FALSE),0)="scraps"),IFERROR(FLOOR(IFERROR(VLOOKUP(C106,Upgrades!$N$4:$T$47,3,FALSE),0)*(IFERROR(VLOOKUP(C106,Upgrades!$N$4:$T$47,4,FALSE),0)^(COUNTIFS($B$3:$B105,"Buy upgrade",$C$3:$C105,C106)+COUNTIFS($B$3:$B105,"Hire hunter",$C$3:$C105,C106)+COUNTIFS($B$3:$B105,"Forge/Scrapwork buy",$C$3:$C105,C106))),1),0),0))</f>
        <v/>
      </c>
      <c r="K106" s="7">
        <f>MAX(0,K105+IF(AND((E106="OK"),B106="Hunt"),IF(C106="Thornpelt Bear",(IF(B106="Hunt",(('Rules &amp; Formulas'!B4*N105*('Rules &amp; Formulas'!B5+O105)*IFERROR(VLOOKUP(C106,Monsters!$T$4:$AH$15,10,FALSE),0)*IFERROR(VLOOKUP(C106,Monsters!$T$4:$AH$15,9,FALSE),0))*'Rules &amp; Formulas'!B6)*IF(D106="",0,D106),0))*0.12,0),0)+IF(AND((E106="OK"),B106="Go AFK"),IF(C106="Thornpelt Bear",(IF(B106="Go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AFK",IF(D106="",0,D106),0),Z105/60)*60)),0))*0.12,0),0))</f>
        <v/>
      </c>
      <c r="L106" s="7">
        <f>MAX(0,L105+IF(AND((E106="OK"),B106="Hunt"),IF(C106="Dire Thornpelt",(IF(B106="Hunt",(('Rules &amp; Formulas'!B4*N105*('Rules &amp; Formulas'!B5+O105)*IFERROR(VLOOKUP(C106,Monsters!$T$4:$AH$15,10,FALSE),0)*IFERROR(VLOOKUP(C106,Monsters!$T$4:$AH$15,9,FALSE),0))*'Rules &amp; Formulas'!B6)*IF(D106="",0,D106),0))*0.1,0),0)+IF(AND((E106="OK"),B106="Go AFK"),IF(C106="Dire Thornpelt",(IF(B106="Go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AFK",IF(D106="",0,D106),0),Z105/60)*60)),0))*0.1,0),0))</f>
        <v/>
      </c>
      <c r="M106" s="7">
        <f>IF(AND((E106="OK"),B106="Go AFK"),MAX(0,MIN(('Rules &amp; Formulas'!B15+25*AJ105),M105+('Rules &amp; Formulas'!B14+0.4*AJ105)*(MIN(IF(B106="Go AFK",IF(D106="",0,D106),0),Z105/60)*60))-(IF(B106="Go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AFK",IF(D106="",0,D106),0),Z105/60)*60)),0))*(IF((IFERROR(VLOOKUP(C106,Monsters!$T$4:$AH$15,8,FALSE),0))=0,0.35,IFERROR(VLOOKUP(C106,Monsters!$T$4:$AH$15,8,FALSE),0))/(1+0.08*AK105))),MIN(('Rules &amp; Formulas'!B15+25*AJ106),M105))</f>
        <v/>
      </c>
      <c r="N106" s="7">
        <f>(1+0.08+0.12*AA106+0.12*AB106+0.16*AC106)</f>
        <v/>
      </c>
      <c r="O106" s="7">
        <f>((AD106&gt;=1)*1*(1+0.3*AE106))</f>
        <v/>
      </c>
      <c r="P106" s="7">
        <f>IF(OR(B106="Hunt",B106="Go AFK"),(('Rules &amp; Formulas'!B4*N105*('Rules &amp; Formulas'!B5+O105)*IFERROR(VLOOKUP(C106,Monsters!$T$4:$AH$15,10,FALSE),0)*IFERROR(VLOOKUP(C106,Monsters!$T$4:$AH$15,9,FALSE),0))*'Rules &amp; Formulas'!B6),"")</f>
        <v/>
      </c>
      <c r="Q106" s="7">
        <f>IF(OR(B106="Hunt",B106="Go AFK"),('Rules &amp; Formulas'!B4*N105*('Rules &amp; Formulas'!B5+O105)*IFERROR(VLOOKUP(C106,Monsters!$T$4:$AH$15,10,FALSE),0)*IFERROR(VLOOKUP(C106,Monsters!$T$4:$AH$15,9,FALSE),0)),"")</f>
        <v/>
      </c>
      <c r="R106" s="7">
        <f>IF(AND((E106="OK"),B106="Hunt"),IF(B106="Hunt",(('Rules &amp; Formulas'!B4*N105*('Rules &amp; Formulas'!B5+O105)*IFERROR(VLOOKUP(C106,Monsters!$T$4:$AH$15,10,FALSE),0)*IFERROR(VLOOKUP(C106,Monsters!$T$4:$AH$15,9,FALSE),0))*'Rules &amp; Formulas'!B6)*IF(D106="",0,D106),0),IF(AND((E106="OK"),B106="Go AFK"),IF(B106="Go AFK",MIN(IF((IF((IFERROR(VLOOKUP(C106,Monsters!$T$4:$AH$15,8,FALSE),0))=0,0.35,IFERROR(VLOOKUP(C106,Monsters!$T$4:$AH$15,8,FALSE),0))/(1+0.08*AK105))&lt;=0,999999,FLOOR(MIN(('Rules &amp; Formulas'!B15+25*AJ105),M105+('Rules &amp; Formulas'!B14+0.4*AJ105)*(MIN(IF(B106="Go AFK",IF(D106="",0,D106),0),Z105/60)*60))/(IF((IFERROR(VLOOKUP(C106,Monsters!$T$4:$AH$15,8,FALSE),0))=0,0.35,IFERROR(VLOOKUP(C106,Monsters!$T$4:$AH$15,8,FALSE),0))/(1+0.08*AK105)),1)),('Rules &amp; Formulas'!B4*N105*('Rules &amp; Formulas'!B5+O105)*IFERROR(VLOOKUP(C106,Monsters!$T$4:$AH$15,10,FALSE),0)*IFERROR(VLOOKUP(C106,Monsters!$T$4:$AH$15,9,FALSE),0))*(MIN(IF(B106="Go AFK",IF(D106="",0,D106),0),Z105/60)*60)),0),0))</f>
        <v/>
      </c>
      <c r="S106" s="7">
        <f>(105/'Rules &amp; Formulas'!B10)*'Rules &amp; Formulas'!B11</f>
        <v/>
      </c>
      <c r="T106" s="7">
        <f>IF(AD105&gt;=1,(MAX(1,ROUND('Rules &amp; Formulas'!B18*(1+0.3*AE105)*(1+0.4*AF105),0)))*(1000/'Rules &amp; Formulas'!B19)*MIN(0.95,'Rules &amp; Formulas'!B20*SQRT(1+0.55*(AG105&gt;=1))),0)</f>
        <v/>
      </c>
      <c r="U106" s="7">
        <f>S106+T106</f>
        <v/>
      </c>
      <c r="V106" s="7">
        <f>IF(I105&gt;=IF((IFERROR(VLOOKUP(C106,Monsters!$T$4:$AH$15,15,FALSE),0))=0,120,IFERROR(VLOOKUP(C106,Monsters!$T$4:$AH$15,15,FALSE),0)),"YES","no")</f>
        <v/>
      </c>
      <c r="W106" s="7">
        <f>IF(AND(B106="Fight boss",E106="OK"),IF((((105/'Rules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Formulas'!B20*SQRT(1+0.55*(AG105&gt;=1))),0)))),"")</f>
        <v/>
      </c>
      <c r="X106" s="7">
        <f>IF(AND(B106="Fight boss",E106="OK"),IF((IF((((105/'Rules &amp; Formulas'!B10)*'Rules &amp; Formulas'!B11+IF(AD105&gt;=1,(MAX(1,ROUND('Rules &amp; Formulas'!B18*(1+0.3*AE105)*(1+0.4*AF105),0)))*(1000/'Rules &amp; Formulas'!B19)*MIN(0.95,'Rules &amp; Formulas'!B20*SQRT(1+0.55*(AG105&gt;=1))),0)))&lt;=0,9999,(IFERROR(VLOOKUP(C106,Monsters!$T$4:$AH$15,2,FALSE),0))/(((105/'Rules &amp; Formulas'!B10)*'Rules &amp; Formulas'!B11+IF(AD105&gt;=1,(MAX(1,ROUND('Rules &amp; Formulas'!B18*(1+0.3*AE105)*(1+0.4*AF105),0)))*(1000/'Rules &amp; Formulas'!B19)*MIN(0.95,'Rules &amp; Formulas'!B20*SQRT(1+0.55*(AG105&gt;=1))),0))))&lt;='Rules &amp; Formulas'!B12),"WIN","LOSE"),"")</f>
        <v/>
      </c>
      <c r="Y106" s="7">
        <f>IF(B106="Go AFK",MIN(IF(B106="Go AFK",IF(D106="",0,D106),0),Z105/60),"")</f>
        <v/>
      </c>
      <c r="Z106" s="7">
        <f>('Rules &amp; Formulas'!B13+30*AI106)</f>
        <v/>
      </c>
      <c r="AA106">
        <f>COUNTIFS($B$3:$B106,"Buy upgrade",$C$3:$C106,"Idle Power")</f>
        <v/>
      </c>
      <c r="AB106">
        <f>COUNTIFS($B$3:$B106,"Buy upgrade",$C$3:$C106,"Iron Blade")</f>
        <v/>
      </c>
      <c r="AC106">
        <f>COUNTIFS($B$3:$B106,"Buy upgrade",$C$3:$C106,"Steel Blade")</f>
        <v/>
      </c>
      <c r="AD106">
        <f>COUNTIFS($B$3:$B106,"Hire hunter",$C$3:$C106,"Briar")+COUNTIFS($B$3:$B106,"Buy upgrade",$C$3:$C106,"Hire Briar")</f>
        <v/>
      </c>
      <c r="AE106">
        <f>COUNTIFS($B$3:$B106,"Buy upgrade",$C$3:$C106,"Hunter Power")</f>
        <v/>
      </c>
      <c r="AF106">
        <f>COUNTIFS($B$3:$B106,"Buy upgrade",$C$3:$C106,"Bigger Hits")</f>
        <v/>
      </c>
      <c r="AG106">
        <f>COUNTIFS($B$3:$B106,"Buy upgrade",$C$3:$C106,"Swift Walk")</f>
        <v/>
      </c>
      <c r="AH106">
        <f>COUNTIFS($B$3:$B106,"Buy upgrade",$C$3:$C106,"Loot Luck")</f>
        <v/>
      </c>
      <c r="AI106">
        <f>COUNTIFS($B$3:$B106,"Buy upgrade",$C$3:$C106,"Offline Cap")</f>
        <v/>
      </c>
      <c r="AJ106">
        <f>COUNTIFS($B$3:$B106,"Buy upgrade",$C$3:$C106,"Bigger Food Stock")</f>
        <v/>
      </c>
      <c r="AK106">
        <f>COUNTIFS($B$3:$B106,"Buy upgrade",$C$3:$C106,"Food Efficiency")</f>
        <v/>
      </c>
    </row>
    <row r="107">
      <c r="A107" t="n">
        <v>105</v>
      </c>
      <c r="B107" s="6" t="n"/>
      <c r="C107" s="6" t="n"/>
      <c r="D107" s="6" t="n"/>
      <c r="E107" s="7">
        <f>IF(B107="","",IF(OR(B107="Hunt",B107="Go AFK"),IF(C107="","Can't","OK"),IF(B107="Fight boss",IF(I106&lt;IF((IFERROR(VLOOKUP(C107,Monsters!$T$4:$AH$15,15,FALSE),0))=0,120,IFERROR(VLOOKUP(C107,Monsters!$T$4:$AH$15,15,FALSE),0)),"Can't","OK"),IF(B107="Hire hunter",IF(AND(C107="Briar",AD106&gt;=1),"Can't",IF(H106&lt;IF(C107="Briar",140,IF(C107="Quill",3650,IF(C107="Moss",4850,IF(C107="Ember",12200,0)))),"Can't","OK")),IF(OR(B107="Buy upgrade",B107="Forge/Scrapwork buy"),IF(IFERROR(VLOOKUP(C107,Upgrades!$N$4:$T$47,2,FALSE),0)="points","Can't",IF(IFERROR(VLOOKUP(C107,Upgrades!$N$4:$T$47,2,FALSE),0)="gold",IF(H106&lt;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buy",$C$3:$C106,C107))),1),0),"Can't","OK"),IF(IFERROR(VLOOKUP(C107,Upgrades!$N$4:$T$47,2,FALSE),0)="scraps",IF(J106&lt;IFERROR(FLOOR(IFERROR(VLOOKUP(C107,Upgrades!$N$4:$T$47,3,FALSE),0)*(IFERROR(VLOOKUP(C107,Upgrades!$N$4:$T$47,4,FALSE),0)^(COUNTIFS($B$3:$B106,"Buy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buy",$C$3:$C106,C107))),1),0),"Can't","OK"),IF(IFERROR(VLOOKUP(C107,Upgrades!$N$4:$T$47,2,FALSE),0)="mats","Can't","OK")))),"Check")))))</f>
        <v/>
      </c>
      <c r="F107" s="7">
        <f>IF(B107="","",IF(AND(B107="Fight boss",I106&lt;IF((IFERROR(VLOOKUP(C107,Monsters!$T$4:$AH$15,15,FALSE),0))=0,120,IFERROR(VLOOKUP(C107,Monsters!$T$4:$AH$15,15,FALSE),0))),"Can't — need "&amp;TEXT(IF((IFERROR(VLOOKUP(C107,Monsters!$T$4:$AH$15,15,FALSE),0))=0,120,IFERROR(VLOOKUP(C107,Monsters!$T$4:$AH$15,15,FALSE),0))-I106,"0.0")&amp;" more Slayer points on the meter",IF(AND(B107="Hire hunter",C107="Briar",AD106&gt;=1),"Can't — already hired",IF(AND(B107="Hire hunter",H106&lt;IF(C107="Briar",140,IF(C107="Quill",3650,IF(C107="Moss",4850,IF(C107="Ember",12200,0))))),"Can't — need "&amp;TEXT(IF(C107="Briar",140,IF(C107="Quill",3650,IF(C107="Moss",4850,IF(C107="Ember",12200,0))))-H106,"0")&amp;" more gold",IF(AND(OR(B107="Buy upgrade",B107="Forge/Scrapwork buy"),IFERROR(VLOOKUP(C107,Upgrades!$N$4:$T$47,2,FALSE),0)="points"),"Can't — Sp-wallet spends not tracked here",IF(AND(OR(B107="Buy upgrade",B107="Forge/Scrapwork buy"),IFERROR(VLOOKUP(C107,Upgrades!$N$4:$T$47,2,FALSE),0)="gold",H106&lt;IFERROR(FLOOR(IFERROR(VLOOKUP(C107,Upgrades!$N$4:$T$47,3,FALSE),0)*(IFERROR(VLOOKUP(C107,Upgrades!$N$4:$T$47,4,FALSE),0)^(COUNTIFS($B$3:$B106,"Buy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buy",$C$3:$C106,C107))),1),0)),"Can't — need "&amp;TEXT(IFERROR(FLOOR(IFERROR(VLOOKUP(C107,Upgrades!$N$4:$T$47,3,FALSE),0)*(IFERROR(VLOOKUP(C107,Upgrades!$N$4:$T$47,4,FALSE),0)^(COUNTIFS($B$3:$B106,"Buy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buy",$C$3:$C106,C107))),1),0)-H106,"0")&amp;" more gold",IF(AND(OR(B107="Buy upgrade",B107="Forge/Scrapwork buy"),IFERROR(VLOOKUP(C107,Upgrades!$N$4:$T$47,2,FALSE),0)="scraps",J106&lt;IFERROR(FLOOR(IFERROR(VLOOKUP(C107,Upgrades!$N$4:$T$47,3,FALSE),0)*(IFERROR(VLOOKUP(C107,Upgrades!$N$4:$T$47,4,FALSE),0)^(COUNTIFS($B$3:$B106,"Buy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buy",$C$3:$C106,C107))),1),0)),"Can't — need "&amp;TEXT(IFERROR(FLOOR(IFERROR(VLOOKUP(C107,Upgrades!$N$4:$T$47,3,FALSE),0)*(IFERROR(VLOOKUP(C107,Upgrades!$N$4:$T$47,4,FALSE),0)^(COUNTIFS($B$3:$B106,"Buy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buy",$C$3:$C106,C107))),1),0)-J106,"0")&amp;" more scraps",IF(AND(B107="Fight boss",E107="OK",(IF((((105/'Rules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Formulas'!B12)),"WIN — boss down, next Level unlocks",IF(AND(B107="Fight boss",E107="OK"),"LOSE — TTK "&amp;TEXT(IF((((105/'Rules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Formulas'!B20*SQRT(1+0.55*(AG106&gt;=1))),0)))),"0")&amp;"s &gt; patience "&amp;TEXT('Rules &amp; Formulas'!B12,"0")&amp;"s (leave resets HP)",IF(B107="Go AFK","AFK resolved (see AFK counted h)","Applied")))))))))</f>
        <v/>
      </c>
      <c r="G107" s="7">
        <f>IF(AND((E107="OK"),B107="Fight boss",(IF((((105/'Rules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Formulas'!B12),C107="Elder Thornpelt"),2,IF(AND((E107="OK"),B107="Fight boss",(IF((((105/'Rules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Formulas'!B12),C107="Ashfang Alpha"),3,G106))</f>
        <v/>
      </c>
      <c r="H107" s="7">
        <f>MAX(0,H106+IF(AND((E107="OK"),B107="Hunt"),(IF(B107="Hunt",(('Rules &amp; Formulas'!B4*N106*('Rules &amp; Formulas'!B5+O106)*IFERROR(VLOOKUP(C107,Monsters!$T$4:$AH$15,10,FALSE),0)*IFERROR(VLOOKUP(C107,Monsters!$T$4:$AH$15,9,FALSE),0))*'Rules &amp; Formulas'!B6)*IF(D107="",0,D107),0))*(IFERROR(VLOOKUP(C107,Monsters!$T$4:$AH$15,3,FALSE),0))*(1+0.1*AH106)+(IF(OR(B107&lt;&gt;"Hunt",IFERROR(VLOOKUP(C107,Monsters!$T$4:$AH$15,6,FALSE),0)=0),0,FLOOR((IF(B107="Hunt",(('Rules &amp; Formulas'!B4*N106*('Rules &amp; Formulas'!B5+O106)*IFERROR(VLOOKUP(C107,Monsters!$T$4:$AH$15,10,FALSE),0)*IFERROR(VLOOKUP(C107,Monsters!$T$4:$AH$15,9,FALSE),0))*'Rules &amp; Formulas'!B6)*IF(D107="",0,D107),0))/MAX(1,IFERROR(VLOOKUP(C107,Monsters!$T$4:$AH$15,6,FALSE),0)),1)))*(IFERROR(VLOOKUP(C107,Monsters!$T$4:$AH$15,7,FALSE),0))*0.5*(1+0.1*AH106),0)+IF(AND((E107="OK"),B107="Go AFK"),(IF(B107="Go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AFK",IF(D107="",0,D107),0),Z106/60)*60)),0))*(IFERROR(VLOOKUP(C107,Monsters!$T$4:$AH$15,3,FALSE),0))*(1+0.1*AH106)+(IF(OR(B107&lt;&gt;"Go AFK",IFERROR(VLOOKUP(C107,Monsters!$T$4:$AH$15,6,FALSE),0)=0),0,FLOOR((IF(B107="Go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AFK",IF(D107="",0,D107),0),Z106/60)*60)),0))/MAX(1,IFERROR(VLOOKUP(C107,Monsters!$T$4:$AH$15,6,FALSE),0)),1)))*(IFERROR(VLOOKUP(C107,Monsters!$T$4:$AH$15,7,FALSE),0))*0.5*(1+0.1*AH106),0)+IF(AND((E107="OK"),B107="Fight boss",(IF((((105/'Rules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Formulas'!B12)),IFERROR(VLOOKUP(C107,Monsters!$T$4:$AH$15,3,FALSE),0),0)-IF(AND((E107="OK"),OR(B107="Buy upgrade",B107="Forge/Scrapwork buy"),IFERROR(VLOOKUP(C107,Upgrades!$N$4:$T$47,2,FALSE),0)="gold"),IFERROR(FLOOR(IFERROR(VLOOKUP(C107,Upgrades!$N$4:$T$47,3,FALSE),0)*(IFERROR(VLOOKUP(C107,Upgrades!$N$4:$T$47,4,FALSE),0)^(COUNTIFS($B$3:$B106,"Buy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buy",$C$3:$C106,C107))),1),0),0)-IF(AND((E107="OK"),B107="Hire hunter"),IF(C107="Briar",140,IF(C107="Quill",3650,IF(C107="Moss",4850,IF(C107="Ember",12200,0)))),0))</f>
        <v/>
      </c>
      <c r="I107" s="7">
        <f>IF(AND((E107="OK"),B107="Fight boss",(IF((((105/'Rules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Formulas'!B12)),0,MIN(IF(G106&lt;=1,120,IF(G106=2,280,600)),I106+IF(AND((E107="OK"),B107="Hunt"),((IF(B107="Hunt",(('Rules &amp; Formulas'!B4*N106*('Rules &amp; Formulas'!B5+O106)*IFERROR(VLOOKUP(C107,Monsters!$T$4:$AH$15,10,FALSE),0)*IFERROR(VLOOKUP(C107,Monsters!$T$4:$AH$15,9,FALSE),0))*'Rules &amp; Formulas'!B6)*IF(D107="",0,D107),0))*(IFERROR(VLOOKUP(C107,Monsters!$T$4:$AH$15,4,FALSE),0))+(IF(OR(B107&lt;&gt;"Hunt",IFERROR(VLOOKUP(C107,Monsters!$T$4:$AH$15,6,FALSE),0)=0),0,FLOOR((IF(B107="Hunt",(('Rules &amp; Formulas'!B4*N106*('Rules &amp; Formulas'!B5+O106)*IFERROR(VLOOKUP(C107,Monsters!$T$4:$AH$15,10,FALSE),0)*IFERROR(VLOOKUP(C107,Monsters!$T$4:$AH$15,9,FALSE),0))*'Rules &amp; Formulas'!B6)*IF(D107="",0,D107),0))/MAX(1,IFERROR(VLOOKUP(C107,Monsters!$T$4:$AH$15,6,FALSE),0)),1)))*(IFERROR(VLOOKUP(C107,Monsters!$T$4:$AH$15,7,FALSE),0))),0)+IF(AND((E107="OK"),B107="Go AFK"),((IF(B107="Go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AFK",IF(D107="",0,D107),0),Z106/60)*60)),0))*(IFERROR(VLOOKUP(C107,Monsters!$T$4:$AH$15,4,FALSE),0))+(IF(OR(B107&lt;&gt;"Go AFK",IFERROR(VLOOKUP(C107,Monsters!$T$4:$AH$15,6,FALSE),0)=0),0,FLOOR((IF(B107="Go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AFK",IF(D107="",0,D107),0),Z106/60)*60)),0))/MAX(1,IFERROR(VLOOKUP(C107,Monsters!$T$4:$AH$15,6,FALSE),0)),1)))*(IFERROR(VLOOKUP(C107,Monsters!$T$4:$AH$15,7,FALSE),0))),0)))</f>
        <v/>
      </c>
      <c r="J107" s="7">
        <f>MAX(0,J106+IF(AND((E107="OK"),B107="Hunt"),(IF(B107="Hunt",(('Rules &amp; Formulas'!B4*N106*('Rules &amp; Formulas'!B5+O106)*IFERROR(VLOOKUP(C107,Monsters!$T$4:$AH$15,10,FALSE),0)*IFERROR(VLOOKUP(C107,Monsters!$T$4:$AH$15,9,FALSE),0))*'Rules &amp; Formulas'!B6)*IF(D107="",0,D107),0))*(IFERROR(VLOOKUP(C107,Monsters!$T$4:$AH$15,5,FALSE),0)),0)+IF(AND((E107="OK"),B107="Go AFK"),(IF(B107="Go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AFK",IF(D107="",0,D107),0),Z106/60)*60)),0))*(IFERROR(VLOOKUP(C107,Monsters!$T$4:$AH$15,5,FALSE),0)),0)-IF(AND((E107="OK"),OR(B107="Buy upgrade",B107="Forge/Scrapwork buy"),IFERROR(VLOOKUP(C107,Upgrades!$N$4:$T$47,2,FALSE),0)="scraps"),IFERROR(FLOOR(IFERROR(VLOOKUP(C107,Upgrades!$N$4:$T$47,3,FALSE),0)*(IFERROR(VLOOKUP(C107,Upgrades!$N$4:$T$47,4,FALSE),0)^(COUNTIFS($B$3:$B106,"Buy upgrade",$C$3:$C106,C107)+COUNTIFS($B$3:$B106,"Hire hunter",$C$3:$C106,C107)+COUNTIFS($B$3:$B106,"Forge/Scrapwork buy",$C$3:$C106,C107))),1),0),0))</f>
        <v/>
      </c>
      <c r="K107" s="7">
        <f>MAX(0,K106+IF(AND((E107="OK"),B107="Hunt"),IF(C107="Thornpelt Bear",(IF(B107="Hunt",(('Rules &amp; Formulas'!B4*N106*('Rules &amp; Formulas'!B5+O106)*IFERROR(VLOOKUP(C107,Monsters!$T$4:$AH$15,10,FALSE),0)*IFERROR(VLOOKUP(C107,Monsters!$T$4:$AH$15,9,FALSE),0))*'Rules &amp; Formulas'!B6)*IF(D107="",0,D107),0))*0.12,0),0)+IF(AND((E107="OK"),B107="Go AFK"),IF(C107="Thornpelt Bear",(IF(B107="Go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AFK",IF(D107="",0,D107),0),Z106/60)*60)),0))*0.12,0),0))</f>
        <v/>
      </c>
      <c r="L107" s="7">
        <f>MAX(0,L106+IF(AND((E107="OK"),B107="Hunt"),IF(C107="Dire Thornpelt",(IF(B107="Hunt",(('Rules &amp; Formulas'!B4*N106*('Rules &amp; Formulas'!B5+O106)*IFERROR(VLOOKUP(C107,Monsters!$T$4:$AH$15,10,FALSE),0)*IFERROR(VLOOKUP(C107,Monsters!$T$4:$AH$15,9,FALSE),0))*'Rules &amp; Formulas'!B6)*IF(D107="",0,D107),0))*0.1,0),0)+IF(AND((E107="OK"),B107="Go AFK"),IF(C107="Dire Thornpelt",(IF(B107="Go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AFK",IF(D107="",0,D107),0),Z106/60)*60)),0))*0.1,0),0))</f>
        <v/>
      </c>
      <c r="M107" s="7">
        <f>IF(AND((E107="OK"),B107="Go AFK"),MAX(0,MIN(('Rules &amp; Formulas'!B15+25*AJ106),M106+('Rules &amp; Formulas'!B14+0.4*AJ106)*(MIN(IF(B107="Go AFK",IF(D107="",0,D107),0),Z106/60)*60))-(IF(B107="Go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AFK",IF(D107="",0,D107),0),Z106/60)*60)),0))*(IF((IFERROR(VLOOKUP(C107,Monsters!$T$4:$AH$15,8,FALSE),0))=0,0.35,IFERROR(VLOOKUP(C107,Monsters!$T$4:$AH$15,8,FALSE),0))/(1+0.08*AK106))),MIN(('Rules &amp; Formulas'!B15+25*AJ107),M106))</f>
        <v/>
      </c>
      <c r="N107" s="7">
        <f>(1+0.08+0.12*AA107+0.12*AB107+0.16*AC107)</f>
        <v/>
      </c>
      <c r="O107" s="7">
        <f>((AD107&gt;=1)*1*(1+0.3*AE107))</f>
        <v/>
      </c>
      <c r="P107" s="7">
        <f>IF(OR(B107="Hunt",B107="Go AFK"),(('Rules &amp; Formulas'!B4*N106*('Rules &amp; Formulas'!B5+O106)*IFERROR(VLOOKUP(C107,Monsters!$T$4:$AH$15,10,FALSE),0)*IFERROR(VLOOKUP(C107,Monsters!$T$4:$AH$15,9,FALSE),0))*'Rules &amp; Formulas'!B6),"")</f>
        <v/>
      </c>
      <c r="Q107" s="7">
        <f>IF(OR(B107="Hunt",B107="Go AFK"),('Rules &amp; Formulas'!B4*N106*('Rules &amp; Formulas'!B5+O106)*IFERROR(VLOOKUP(C107,Monsters!$T$4:$AH$15,10,FALSE),0)*IFERROR(VLOOKUP(C107,Monsters!$T$4:$AH$15,9,FALSE),0)),"")</f>
        <v/>
      </c>
      <c r="R107" s="7">
        <f>IF(AND((E107="OK"),B107="Hunt"),IF(B107="Hunt",(('Rules &amp; Formulas'!B4*N106*('Rules &amp; Formulas'!B5+O106)*IFERROR(VLOOKUP(C107,Monsters!$T$4:$AH$15,10,FALSE),0)*IFERROR(VLOOKUP(C107,Monsters!$T$4:$AH$15,9,FALSE),0))*'Rules &amp; Formulas'!B6)*IF(D107="",0,D107),0),IF(AND((E107="OK"),B107="Go AFK"),IF(B107="Go AFK",MIN(IF((IF((IFERROR(VLOOKUP(C107,Monsters!$T$4:$AH$15,8,FALSE),0))=0,0.35,IFERROR(VLOOKUP(C107,Monsters!$T$4:$AH$15,8,FALSE),0))/(1+0.08*AK106))&lt;=0,999999,FLOOR(MIN(('Rules &amp; Formulas'!B15+25*AJ106),M106+('Rules &amp; Formulas'!B14+0.4*AJ106)*(MIN(IF(B107="Go AFK",IF(D107="",0,D107),0),Z106/60)*60))/(IF((IFERROR(VLOOKUP(C107,Monsters!$T$4:$AH$15,8,FALSE),0))=0,0.35,IFERROR(VLOOKUP(C107,Monsters!$T$4:$AH$15,8,FALSE),0))/(1+0.08*AK106)),1)),('Rules &amp; Formulas'!B4*N106*('Rules &amp; Formulas'!B5+O106)*IFERROR(VLOOKUP(C107,Monsters!$T$4:$AH$15,10,FALSE),0)*IFERROR(VLOOKUP(C107,Monsters!$T$4:$AH$15,9,FALSE),0))*(MIN(IF(B107="Go AFK",IF(D107="",0,D107),0),Z106/60)*60)),0),0))</f>
        <v/>
      </c>
      <c r="S107" s="7">
        <f>(105/'Rules &amp; Formulas'!B10)*'Rules &amp; Formulas'!B11</f>
        <v/>
      </c>
      <c r="T107" s="7">
        <f>IF(AD106&gt;=1,(MAX(1,ROUND('Rules &amp; Formulas'!B18*(1+0.3*AE106)*(1+0.4*AF106),0)))*(1000/'Rules &amp; Formulas'!B19)*MIN(0.95,'Rules &amp; Formulas'!B20*SQRT(1+0.55*(AG106&gt;=1))),0)</f>
        <v/>
      </c>
      <c r="U107" s="7">
        <f>S107+T107</f>
        <v/>
      </c>
      <c r="V107" s="7">
        <f>IF(I106&gt;=IF((IFERROR(VLOOKUP(C107,Monsters!$T$4:$AH$15,15,FALSE),0))=0,120,IFERROR(VLOOKUP(C107,Monsters!$T$4:$AH$15,15,FALSE),0)),"YES","no")</f>
        <v/>
      </c>
      <c r="W107" s="7">
        <f>IF(AND(B107="Fight boss",E107="OK"),IF((((105/'Rules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Formulas'!B20*SQRT(1+0.55*(AG106&gt;=1))),0)))),"")</f>
        <v/>
      </c>
      <c r="X107" s="7">
        <f>IF(AND(B107="Fight boss",E107="OK"),IF((IF((((105/'Rules &amp; Formulas'!B10)*'Rules &amp; Formulas'!B11+IF(AD106&gt;=1,(MAX(1,ROUND('Rules &amp; Formulas'!B18*(1+0.3*AE106)*(1+0.4*AF106),0)))*(1000/'Rules &amp; Formulas'!B19)*MIN(0.95,'Rules &amp; Formulas'!B20*SQRT(1+0.55*(AG106&gt;=1))),0)))&lt;=0,9999,(IFERROR(VLOOKUP(C107,Monsters!$T$4:$AH$15,2,FALSE),0))/(((105/'Rules &amp; Formulas'!B10)*'Rules &amp; Formulas'!B11+IF(AD106&gt;=1,(MAX(1,ROUND('Rules &amp; Formulas'!B18*(1+0.3*AE106)*(1+0.4*AF106),0)))*(1000/'Rules &amp; Formulas'!B19)*MIN(0.95,'Rules &amp; Formulas'!B20*SQRT(1+0.55*(AG106&gt;=1))),0))))&lt;='Rules &amp; Formulas'!B12),"WIN","LOSE"),"")</f>
        <v/>
      </c>
      <c r="Y107" s="7">
        <f>IF(B107="Go AFK",MIN(IF(B107="Go AFK",IF(D107="",0,D107),0),Z106/60),"")</f>
        <v/>
      </c>
      <c r="Z107" s="7">
        <f>('Rules &amp; Formulas'!B13+30*AI107)</f>
        <v/>
      </c>
      <c r="AA107">
        <f>COUNTIFS($B$3:$B107,"Buy upgrade",$C$3:$C107,"Idle Power")</f>
        <v/>
      </c>
      <c r="AB107">
        <f>COUNTIFS($B$3:$B107,"Buy upgrade",$C$3:$C107,"Iron Blade")</f>
        <v/>
      </c>
      <c r="AC107">
        <f>COUNTIFS($B$3:$B107,"Buy upgrade",$C$3:$C107,"Steel Blade")</f>
        <v/>
      </c>
      <c r="AD107">
        <f>COUNTIFS($B$3:$B107,"Hire hunter",$C$3:$C107,"Briar")+COUNTIFS($B$3:$B107,"Buy upgrade",$C$3:$C107,"Hire Briar")</f>
        <v/>
      </c>
      <c r="AE107">
        <f>COUNTIFS($B$3:$B107,"Buy upgrade",$C$3:$C107,"Hunter Power")</f>
        <v/>
      </c>
      <c r="AF107">
        <f>COUNTIFS($B$3:$B107,"Buy upgrade",$C$3:$C107,"Bigger Hits")</f>
        <v/>
      </c>
      <c r="AG107">
        <f>COUNTIFS($B$3:$B107,"Buy upgrade",$C$3:$C107,"Swift Walk")</f>
        <v/>
      </c>
      <c r="AH107">
        <f>COUNTIFS($B$3:$B107,"Buy upgrade",$C$3:$C107,"Loot Luck")</f>
        <v/>
      </c>
      <c r="AI107">
        <f>COUNTIFS($B$3:$B107,"Buy upgrade",$C$3:$C107,"Offline Cap")</f>
        <v/>
      </c>
      <c r="AJ107">
        <f>COUNTIFS($B$3:$B107,"Buy upgrade",$C$3:$C107,"Bigger Food Stock")</f>
        <v/>
      </c>
      <c r="AK107">
        <f>COUNTIFS($B$3:$B107,"Buy upgrade",$C$3:$C107,"Food Efficiency")</f>
        <v/>
      </c>
    </row>
    <row r="108">
      <c r="A108" t="n">
        <v>106</v>
      </c>
      <c r="B108" s="6" t="n"/>
      <c r="C108" s="6" t="n"/>
      <c r="D108" s="6" t="n"/>
      <c r="E108" s="7">
        <f>IF(B108="","",IF(OR(B108="Hunt",B108="Go AFK"),IF(C108="","Can't","OK"),IF(B108="Fight boss",IF(I107&lt;IF((IFERROR(VLOOKUP(C108,Monsters!$T$4:$AH$15,15,FALSE),0))=0,120,IFERROR(VLOOKUP(C108,Monsters!$T$4:$AH$15,15,FALSE),0)),"Can't","OK"),IF(B108="Hire hunter",IF(AND(C108="Briar",AD107&gt;=1),"Can't",IF(H107&lt;IF(C108="Briar",140,IF(C108="Quill",3650,IF(C108="Moss",4850,IF(C108="Ember",12200,0)))),"Can't","OK")),IF(OR(B108="Buy upgrade",B108="Forge/Scrapwork buy"),IF(IFERROR(VLOOKUP(C108,Upgrades!$N$4:$T$47,2,FALSE),0)="points","Can't",IF(IFERROR(VLOOKUP(C108,Upgrades!$N$4:$T$47,2,FALSE),0)="gold",IF(H107&lt;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buy",$C$3:$C107,C108))),1),0),"Can't","OK"),IF(IFERROR(VLOOKUP(C108,Upgrades!$N$4:$T$47,2,FALSE),0)="scraps",IF(J107&lt;IFERROR(FLOOR(IFERROR(VLOOKUP(C108,Upgrades!$N$4:$T$47,3,FALSE),0)*(IFERROR(VLOOKUP(C108,Upgrades!$N$4:$T$47,4,FALSE),0)^(COUNTIFS($B$3:$B107,"Buy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buy",$C$3:$C107,C108))),1),0),"Can't","OK"),IF(IFERROR(VLOOKUP(C108,Upgrades!$N$4:$T$47,2,FALSE),0)="mats","Can't","OK")))),"Check")))))</f>
        <v/>
      </c>
      <c r="F108" s="7">
        <f>IF(B108="","",IF(AND(B108="Fight boss",I107&lt;IF((IFERROR(VLOOKUP(C108,Monsters!$T$4:$AH$15,15,FALSE),0))=0,120,IFERROR(VLOOKUP(C108,Monsters!$T$4:$AH$15,15,FALSE),0))),"Can't — need "&amp;TEXT(IF((IFERROR(VLOOKUP(C108,Monsters!$T$4:$AH$15,15,FALSE),0))=0,120,IFERROR(VLOOKUP(C108,Monsters!$T$4:$AH$15,15,FALSE),0))-I107,"0.0")&amp;" more Slayer points on the meter",IF(AND(B108="Hire hunter",C108="Briar",AD107&gt;=1),"Can't — already hired",IF(AND(B108="Hire hunter",H107&lt;IF(C108="Briar",140,IF(C108="Quill",3650,IF(C108="Moss",4850,IF(C108="Ember",12200,0))))),"Can't — need "&amp;TEXT(IF(C108="Briar",140,IF(C108="Quill",3650,IF(C108="Moss",4850,IF(C108="Ember",12200,0))))-H107,"0")&amp;" more gold",IF(AND(OR(B108="Buy upgrade",B108="Forge/Scrapwork buy"),IFERROR(VLOOKUP(C108,Upgrades!$N$4:$T$47,2,FALSE),0)="points"),"Can't — Sp-wallet spends not tracked here",IF(AND(OR(B108="Buy upgrade",B108="Forge/Scrapwork buy"),IFERROR(VLOOKUP(C108,Upgrades!$N$4:$T$47,2,FALSE),0)="gold",H107&lt;IFERROR(FLOOR(IFERROR(VLOOKUP(C108,Upgrades!$N$4:$T$47,3,FALSE),0)*(IFERROR(VLOOKUP(C108,Upgrades!$N$4:$T$47,4,FALSE),0)^(COUNTIFS($B$3:$B107,"Buy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buy",$C$3:$C107,C108))),1),0)),"Can't — need "&amp;TEXT(IFERROR(FLOOR(IFERROR(VLOOKUP(C108,Upgrades!$N$4:$T$47,3,FALSE),0)*(IFERROR(VLOOKUP(C108,Upgrades!$N$4:$T$47,4,FALSE),0)^(COUNTIFS($B$3:$B107,"Buy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buy",$C$3:$C107,C108))),1),0)-H107,"0")&amp;" more gold",IF(AND(OR(B108="Buy upgrade",B108="Forge/Scrapwork buy"),IFERROR(VLOOKUP(C108,Upgrades!$N$4:$T$47,2,FALSE),0)="scraps",J107&lt;IFERROR(FLOOR(IFERROR(VLOOKUP(C108,Upgrades!$N$4:$T$47,3,FALSE),0)*(IFERROR(VLOOKUP(C108,Upgrades!$N$4:$T$47,4,FALSE),0)^(COUNTIFS($B$3:$B107,"Buy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buy",$C$3:$C107,C108))),1),0)),"Can't — need "&amp;TEXT(IFERROR(FLOOR(IFERROR(VLOOKUP(C108,Upgrades!$N$4:$T$47,3,FALSE),0)*(IFERROR(VLOOKUP(C108,Upgrades!$N$4:$T$47,4,FALSE),0)^(COUNTIFS($B$3:$B107,"Buy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buy",$C$3:$C107,C108))),1),0)-J107,"0")&amp;" more scraps",IF(AND(B108="Fight boss",E108="OK",(IF((((105/'Rules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Formulas'!B12)),"WIN — boss down, next Level unlocks",IF(AND(B108="Fight boss",E108="OK"),"LOSE — TTK "&amp;TEXT(IF((((105/'Rules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Formulas'!B20*SQRT(1+0.55*(AG107&gt;=1))),0)))),"0")&amp;"s &gt; patience "&amp;TEXT('Rules &amp; Formulas'!B12,"0")&amp;"s (leave resets HP)",IF(B108="Go AFK","AFK resolved (see AFK counted h)","Applied")))))))))</f>
        <v/>
      </c>
      <c r="G108" s="7">
        <f>IF(AND((E108="OK"),B108="Fight boss",(IF((((105/'Rules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Formulas'!B12),C108="Elder Thornpelt"),2,IF(AND((E108="OK"),B108="Fight boss",(IF((((105/'Rules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Formulas'!B12),C108="Ashfang Alpha"),3,G107))</f>
        <v/>
      </c>
      <c r="H108" s="7">
        <f>MAX(0,H107+IF(AND((E108="OK"),B108="Hunt"),(IF(B108="Hunt",(('Rules &amp; Formulas'!B4*N107*('Rules &amp; Formulas'!B5+O107)*IFERROR(VLOOKUP(C108,Monsters!$T$4:$AH$15,10,FALSE),0)*IFERROR(VLOOKUP(C108,Monsters!$T$4:$AH$15,9,FALSE),0))*'Rules &amp; Formulas'!B6)*IF(D108="",0,D108),0))*(IFERROR(VLOOKUP(C108,Monsters!$T$4:$AH$15,3,FALSE),0))*(1+0.1*AH107)+(IF(OR(B108&lt;&gt;"Hunt",IFERROR(VLOOKUP(C108,Monsters!$T$4:$AH$15,6,FALSE),0)=0),0,FLOOR((IF(B108="Hunt",(('Rules &amp; Formulas'!B4*N107*('Rules &amp; Formulas'!B5+O107)*IFERROR(VLOOKUP(C108,Monsters!$T$4:$AH$15,10,FALSE),0)*IFERROR(VLOOKUP(C108,Monsters!$T$4:$AH$15,9,FALSE),0))*'Rules &amp; Formulas'!B6)*IF(D108="",0,D108),0))/MAX(1,IFERROR(VLOOKUP(C108,Monsters!$T$4:$AH$15,6,FALSE),0)),1)))*(IFERROR(VLOOKUP(C108,Monsters!$T$4:$AH$15,7,FALSE),0))*0.5*(1+0.1*AH107),0)+IF(AND((E108="OK"),B108="Go AFK"),(IF(B108="Go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AFK",IF(D108="",0,D108),0),Z107/60)*60)),0))*(IFERROR(VLOOKUP(C108,Monsters!$T$4:$AH$15,3,FALSE),0))*(1+0.1*AH107)+(IF(OR(B108&lt;&gt;"Go AFK",IFERROR(VLOOKUP(C108,Monsters!$T$4:$AH$15,6,FALSE),0)=0),0,FLOOR((IF(B108="Go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AFK",IF(D108="",0,D108),0),Z107/60)*60)),0))/MAX(1,IFERROR(VLOOKUP(C108,Monsters!$T$4:$AH$15,6,FALSE),0)),1)))*(IFERROR(VLOOKUP(C108,Monsters!$T$4:$AH$15,7,FALSE),0))*0.5*(1+0.1*AH107),0)+IF(AND((E108="OK"),B108="Fight boss",(IF((((105/'Rules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Formulas'!B12)),IFERROR(VLOOKUP(C108,Monsters!$T$4:$AH$15,3,FALSE),0),0)-IF(AND((E108="OK"),OR(B108="Buy upgrade",B108="Forge/Scrapwork buy"),IFERROR(VLOOKUP(C108,Upgrades!$N$4:$T$47,2,FALSE),0)="gold"),IFERROR(FLOOR(IFERROR(VLOOKUP(C108,Upgrades!$N$4:$T$47,3,FALSE),0)*(IFERROR(VLOOKUP(C108,Upgrades!$N$4:$T$47,4,FALSE),0)^(COUNTIFS($B$3:$B107,"Buy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buy",$C$3:$C107,C108))),1),0),0)-IF(AND((E108="OK"),B108="Hire hunter"),IF(C108="Briar",140,IF(C108="Quill",3650,IF(C108="Moss",4850,IF(C108="Ember",12200,0)))),0))</f>
        <v/>
      </c>
      <c r="I108" s="7">
        <f>IF(AND((E108="OK"),B108="Fight boss",(IF((((105/'Rules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Formulas'!B12)),0,MIN(IF(G107&lt;=1,120,IF(G107=2,280,600)),I107+IF(AND((E108="OK"),B108="Hunt"),((IF(B108="Hunt",(('Rules &amp; Formulas'!B4*N107*('Rules &amp; Formulas'!B5+O107)*IFERROR(VLOOKUP(C108,Monsters!$T$4:$AH$15,10,FALSE),0)*IFERROR(VLOOKUP(C108,Monsters!$T$4:$AH$15,9,FALSE),0))*'Rules &amp; Formulas'!B6)*IF(D108="",0,D108),0))*(IFERROR(VLOOKUP(C108,Monsters!$T$4:$AH$15,4,FALSE),0))+(IF(OR(B108&lt;&gt;"Hunt",IFERROR(VLOOKUP(C108,Monsters!$T$4:$AH$15,6,FALSE),0)=0),0,FLOOR((IF(B108="Hunt",(('Rules &amp; Formulas'!B4*N107*('Rules &amp; Formulas'!B5+O107)*IFERROR(VLOOKUP(C108,Monsters!$T$4:$AH$15,10,FALSE),0)*IFERROR(VLOOKUP(C108,Monsters!$T$4:$AH$15,9,FALSE),0))*'Rules &amp; Formulas'!B6)*IF(D108="",0,D108),0))/MAX(1,IFERROR(VLOOKUP(C108,Monsters!$T$4:$AH$15,6,FALSE),0)),1)))*(IFERROR(VLOOKUP(C108,Monsters!$T$4:$AH$15,7,FALSE),0))),0)+IF(AND((E108="OK"),B108="Go AFK"),((IF(B108="Go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AFK",IF(D108="",0,D108),0),Z107/60)*60)),0))*(IFERROR(VLOOKUP(C108,Monsters!$T$4:$AH$15,4,FALSE),0))+(IF(OR(B108&lt;&gt;"Go AFK",IFERROR(VLOOKUP(C108,Monsters!$T$4:$AH$15,6,FALSE),0)=0),0,FLOOR((IF(B108="Go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AFK",IF(D108="",0,D108),0),Z107/60)*60)),0))/MAX(1,IFERROR(VLOOKUP(C108,Monsters!$T$4:$AH$15,6,FALSE),0)),1)))*(IFERROR(VLOOKUP(C108,Monsters!$T$4:$AH$15,7,FALSE),0))),0)))</f>
        <v/>
      </c>
      <c r="J108" s="7">
        <f>MAX(0,J107+IF(AND((E108="OK"),B108="Hunt"),(IF(B108="Hunt",(('Rules &amp; Formulas'!B4*N107*('Rules &amp; Formulas'!B5+O107)*IFERROR(VLOOKUP(C108,Monsters!$T$4:$AH$15,10,FALSE),0)*IFERROR(VLOOKUP(C108,Monsters!$T$4:$AH$15,9,FALSE),0))*'Rules &amp; Formulas'!B6)*IF(D108="",0,D108),0))*(IFERROR(VLOOKUP(C108,Monsters!$T$4:$AH$15,5,FALSE),0)),0)+IF(AND((E108="OK"),B108="Go AFK"),(IF(B108="Go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AFK",IF(D108="",0,D108),0),Z107/60)*60)),0))*(IFERROR(VLOOKUP(C108,Monsters!$T$4:$AH$15,5,FALSE),0)),0)-IF(AND((E108="OK"),OR(B108="Buy upgrade",B108="Forge/Scrapwork buy"),IFERROR(VLOOKUP(C108,Upgrades!$N$4:$T$47,2,FALSE),0)="scraps"),IFERROR(FLOOR(IFERROR(VLOOKUP(C108,Upgrades!$N$4:$T$47,3,FALSE),0)*(IFERROR(VLOOKUP(C108,Upgrades!$N$4:$T$47,4,FALSE),0)^(COUNTIFS($B$3:$B107,"Buy upgrade",$C$3:$C107,C108)+COUNTIFS($B$3:$B107,"Hire hunter",$C$3:$C107,C108)+COUNTIFS($B$3:$B107,"Forge/Scrapwork buy",$C$3:$C107,C108))),1),0),0))</f>
        <v/>
      </c>
      <c r="K108" s="7">
        <f>MAX(0,K107+IF(AND((E108="OK"),B108="Hunt"),IF(C108="Thornpelt Bear",(IF(B108="Hunt",(('Rules &amp; Formulas'!B4*N107*('Rules &amp; Formulas'!B5+O107)*IFERROR(VLOOKUP(C108,Monsters!$T$4:$AH$15,10,FALSE),0)*IFERROR(VLOOKUP(C108,Monsters!$T$4:$AH$15,9,FALSE),0))*'Rules &amp; Formulas'!B6)*IF(D108="",0,D108),0))*0.12,0),0)+IF(AND((E108="OK"),B108="Go AFK"),IF(C108="Thornpelt Bear",(IF(B108="Go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AFK",IF(D108="",0,D108),0),Z107/60)*60)),0))*0.12,0),0))</f>
        <v/>
      </c>
      <c r="L108" s="7">
        <f>MAX(0,L107+IF(AND((E108="OK"),B108="Hunt"),IF(C108="Dire Thornpelt",(IF(B108="Hunt",(('Rules &amp; Formulas'!B4*N107*('Rules &amp; Formulas'!B5+O107)*IFERROR(VLOOKUP(C108,Monsters!$T$4:$AH$15,10,FALSE),0)*IFERROR(VLOOKUP(C108,Monsters!$T$4:$AH$15,9,FALSE),0))*'Rules &amp; Formulas'!B6)*IF(D108="",0,D108),0))*0.1,0),0)+IF(AND((E108="OK"),B108="Go AFK"),IF(C108="Dire Thornpelt",(IF(B108="Go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AFK",IF(D108="",0,D108),0),Z107/60)*60)),0))*0.1,0),0))</f>
        <v/>
      </c>
      <c r="M108" s="7">
        <f>IF(AND((E108="OK"),B108="Go AFK"),MAX(0,MIN(('Rules &amp; Formulas'!B15+25*AJ107),M107+('Rules &amp; Formulas'!B14+0.4*AJ107)*(MIN(IF(B108="Go AFK",IF(D108="",0,D108),0),Z107/60)*60))-(IF(B108="Go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AFK",IF(D108="",0,D108),0),Z107/60)*60)),0))*(IF((IFERROR(VLOOKUP(C108,Monsters!$T$4:$AH$15,8,FALSE),0))=0,0.35,IFERROR(VLOOKUP(C108,Monsters!$T$4:$AH$15,8,FALSE),0))/(1+0.08*AK107))),MIN(('Rules &amp; Formulas'!B15+25*AJ108),M107))</f>
        <v/>
      </c>
      <c r="N108" s="7">
        <f>(1+0.08+0.12*AA108+0.12*AB108+0.16*AC108)</f>
        <v/>
      </c>
      <c r="O108" s="7">
        <f>((AD108&gt;=1)*1*(1+0.3*AE108))</f>
        <v/>
      </c>
      <c r="P108" s="7">
        <f>IF(OR(B108="Hunt",B108="Go AFK"),(('Rules &amp; Formulas'!B4*N107*('Rules &amp; Formulas'!B5+O107)*IFERROR(VLOOKUP(C108,Monsters!$T$4:$AH$15,10,FALSE),0)*IFERROR(VLOOKUP(C108,Monsters!$T$4:$AH$15,9,FALSE),0))*'Rules &amp; Formulas'!B6),"")</f>
        <v/>
      </c>
      <c r="Q108" s="7">
        <f>IF(OR(B108="Hunt",B108="Go AFK"),('Rules &amp; Formulas'!B4*N107*('Rules &amp; Formulas'!B5+O107)*IFERROR(VLOOKUP(C108,Monsters!$T$4:$AH$15,10,FALSE),0)*IFERROR(VLOOKUP(C108,Monsters!$T$4:$AH$15,9,FALSE),0)),"")</f>
        <v/>
      </c>
      <c r="R108" s="7">
        <f>IF(AND((E108="OK"),B108="Hunt"),IF(B108="Hunt",(('Rules &amp; Formulas'!B4*N107*('Rules &amp; Formulas'!B5+O107)*IFERROR(VLOOKUP(C108,Monsters!$T$4:$AH$15,10,FALSE),0)*IFERROR(VLOOKUP(C108,Monsters!$T$4:$AH$15,9,FALSE),0))*'Rules &amp; Formulas'!B6)*IF(D108="",0,D108),0),IF(AND((E108="OK"),B108="Go AFK"),IF(B108="Go AFK",MIN(IF((IF((IFERROR(VLOOKUP(C108,Monsters!$T$4:$AH$15,8,FALSE),0))=0,0.35,IFERROR(VLOOKUP(C108,Monsters!$T$4:$AH$15,8,FALSE),0))/(1+0.08*AK107))&lt;=0,999999,FLOOR(MIN(('Rules &amp; Formulas'!B15+25*AJ107),M107+('Rules &amp; Formulas'!B14+0.4*AJ107)*(MIN(IF(B108="Go AFK",IF(D108="",0,D108),0),Z107/60)*60))/(IF((IFERROR(VLOOKUP(C108,Monsters!$T$4:$AH$15,8,FALSE),0))=0,0.35,IFERROR(VLOOKUP(C108,Monsters!$T$4:$AH$15,8,FALSE),0))/(1+0.08*AK107)),1)),('Rules &amp; Formulas'!B4*N107*('Rules &amp; Formulas'!B5+O107)*IFERROR(VLOOKUP(C108,Monsters!$T$4:$AH$15,10,FALSE),0)*IFERROR(VLOOKUP(C108,Monsters!$T$4:$AH$15,9,FALSE),0))*(MIN(IF(B108="Go AFK",IF(D108="",0,D108),0),Z107/60)*60)),0),0))</f>
        <v/>
      </c>
      <c r="S108" s="7">
        <f>(105/'Rules &amp; Formulas'!B10)*'Rules &amp; Formulas'!B11</f>
        <v/>
      </c>
      <c r="T108" s="7">
        <f>IF(AD107&gt;=1,(MAX(1,ROUND('Rules &amp; Formulas'!B18*(1+0.3*AE107)*(1+0.4*AF107),0)))*(1000/'Rules &amp; Formulas'!B19)*MIN(0.95,'Rules &amp; Formulas'!B20*SQRT(1+0.55*(AG107&gt;=1))),0)</f>
        <v/>
      </c>
      <c r="U108" s="7">
        <f>S108+T108</f>
        <v/>
      </c>
      <c r="V108" s="7">
        <f>IF(I107&gt;=IF((IFERROR(VLOOKUP(C108,Monsters!$T$4:$AH$15,15,FALSE),0))=0,120,IFERROR(VLOOKUP(C108,Monsters!$T$4:$AH$15,15,FALSE),0)),"YES","no")</f>
        <v/>
      </c>
      <c r="W108" s="7">
        <f>IF(AND(B108="Fight boss",E108="OK"),IF((((105/'Rules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Formulas'!B20*SQRT(1+0.55*(AG107&gt;=1))),0)))),"")</f>
        <v/>
      </c>
      <c r="X108" s="7">
        <f>IF(AND(B108="Fight boss",E108="OK"),IF((IF((((105/'Rules &amp; Formulas'!B10)*'Rules &amp; Formulas'!B11+IF(AD107&gt;=1,(MAX(1,ROUND('Rules &amp; Formulas'!B18*(1+0.3*AE107)*(1+0.4*AF107),0)))*(1000/'Rules &amp; Formulas'!B19)*MIN(0.95,'Rules &amp; Formulas'!B20*SQRT(1+0.55*(AG107&gt;=1))),0)))&lt;=0,9999,(IFERROR(VLOOKUP(C108,Monsters!$T$4:$AH$15,2,FALSE),0))/(((105/'Rules &amp; Formulas'!B10)*'Rules &amp; Formulas'!B11+IF(AD107&gt;=1,(MAX(1,ROUND('Rules &amp; Formulas'!B18*(1+0.3*AE107)*(1+0.4*AF107),0)))*(1000/'Rules &amp; Formulas'!B19)*MIN(0.95,'Rules &amp; Formulas'!B20*SQRT(1+0.55*(AG107&gt;=1))),0))))&lt;='Rules &amp; Formulas'!B12),"WIN","LOSE"),"")</f>
        <v/>
      </c>
      <c r="Y108" s="7">
        <f>IF(B108="Go AFK",MIN(IF(B108="Go AFK",IF(D108="",0,D108),0),Z107/60),"")</f>
        <v/>
      </c>
      <c r="Z108" s="7">
        <f>('Rules &amp; Formulas'!B13+30*AI108)</f>
        <v/>
      </c>
      <c r="AA108">
        <f>COUNTIFS($B$3:$B108,"Buy upgrade",$C$3:$C108,"Idle Power")</f>
        <v/>
      </c>
      <c r="AB108">
        <f>COUNTIFS($B$3:$B108,"Buy upgrade",$C$3:$C108,"Iron Blade")</f>
        <v/>
      </c>
      <c r="AC108">
        <f>COUNTIFS($B$3:$B108,"Buy upgrade",$C$3:$C108,"Steel Blade")</f>
        <v/>
      </c>
      <c r="AD108">
        <f>COUNTIFS($B$3:$B108,"Hire hunter",$C$3:$C108,"Briar")+COUNTIFS($B$3:$B108,"Buy upgrade",$C$3:$C108,"Hire Briar")</f>
        <v/>
      </c>
      <c r="AE108">
        <f>COUNTIFS($B$3:$B108,"Buy upgrade",$C$3:$C108,"Hunter Power")</f>
        <v/>
      </c>
      <c r="AF108">
        <f>COUNTIFS($B$3:$B108,"Buy upgrade",$C$3:$C108,"Bigger Hits")</f>
        <v/>
      </c>
      <c r="AG108">
        <f>COUNTIFS($B$3:$B108,"Buy upgrade",$C$3:$C108,"Swift Walk")</f>
        <v/>
      </c>
      <c r="AH108">
        <f>COUNTIFS($B$3:$B108,"Buy upgrade",$C$3:$C108,"Loot Luck")</f>
        <v/>
      </c>
      <c r="AI108">
        <f>COUNTIFS($B$3:$B108,"Buy upgrade",$C$3:$C108,"Offline Cap")</f>
        <v/>
      </c>
      <c r="AJ108">
        <f>COUNTIFS($B$3:$B108,"Buy upgrade",$C$3:$C108,"Bigger Food Stock")</f>
        <v/>
      </c>
      <c r="AK108">
        <f>COUNTIFS($B$3:$B108,"Buy upgrade",$C$3:$C108,"Food Efficiency")</f>
        <v/>
      </c>
    </row>
    <row r="109">
      <c r="A109" t="n">
        <v>107</v>
      </c>
      <c r="B109" s="6" t="n"/>
      <c r="C109" s="6" t="n"/>
      <c r="D109" s="6" t="n"/>
      <c r="E109" s="7">
        <f>IF(B109="","",IF(OR(B109="Hunt",B109="Go AFK"),IF(C109="","Can't","OK"),IF(B109="Fight boss",IF(I108&lt;IF((IFERROR(VLOOKUP(C109,Monsters!$T$4:$AH$15,15,FALSE),0))=0,120,IFERROR(VLOOKUP(C109,Monsters!$T$4:$AH$15,15,FALSE),0)),"Can't","OK"),IF(B109="Hire hunter",IF(AND(C109="Briar",AD108&gt;=1),"Can't",IF(H108&lt;IF(C109="Briar",140,IF(C109="Quill",3650,IF(C109="Moss",4850,IF(C109="Ember",12200,0)))),"Can't","OK")),IF(OR(B109="Buy upgrade",B109="Forge/Scrapwork buy"),IF(IFERROR(VLOOKUP(C109,Upgrades!$N$4:$T$47,2,FALSE),0)="points","Can't",IF(IFERROR(VLOOKUP(C109,Upgrades!$N$4:$T$47,2,FALSE),0)="gold",IF(H108&lt;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buy",$C$3:$C108,C109))),1),0),"Can't","OK"),IF(IFERROR(VLOOKUP(C109,Upgrades!$N$4:$T$47,2,FALSE),0)="scraps",IF(J108&lt;IFERROR(FLOOR(IFERROR(VLOOKUP(C109,Upgrades!$N$4:$T$47,3,FALSE),0)*(IFERROR(VLOOKUP(C109,Upgrades!$N$4:$T$47,4,FALSE),0)^(COUNTIFS($B$3:$B108,"Buy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buy",$C$3:$C108,C109))),1),0),"Can't","OK"),IF(IFERROR(VLOOKUP(C109,Upgrades!$N$4:$T$47,2,FALSE),0)="mats","Can't","OK")))),"Check")))))</f>
        <v/>
      </c>
      <c r="F109" s="7">
        <f>IF(B109="","",IF(AND(B109="Fight boss",I108&lt;IF((IFERROR(VLOOKUP(C109,Monsters!$T$4:$AH$15,15,FALSE),0))=0,120,IFERROR(VLOOKUP(C109,Monsters!$T$4:$AH$15,15,FALSE),0))),"Can't — need "&amp;TEXT(IF((IFERROR(VLOOKUP(C109,Monsters!$T$4:$AH$15,15,FALSE),0))=0,120,IFERROR(VLOOKUP(C109,Monsters!$T$4:$AH$15,15,FALSE),0))-I108,"0.0")&amp;" more Slayer points on the meter",IF(AND(B109="Hire hunter",C109="Briar",AD108&gt;=1),"Can't — already hired",IF(AND(B109="Hire hunter",H108&lt;IF(C109="Briar",140,IF(C109="Quill",3650,IF(C109="Moss",4850,IF(C109="Ember",12200,0))))),"Can't — need "&amp;TEXT(IF(C109="Briar",140,IF(C109="Quill",3650,IF(C109="Moss",4850,IF(C109="Ember",12200,0))))-H108,"0")&amp;" more gold",IF(AND(OR(B109="Buy upgrade",B109="Forge/Scrapwork buy"),IFERROR(VLOOKUP(C109,Upgrades!$N$4:$T$47,2,FALSE),0)="points"),"Can't — Sp-wallet spends not tracked here",IF(AND(OR(B109="Buy upgrade",B109="Forge/Scrapwork buy"),IFERROR(VLOOKUP(C109,Upgrades!$N$4:$T$47,2,FALSE),0)="gold",H108&lt;IFERROR(FLOOR(IFERROR(VLOOKUP(C109,Upgrades!$N$4:$T$47,3,FALSE),0)*(IFERROR(VLOOKUP(C109,Upgrades!$N$4:$T$47,4,FALSE),0)^(COUNTIFS($B$3:$B108,"Buy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buy",$C$3:$C108,C109))),1),0)),"Can't — need "&amp;TEXT(IFERROR(FLOOR(IFERROR(VLOOKUP(C109,Upgrades!$N$4:$T$47,3,FALSE),0)*(IFERROR(VLOOKUP(C109,Upgrades!$N$4:$T$47,4,FALSE),0)^(COUNTIFS($B$3:$B108,"Buy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buy",$C$3:$C108,C109))),1),0)-H108,"0")&amp;" more gold",IF(AND(OR(B109="Buy upgrade",B109="Forge/Scrapwork buy"),IFERROR(VLOOKUP(C109,Upgrades!$N$4:$T$47,2,FALSE),0)="scraps",J108&lt;IFERROR(FLOOR(IFERROR(VLOOKUP(C109,Upgrades!$N$4:$T$47,3,FALSE),0)*(IFERROR(VLOOKUP(C109,Upgrades!$N$4:$T$47,4,FALSE),0)^(COUNTIFS($B$3:$B108,"Buy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buy",$C$3:$C108,C109))),1),0)),"Can't — need "&amp;TEXT(IFERROR(FLOOR(IFERROR(VLOOKUP(C109,Upgrades!$N$4:$T$47,3,FALSE),0)*(IFERROR(VLOOKUP(C109,Upgrades!$N$4:$T$47,4,FALSE),0)^(COUNTIFS($B$3:$B108,"Buy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buy",$C$3:$C108,C109))),1),0)-J108,"0")&amp;" more scraps",IF(AND(B109="Fight boss",E109="OK",(IF((((105/'Rules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Formulas'!B12)),"WIN — boss down, next Level unlocks",IF(AND(B109="Fight boss",E109="OK"),"LOSE — TTK "&amp;TEXT(IF((((105/'Rules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Formulas'!B20*SQRT(1+0.55*(AG108&gt;=1))),0)))),"0")&amp;"s &gt; patience "&amp;TEXT('Rules &amp; Formulas'!B12,"0")&amp;"s (leave resets HP)",IF(B109="Go AFK","AFK resolved (see AFK counted h)","Applied")))))))))</f>
        <v/>
      </c>
      <c r="G109" s="7">
        <f>IF(AND((E109="OK"),B109="Fight boss",(IF((((105/'Rules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Formulas'!B12),C109="Elder Thornpelt"),2,IF(AND((E109="OK"),B109="Fight boss",(IF((((105/'Rules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Formulas'!B12),C109="Ashfang Alpha"),3,G108))</f>
        <v/>
      </c>
      <c r="H109" s="7">
        <f>MAX(0,H108+IF(AND((E109="OK"),B109="Hunt"),(IF(B109="Hunt",(('Rules &amp; Formulas'!B4*N108*('Rules &amp; Formulas'!B5+O108)*IFERROR(VLOOKUP(C109,Monsters!$T$4:$AH$15,10,FALSE),0)*IFERROR(VLOOKUP(C109,Monsters!$T$4:$AH$15,9,FALSE),0))*'Rules &amp; Formulas'!B6)*IF(D109="",0,D109),0))*(IFERROR(VLOOKUP(C109,Monsters!$T$4:$AH$15,3,FALSE),0))*(1+0.1*AH108)+(IF(OR(B109&lt;&gt;"Hunt",IFERROR(VLOOKUP(C109,Monsters!$T$4:$AH$15,6,FALSE),0)=0),0,FLOOR((IF(B109="Hunt",(('Rules &amp; Formulas'!B4*N108*('Rules &amp; Formulas'!B5+O108)*IFERROR(VLOOKUP(C109,Monsters!$T$4:$AH$15,10,FALSE),0)*IFERROR(VLOOKUP(C109,Monsters!$T$4:$AH$15,9,FALSE),0))*'Rules &amp; Formulas'!B6)*IF(D109="",0,D109),0))/MAX(1,IFERROR(VLOOKUP(C109,Monsters!$T$4:$AH$15,6,FALSE),0)),1)))*(IFERROR(VLOOKUP(C109,Monsters!$T$4:$AH$15,7,FALSE),0))*0.5*(1+0.1*AH108),0)+IF(AND((E109="OK"),B109="Go AFK"),(IF(B109="Go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AFK",IF(D109="",0,D109),0),Z108/60)*60)),0))*(IFERROR(VLOOKUP(C109,Monsters!$T$4:$AH$15,3,FALSE),0))*(1+0.1*AH108)+(IF(OR(B109&lt;&gt;"Go AFK",IFERROR(VLOOKUP(C109,Monsters!$T$4:$AH$15,6,FALSE),0)=0),0,FLOOR((IF(B109="Go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AFK",IF(D109="",0,D109),0),Z108/60)*60)),0))/MAX(1,IFERROR(VLOOKUP(C109,Monsters!$T$4:$AH$15,6,FALSE),0)),1)))*(IFERROR(VLOOKUP(C109,Monsters!$T$4:$AH$15,7,FALSE),0))*0.5*(1+0.1*AH108),0)+IF(AND((E109="OK"),B109="Fight boss",(IF((((105/'Rules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Formulas'!B12)),IFERROR(VLOOKUP(C109,Monsters!$T$4:$AH$15,3,FALSE),0),0)-IF(AND((E109="OK"),OR(B109="Buy upgrade",B109="Forge/Scrapwork buy"),IFERROR(VLOOKUP(C109,Upgrades!$N$4:$T$47,2,FALSE),0)="gold"),IFERROR(FLOOR(IFERROR(VLOOKUP(C109,Upgrades!$N$4:$T$47,3,FALSE),0)*(IFERROR(VLOOKUP(C109,Upgrades!$N$4:$T$47,4,FALSE),0)^(COUNTIFS($B$3:$B108,"Buy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buy",$C$3:$C108,C109))),1),0),0)-IF(AND((E109="OK"),B109="Hire hunter"),IF(C109="Briar",140,IF(C109="Quill",3650,IF(C109="Moss",4850,IF(C109="Ember",12200,0)))),0))</f>
        <v/>
      </c>
      <c r="I109" s="7">
        <f>IF(AND((E109="OK"),B109="Fight boss",(IF((((105/'Rules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Formulas'!B12)),0,MIN(IF(G108&lt;=1,120,IF(G108=2,280,600)),I108+IF(AND((E109="OK"),B109="Hunt"),((IF(B109="Hunt",(('Rules &amp; Formulas'!B4*N108*('Rules &amp; Formulas'!B5+O108)*IFERROR(VLOOKUP(C109,Monsters!$T$4:$AH$15,10,FALSE),0)*IFERROR(VLOOKUP(C109,Monsters!$T$4:$AH$15,9,FALSE),0))*'Rules &amp; Formulas'!B6)*IF(D109="",0,D109),0))*(IFERROR(VLOOKUP(C109,Monsters!$T$4:$AH$15,4,FALSE),0))+(IF(OR(B109&lt;&gt;"Hunt",IFERROR(VLOOKUP(C109,Monsters!$T$4:$AH$15,6,FALSE),0)=0),0,FLOOR((IF(B109="Hunt",(('Rules &amp; Formulas'!B4*N108*('Rules &amp; Formulas'!B5+O108)*IFERROR(VLOOKUP(C109,Monsters!$T$4:$AH$15,10,FALSE),0)*IFERROR(VLOOKUP(C109,Monsters!$T$4:$AH$15,9,FALSE),0))*'Rules &amp; Formulas'!B6)*IF(D109="",0,D109),0))/MAX(1,IFERROR(VLOOKUP(C109,Monsters!$T$4:$AH$15,6,FALSE),0)),1)))*(IFERROR(VLOOKUP(C109,Monsters!$T$4:$AH$15,7,FALSE),0))),0)+IF(AND((E109="OK"),B109="Go AFK"),((IF(B109="Go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AFK",IF(D109="",0,D109),0),Z108/60)*60)),0))*(IFERROR(VLOOKUP(C109,Monsters!$T$4:$AH$15,4,FALSE),0))+(IF(OR(B109&lt;&gt;"Go AFK",IFERROR(VLOOKUP(C109,Monsters!$T$4:$AH$15,6,FALSE),0)=0),0,FLOOR((IF(B109="Go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AFK",IF(D109="",0,D109),0),Z108/60)*60)),0))/MAX(1,IFERROR(VLOOKUP(C109,Monsters!$T$4:$AH$15,6,FALSE),0)),1)))*(IFERROR(VLOOKUP(C109,Monsters!$T$4:$AH$15,7,FALSE),0))),0)))</f>
        <v/>
      </c>
      <c r="J109" s="7">
        <f>MAX(0,J108+IF(AND((E109="OK"),B109="Hunt"),(IF(B109="Hunt",(('Rules &amp; Formulas'!B4*N108*('Rules &amp; Formulas'!B5+O108)*IFERROR(VLOOKUP(C109,Monsters!$T$4:$AH$15,10,FALSE),0)*IFERROR(VLOOKUP(C109,Monsters!$T$4:$AH$15,9,FALSE),0))*'Rules &amp; Formulas'!B6)*IF(D109="",0,D109),0))*(IFERROR(VLOOKUP(C109,Monsters!$T$4:$AH$15,5,FALSE),0)),0)+IF(AND((E109="OK"),B109="Go AFK"),(IF(B109="Go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AFK",IF(D109="",0,D109),0),Z108/60)*60)),0))*(IFERROR(VLOOKUP(C109,Monsters!$T$4:$AH$15,5,FALSE),0)),0)-IF(AND((E109="OK"),OR(B109="Buy upgrade",B109="Forge/Scrapwork buy"),IFERROR(VLOOKUP(C109,Upgrades!$N$4:$T$47,2,FALSE),0)="scraps"),IFERROR(FLOOR(IFERROR(VLOOKUP(C109,Upgrades!$N$4:$T$47,3,FALSE),0)*(IFERROR(VLOOKUP(C109,Upgrades!$N$4:$T$47,4,FALSE),0)^(COUNTIFS($B$3:$B108,"Buy upgrade",$C$3:$C108,C109)+COUNTIFS($B$3:$B108,"Hire hunter",$C$3:$C108,C109)+COUNTIFS($B$3:$B108,"Forge/Scrapwork buy",$C$3:$C108,C109))),1),0),0))</f>
        <v/>
      </c>
      <c r="K109" s="7">
        <f>MAX(0,K108+IF(AND((E109="OK"),B109="Hunt"),IF(C109="Thornpelt Bear",(IF(B109="Hunt",(('Rules &amp; Formulas'!B4*N108*('Rules &amp; Formulas'!B5+O108)*IFERROR(VLOOKUP(C109,Monsters!$T$4:$AH$15,10,FALSE),0)*IFERROR(VLOOKUP(C109,Monsters!$T$4:$AH$15,9,FALSE),0))*'Rules &amp; Formulas'!B6)*IF(D109="",0,D109),0))*0.12,0),0)+IF(AND((E109="OK"),B109="Go AFK"),IF(C109="Thornpelt Bear",(IF(B109="Go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AFK",IF(D109="",0,D109),0),Z108/60)*60)),0))*0.12,0),0))</f>
        <v/>
      </c>
      <c r="L109" s="7">
        <f>MAX(0,L108+IF(AND((E109="OK"),B109="Hunt"),IF(C109="Dire Thornpelt",(IF(B109="Hunt",(('Rules &amp; Formulas'!B4*N108*('Rules &amp; Formulas'!B5+O108)*IFERROR(VLOOKUP(C109,Monsters!$T$4:$AH$15,10,FALSE),0)*IFERROR(VLOOKUP(C109,Monsters!$T$4:$AH$15,9,FALSE),0))*'Rules &amp; Formulas'!B6)*IF(D109="",0,D109),0))*0.1,0),0)+IF(AND((E109="OK"),B109="Go AFK"),IF(C109="Dire Thornpelt",(IF(B109="Go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AFK",IF(D109="",0,D109),0),Z108/60)*60)),0))*0.1,0),0))</f>
        <v/>
      </c>
      <c r="M109" s="7">
        <f>IF(AND((E109="OK"),B109="Go AFK"),MAX(0,MIN(('Rules &amp; Formulas'!B15+25*AJ108),M108+('Rules &amp; Formulas'!B14+0.4*AJ108)*(MIN(IF(B109="Go AFK",IF(D109="",0,D109),0),Z108/60)*60))-(IF(B109="Go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AFK",IF(D109="",0,D109),0),Z108/60)*60)),0))*(IF((IFERROR(VLOOKUP(C109,Monsters!$T$4:$AH$15,8,FALSE),0))=0,0.35,IFERROR(VLOOKUP(C109,Monsters!$T$4:$AH$15,8,FALSE),0))/(1+0.08*AK108))),MIN(('Rules &amp; Formulas'!B15+25*AJ109),M108))</f>
        <v/>
      </c>
      <c r="N109" s="7">
        <f>(1+0.08+0.12*AA109+0.12*AB109+0.16*AC109)</f>
        <v/>
      </c>
      <c r="O109" s="7">
        <f>((AD109&gt;=1)*1*(1+0.3*AE109))</f>
        <v/>
      </c>
      <c r="P109" s="7">
        <f>IF(OR(B109="Hunt",B109="Go AFK"),(('Rules &amp; Formulas'!B4*N108*('Rules &amp; Formulas'!B5+O108)*IFERROR(VLOOKUP(C109,Monsters!$T$4:$AH$15,10,FALSE),0)*IFERROR(VLOOKUP(C109,Monsters!$T$4:$AH$15,9,FALSE),0))*'Rules &amp; Formulas'!B6),"")</f>
        <v/>
      </c>
      <c r="Q109" s="7">
        <f>IF(OR(B109="Hunt",B109="Go AFK"),('Rules &amp; Formulas'!B4*N108*('Rules &amp; Formulas'!B5+O108)*IFERROR(VLOOKUP(C109,Monsters!$T$4:$AH$15,10,FALSE),0)*IFERROR(VLOOKUP(C109,Monsters!$T$4:$AH$15,9,FALSE),0)),"")</f>
        <v/>
      </c>
      <c r="R109" s="7">
        <f>IF(AND((E109="OK"),B109="Hunt"),IF(B109="Hunt",(('Rules &amp; Formulas'!B4*N108*('Rules &amp; Formulas'!B5+O108)*IFERROR(VLOOKUP(C109,Monsters!$T$4:$AH$15,10,FALSE),0)*IFERROR(VLOOKUP(C109,Monsters!$T$4:$AH$15,9,FALSE),0))*'Rules &amp; Formulas'!B6)*IF(D109="",0,D109),0),IF(AND((E109="OK"),B109="Go AFK"),IF(B109="Go AFK",MIN(IF((IF((IFERROR(VLOOKUP(C109,Monsters!$T$4:$AH$15,8,FALSE),0))=0,0.35,IFERROR(VLOOKUP(C109,Monsters!$T$4:$AH$15,8,FALSE),0))/(1+0.08*AK108))&lt;=0,999999,FLOOR(MIN(('Rules &amp; Formulas'!B15+25*AJ108),M108+('Rules &amp; Formulas'!B14+0.4*AJ108)*(MIN(IF(B109="Go AFK",IF(D109="",0,D109),0),Z108/60)*60))/(IF((IFERROR(VLOOKUP(C109,Monsters!$T$4:$AH$15,8,FALSE),0))=0,0.35,IFERROR(VLOOKUP(C109,Monsters!$T$4:$AH$15,8,FALSE),0))/(1+0.08*AK108)),1)),('Rules &amp; Formulas'!B4*N108*('Rules &amp; Formulas'!B5+O108)*IFERROR(VLOOKUP(C109,Monsters!$T$4:$AH$15,10,FALSE),0)*IFERROR(VLOOKUP(C109,Monsters!$T$4:$AH$15,9,FALSE),0))*(MIN(IF(B109="Go AFK",IF(D109="",0,D109),0),Z108/60)*60)),0),0))</f>
        <v/>
      </c>
      <c r="S109" s="7">
        <f>(105/'Rules &amp; Formulas'!B10)*'Rules &amp; Formulas'!B11</f>
        <v/>
      </c>
      <c r="T109" s="7">
        <f>IF(AD108&gt;=1,(MAX(1,ROUND('Rules &amp; Formulas'!B18*(1+0.3*AE108)*(1+0.4*AF108),0)))*(1000/'Rules &amp; Formulas'!B19)*MIN(0.95,'Rules &amp; Formulas'!B20*SQRT(1+0.55*(AG108&gt;=1))),0)</f>
        <v/>
      </c>
      <c r="U109" s="7">
        <f>S109+T109</f>
        <v/>
      </c>
      <c r="V109" s="7">
        <f>IF(I108&gt;=IF((IFERROR(VLOOKUP(C109,Monsters!$T$4:$AH$15,15,FALSE),0))=0,120,IFERROR(VLOOKUP(C109,Monsters!$T$4:$AH$15,15,FALSE),0)),"YES","no")</f>
        <v/>
      </c>
      <c r="W109" s="7">
        <f>IF(AND(B109="Fight boss",E109="OK"),IF((((105/'Rules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Formulas'!B20*SQRT(1+0.55*(AG108&gt;=1))),0)))),"")</f>
        <v/>
      </c>
      <c r="X109" s="7">
        <f>IF(AND(B109="Fight boss",E109="OK"),IF((IF((((105/'Rules &amp; Formulas'!B10)*'Rules &amp; Formulas'!B11+IF(AD108&gt;=1,(MAX(1,ROUND('Rules &amp; Formulas'!B18*(1+0.3*AE108)*(1+0.4*AF108),0)))*(1000/'Rules &amp; Formulas'!B19)*MIN(0.95,'Rules &amp; Formulas'!B20*SQRT(1+0.55*(AG108&gt;=1))),0)))&lt;=0,9999,(IFERROR(VLOOKUP(C109,Monsters!$T$4:$AH$15,2,FALSE),0))/(((105/'Rules &amp; Formulas'!B10)*'Rules &amp; Formulas'!B11+IF(AD108&gt;=1,(MAX(1,ROUND('Rules &amp; Formulas'!B18*(1+0.3*AE108)*(1+0.4*AF108),0)))*(1000/'Rules &amp; Formulas'!B19)*MIN(0.95,'Rules &amp; Formulas'!B20*SQRT(1+0.55*(AG108&gt;=1))),0))))&lt;='Rules &amp; Formulas'!B12),"WIN","LOSE"),"")</f>
        <v/>
      </c>
      <c r="Y109" s="7">
        <f>IF(B109="Go AFK",MIN(IF(B109="Go AFK",IF(D109="",0,D109),0),Z108/60),"")</f>
        <v/>
      </c>
      <c r="Z109" s="7">
        <f>('Rules &amp; Formulas'!B13+30*AI109)</f>
        <v/>
      </c>
      <c r="AA109">
        <f>COUNTIFS($B$3:$B109,"Buy upgrade",$C$3:$C109,"Idle Power")</f>
        <v/>
      </c>
      <c r="AB109">
        <f>COUNTIFS($B$3:$B109,"Buy upgrade",$C$3:$C109,"Iron Blade")</f>
        <v/>
      </c>
      <c r="AC109">
        <f>COUNTIFS($B$3:$B109,"Buy upgrade",$C$3:$C109,"Steel Blade")</f>
        <v/>
      </c>
      <c r="AD109">
        <f>COUNTIFS($B$3:$B109,"Hire hunter",$C$3:$C109,"Briar")+COUNTIFS($B$3:$B109,"Buy upgrade",$C$3:$C109,"Hire Briar")</f>
        <v/>
      </c>
      <c r="AE109">
        <f>COUNTIFS($B$3:$B109,"Buy upgrade",$C$3:$C109,"Hunter Power")</f>
        <v/>
      </c>
      <c r="AF109">
        <f>COUNTIFS($B$3:$B109,"Buy upgrade",$C$3:$C109,"Bigger Hits")</f>
        <v/>
      </c>
      <c r="AG109">
        <f>COUNTIFS($B$3:$B109,"Buy upgrade",$C$3:$C109,"Swift Walk")</f>
        <v/>
      </c>
      <c r="AH109">
        <f>COUNTIFS($B$3:$B109,"Buy upgrade",$C$3:$C109,"Loot Luck")</f>
        <v/>
      </c>
      <c r="AI109">
        <f>COUNTIFS($B$3:$B109,"Buy upgrade",$C$3:$C109,"Offline Cap")</f>
        <v/>
      </c>
      <c r="AJ109">
        <f>COUNTIFS($B$3:$B109,"Buy upgrade",$C$3:$C109,"Bigger Food Stock")</f>
        <v/>
      </c>
      <c r="AK109">
        <f>COUNTIFS($B$3:$B109,"Buy upgrade",$C$3:$C109,"Food Efficiency")</f>
        <v/>
      </c>
    </row>
    <row r="110">
      <c r="A110" t="n">
        <v>108</v>
      </c>
      <c r="B110" s="6" t="n"/>
      <c r="C110" s="6" t="n"/>
      <c r="D110" s="6" t="n"/>
      <c r="E110" s="7">
        <f>IF(B110="","",IF(OR(B110="Hunt",B110="Go AFK"),IF(C110="","Can't","OK"),IF(B110="Fight boss",IF(I109&lt;IF((IFERROR(VLOOKUP(C110,Monsters!$T$4:$AH$15,15,FALSE),0))=0,120,IFERROR(VLOOKUP(C110,Monsters!$T$4:$AH$15,15,FALSE),0)),"Can't","OK"),IF(B110="Hire hunter",IF(AND(C110="Briar",AD109&gt;=1),"Can't",IF(H109&lt;IF(C110="Briar",140,IF(C110="Quill",3650,IF(C110="Moss",4850,IF(C110="Ember",12200,0)))),"Can't","OK")),IF(OR(B110="Buy upgrade",B110="Forge/Scrapwork buy"),IF(IFERROR(VLOOKUP(C110,Upgrades!$N$4:$T$47,2,FALSE),0)="points","Can't",IF(IFERROR(VLOOKUP(C110,Upgrades!$N$4:$T$47,2,FALSE),0)="gold",IF(H109&lt;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buy",$C$3:$C109,C110))),1),0),"Can't","OK"),IF(IFERROR(VLOOKUP(C110,Upgrades!$N$4:$T$47,2,FALSE),0)="scraps",IF(J109&lt;IFERROR(FLOOR(IFERROR(VLOOKUP(C110,Upgrades!$N$4:$T$47,3,FALSE),0)*(IFERROR(VLOOKUP(C110,Upgrades!$N$4:$T$47,4,FALSE),0)^(COUNTIFS($B$3:$B109,"Buy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buy",$C$3:$C109,C110))),1),0),"Can't","OK"),IF(IFERROR(VLOOKUP(C110,Upgrades!$N$4:$T$47,2,FALSE),0)="mats","Can't","OK")))),"Check")))))</f>
        <v/>
      </c>
      <c r="F110" s="7">
        <f>IF(B110="","",IF(AND(B110="Fight boss",I109&lt;IF((IFERROR(VLOOKUP(C110,Monsters!$T$4:$AH$15,15,FALSE),0))=0,120,IFERROR(VLOOKUP(C110,Monsters!$T$4:$AH$15,15,FALSE),0))),"Can't — need "&amp;TEXT(IF((IFERROR(VLOOKUP(C110,Monsters!$T$4:$AH$15,15,FALSE),0))=0,120,IFERROR(VLOOKUP(C110,Monsters!$T$4:$AH$15,15,FALSE),0))-I109,"0.0")&amp;" more Slayer points on the meter",IF(AND(B110="Hire hunter",C110="Briar",AD109&gt;=1),"Can't — already hired",IF(AND(B110="Hire hunter",H109&lt;IF(C110="Briar",140,IF(C110="Quill",3650,IF(C110="Moss",4850,IF(C110="Ember",12200,0))))),"Can't — need "&amp;TEXT(IF(C110="Briar",140,IF(C110="Quill",3650,IF(C110="Moss",4850,IF(C110="Ember",12200,0))))-H109,"0")&amp;" more gold",IF(AND(OR(B110="Buy upgrade",B110="Forge/Scrapwork buy"),IFERROR(VLOOKUP(C110,Upgrades!$N$4:$T$47,2,FALSE),0)="points"),"Can't — Sp-wallet spends not tracked here",IF(AND(OR(B110="Buy upgrade",B110="Forge/Scrapwork buy"),IFERROR(VLOOKUP(C110,Upgrades!$N$4:$T$47,2,FALSE),0)="gold",H109&lt;IFERROR(FLOOR(IFERROR(VLOOKUP(C110,Upgrades!$N$4:$T$47,3,FALSE),0)*(IFERROR(VLOOKUP(C110,Upgrades!$N$4:$T$47,4,FALSE),0)^(COUNTIFS($B$3:$B109,"Buy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buy",$C$3:$C109,C110))),1),0)),"Can't — need "&amp;TEXT(IFERROR(FLOOR(IFERROR(VLOOKUP(C110,Upgrades!$N$4:$T$47,3,FALSE),0)*(IFERROR(VLOOKUP(C110,Upgrades!$N$4:$T$47,4,FALSE),0)^(COUNTIFS($B$3:$B109,"Buy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buy",$C$3:$C109,C110))),1),0)-H109,"0")&amp;" more gold",IF(AND(OR(B110="Buy upgrade",B110="Forge/Scrapwork buy"),IFERROR(VLOOKUP(C110,Upgrades!$N$4:$T$47,2,FALSE),0)="scraps",J109&lt;IFERROR(FLOOR(IFERROR(VLOOKUP(C110,Upgrades!$N$4:$T$47,3,FALSE),0)*(IFERROR(VLOOKUP(C110,Upgrades!$N$4:$T$47,4,FALSE),0)^(COUNTIFS($B$3:$B109,"Buy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buy",$C$3:$C109,C110))),1),0)),"Can't — need "&amp;TEXT(IFERROR(FLOOR(IFERROR(VLOOKUP(C110,Upgrades!$N$4:$T$47,3,FALSE),0)*(IFERROR(VLOOKUP(C110,Upgrades!$N$4:$T$47,4,FALSE),0)^(COUNTIFS($B$3:$B109,"Buy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buy",$C$3:$C109,C110))),1),0)-J109,"0")&amp;" more scraps",IF(AND(B110="Fight boss",E110="OK",(IF((((105/'Rules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Formulas'!B12)),"WIN — boss down, next Level unlocks",IF(AND(B110="Fight boss",E110="OK"),"LOSE — TTK "&amp;TEXT(IF((((105/'Rules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Formulas'!B20*SQRT(1+0.55*(AG109&gt;=1))),0)))),"0")&amp;"s &gt; patience "&amp;TEXT('Rules &amp; Formulas'!B12,"0")&amp;"s (leave resets HP)",IF(B110="Go AFK","AFK resolved (see AFK counted h)","Applied")))))))))</f>
        <v/>
      </c>
      <c r="G110" s="7">
        <f>IF(AND((E110="OK"),B110="Fight boss",(IF((((105/'Rules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Formulas'!B12),C110="Elder Thornpelt"),2,IF(AND((E110="OK"),B110="Fight boss",(IF((((105/'Rules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Formulas'!B12),C110="Ashfang Alpha"),3,G109))</f>
        <v/>
      </c>
      <c r="H110" s="7">
        <f>MAX(0,H109+IF(AND((E110="OK"),B110="Hunt"),(IF(B110="Hunt",(('Rules &amp; Formulas'!B4*N109*('Rules &amp; Formulas'!B5+O109)*IFERROR(VLOOKUP(C110,Monsters!$T$4:$AH$15,10,FALSE),0)*IFERROR(VLOOKUP(C110,Monsters!$T$4:$AH$15,9,FALSE),0))*'Rules &amp; Formulas'!B6)*IF(D110="",0,D110),0))*(IFERROR(VLOOKUP(C110,Monsters!$T$4:$AH$15,3,FALSE),0))*(1+0.1*AH109)+(IF(OR(B110&lt;&gt;"Hunt",IFERROR(VLOOKUP(C110,Monsters!$T$4:$AH$15,6,FALSE),0)=0),0,FLOOR((IF(B110="Hunt",(('Rules &amp; Formulas'!B4*N109*('Rules &amp; Formulas'!B5+O109)*IFERROR(VLOOKUP(C110,Monsters!$T$4:$AH$15,10,FALSE),0)*IFERROR(VLOOKUP(C110,Monsters!$T$4:$AH$15,9,FALSE),0))*'Rules &amp; Formulas'!B6)*IF(D110="",0,D110),0))/MAX(1,IFERROR(VLOOKUP(C110,Monsters!$T$4:$AH$15,6,FALSE),0)),1)))*(IFERROR(VLOOKUP(C110,Monsters!$T$4:$AH$15,7,FALSE),0))*0.5*(1+0.1*AH109),0)+IF(AND((E110="OK"),B110="Go AFK"),(IF(B110="Go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AFK",IF(D110="",0,D110),0),Z109/60)*60)),0))*(IFERROR(VLOOKUP(C110,Monsters!$T$4:$AH$15,3,FALSE),0))*(1+0.1*AH109)+(IF(OR(B110&lt;&gt;"Go AFK",IFERROR(VLOOKUP(C110,Monsters!$T$4:$AH$15,6,FALSE),0)=0),0,FLOOR((IF(B110="Go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AFK",IF(D110="",0,D110),0),Z109/60)*60)),0))/MAX(1,IFERROR(VLOOKUP(C110,Monsters!$T$4:$AH$15,6,FALSE),0)),1)))*(IFERROR(VLOOKUP(C110,Monsters!$T$4:$AH$15,7,FALSE),0))*0.5*(1+0.1*AH109),0)+IF(AND((E110="OK"),B110="Fight boss",(IF((((105/'Rules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Formulas'!B12)),IFERROR(VLOOKUP(C110,Monsters!$T$4:$AH$15,3,FALSE),0),0)-IF(AND((E110="OK"),OR(B110="Buy upgrade",B110="Forge/Scrapwork buy"),IFERROR(VLOOKUP(C110,Upgrades!$N$4:$T$47,2,FALSE),0)="gold"),IFERROR(FLOOR(IFERROR(VLOOKUP(C110,Upgrades!$N$4:$T$47,3,FALSE),0)*(IFERROR(VLOOKUP(C110,Upgrades!$N$4:$T$47,4,FALSE),0)^(COUNTIFS($B$3:$B109,"Buy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buy",$C$3:$C109,C110))),1),0),0)-IF(AND((E110="OK"),B110="Hire hunter"),IF(C110="Briar",140,IF(C110="Quill",3650,IF(C110="Moss",4850,IF(C110="Ember",12200,0)))),0))</f>
        <v/>
      </c>
      <c r="I110" s="7">
        <f>IF(AND((E110="OK"),B110="Fight boss",(IF((((105/'Rules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Formulas'!B12)),0,MIN(IF(G109&lt;=1,120,IF(G109=2,280,600)),I109+IF(AND((E110="OK"),B110="Hunt"),((IF(B110="Hunt",(('Rules &amp; Formulas'!B4*N109*('Rules &amp; Formulas'!B5+O109)*IFERROR(VLOOKUP(C110,Monsters!$T$4:$AH$15,10,FALSE),0)*IFERROR(VLOOKUP(C110,Monsters!$T$4:$AH$15,9,FALSE),0))*'Rules &amp; Formulas'!B6)*IF(D110="",0,D110),0))*(IFERROR(VLOOKUP(C110,Monsters!$T$4:$AH$15,4,FALSE),0))+(IF(OR(B110&lt;&gt;"Hunt",IFERROR(VLOOKUP(C110,Monsters!$T$4:$AH$15,6,FALSE),0)=0),0,FLOOR((IF(B110="Hunt",(('Rules &amp; Formulas'!B4*N109*('Rules &amp; Formulas'!B5+O109)*IFERROR(VLOOKUP(C110,Monsters!$T$4:$AH$15,10,FALSE),0)*IFERROR(VLOOKUP(C110,Monsters!$T$4:$AH$15,9,FALSE),0))*'Rules &amp; Formulas'!B6)*IF(D110="",0,D110),0))/MAX(1,IFERROR(VLOOKUP(C110,Monsters!$T$4:$AH$15,6,FALSE),0)),1)))*(IFERROR(VLOOKUP(C110,Monsters!$T$4:$AH$15,7,FALSE),0))),0)+IF(AND((E110="OK"),B110="Go AFK"),((IF(B110="Go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AFK",IF(D110="",0,D110),0),Z109/60)*60)),0))*(IFERROR(VLOOKUP(C110,Monsters!$T$4:$AH$15,4,FALSE),0))+(IF(OR(B110&lt;&gt;"Go AFK",IFERROR(VLOOKUP(C110,Monsters!$T$4:$AH$15,6,FALSE),0)=0),0,FLOOR((IF(B110="Go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AFK",IF(D110="",0,D110),0),Z109/60)*60)),0))/MAX(1,IFERROR(VLOOKUP(C110,Monsters!$T$4:$AH$15,6,FALSE),0)),1)))*(IFERROR(VLOOKUP(C110,Monsters!$T$4:$AH$15,7,FALSE),0))),0)))</f>
        <v/>
      </c>
      <c r="J110" s="7">
        <f>MAX(0,J109+IF(AND((E110="OK"),B110="Hunt"),(IF(B110="Hunt",(('Rules &amp; Formulas'!B4*N109*('Rules &amp; Formulas'!B5+O109)*IFERROR(VLOOKUP(C110,Monsters!$T$4:$AH$15,10,FALSE),0)*IFERROR(VLOOKUP(C110,Monsters!$T$4:$AH$15,9,FALSE),0))*'Rules &amp; Formulas'!B6)*IF(D110="",0,D110),0))*(IFERROR(VLOOKUP(C110,Monsters!$T$4:$AH$15,5,FALSE),0)),0)+IF(AND((E110="OK"),B110="Go AFK"),(IF(B110="Go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AFK",IF(D110="",0,D110),0),Z109/60)*60)),0))*(IFERROR(VLOOKUP(C110,Monsters!$T$4:$AH$15,5,FALSE),0)),0)-IF(AND((E110="OK"),OR(B110="Buy upgrade",B110="Forge/Scrapwork buy"),IFERROR(VLOOKUP(C110,Upgrades!$N$4:$T$47,2,FALSE),0)="scraps"),IFERROR(FLOOR(IFERROR(VLOOKUP(C110,Upgrades!$N$4:$T$47,3,FALSE),0)*(IFERROR(VLOOKUP(C110,Upgrades!$N$4:$T$47,4,FALSE),0)^(COUNTIFS($B$3:$B109,"Buy upgrade",$C$3:$C109,C110)+COUNTIFS($B$3:$B109,"Hire hunter",$C$3:$C109,C110)+COUNTIFS($B$3:$B109,"Forge/Scrapwork buy",$C$3:$C109,C110))),1),0),0))</f>
        <v/>
      </c>
      <c r="K110" s="7">
        <f>MAX(0,K109+IF(AND((E110="OK"),B110="Hunt"),IF(C110="Thornpelt Bear",(IF(B110="Hunt",(('Rules &amp; Formulas'!B4*N109*('Rules &amp; Formulas'!B5+O109)*IFERROR(VLOOKUP(C110,Monsters!$T$4:$AH$15,10,FALSE),0)*IFERROR(VLOOKUP(C110,Monsters!$T$4:$AH$15,9,FALSE),0))*'Rules &amp; Formulas'!B6)*IF(D110="",0,D110),0))*0.12,0),0)+IF(AND((E110="OK"),B110="Go AFK"),IF(C110="Thornpelt Bear",(IF(B110="Go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AFK",IF(D110="",0,D110),0),Z109/60)*60)),0))*0.12,0),0))</f>
        <v/>
      </c>
      <c r="L110" s="7">
        <f>MAX(0,L109+IF(AND((E110="OK"),B110="Hunt"),IF(C110="Dire Thornpelt",(IF(B110="Hunt",(('Rules &amp; Formulas'!B4*N109*('Rules &amp; Formulas'!B5+O109)*IFERROR(VLOOKUP(C110,Monsters!$T$4:$AH$15,10,FALSE),0)*IFERROR(VLOOKUP(C110,Monsters!$T$4:$AH$15,9,FALSE),0))*'Rules &amp; Formulas'!B6)*IF(D110="",0,D110),0))*0.1,0),0)+IF(AND((E110="OK"),B110="Go AFK"),IF(C110="Dire Thornpelt",(IF(B110="Go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AFK",IF(D110="",0,D110),0),Z109/60)*60)),0))*0.1,0),0))</f>
        <v/>
      </c>
      <c r="M110" s="7">
        <f>IF(AND((E110="OK"),B110="Go AFK"),MAX(0,MIN(('Rules &amp; Formulas'!B15+25*AJ109),M109+('Rules &amp; Formulas'!B14+0.4*AJ109)*(MIN(IF(B110="Go AFK",IF(D110="",0,D110),0),Z109/60)*60))-(IF(B110="Go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AFK",IF(D110="",0,D110),0),Z109/60)*60)),0))*(IF((IFERROR(VLOOKUP(C110,Monsters!$T$4:$AH$15,8,FALSE),0))=0,0.35,IFERROR(VLOOKUP(C110,Monsters!$T$4:$AH$15,8,FALSE),0))/(1+0.08*AK109))),MIN(('Rules &amp; Formulas'!B15+25*AJ110),M109))</f>
        <v/>
      </c>
      <c r="N110" s="7">
        <f>(1+0.08+0.12*AA110+0.12*AB110+0.16*AC110)</f>
        <v/>
      </c>
      <c r="O110" s="7">
        <f>((AD110&gt;=1)*1*(1+0.3*AE110))</f>
        <v/>
      </c>
      <c r="P110" s="7">
        <f>IF(OR(B110="Hunt",B110="Go AFK"),(('Rules &amp; Formulas'!B4*N109*('Rules &amp; Formulas'!B5+O109)*IFERROR(VLOOKUP(C110,Monsters!$T$4:$AH$15,10,FALSE),0)*IFERROR(VLOOKUP(C110,Monsters!$T$4:$AH$15,9,FALSE),0))*'Rules &amp; Formulas'!B6),"")</f>
        <v/>
      </c>
      <c r="Q110" s="7">
        <f>IF(OR(B110="Hunt",B110="Go AFK"),('Rules &amp; Formulas'!B4*N109*('Rules &amp; Formulas'!B5+O109)*IFERROR(VLOOKUP(C110,Monsters!$T$4:$AH$15,10,FALSE),0)*IFERROR(VLOOKUP(C110,Monsters!$T$4:$AH$15,9,FALSE),0)),"")</f>
        <v/>
      </c>
      <c r="R110" s="7">
        <f>IF(AND((E110="OK"),B110="Hunt"),IF(B110="Hunt",(('Rules &amp; Formulas'!B4*N109*('Rules &amp; Formulas'!B5+O109)*IFERROR(VLOOKUP(C110,Monsters!$T$4:$AH$15,10,FALSE),0)*IFERROR(VLOOKUP(C110,Monsters!$T$4:$AH$15,9,FALSE),0))*'Rules &amp; Formulas'!B6)*IF(D110="",0,D110),0),IF(AND((E110="OK"),B110="Go AFK"),IF(B110="Go AFK",MIN(IF((IF((IFERROR(VLOOKUP(C110,Monsters!$T$4:$AH$15,8,FALSE),0))=0,0.35,IFERROR(VLOOKUP(C110,Monsters!$T$4:$AH$15,8,FALSE),0))/(1+0.08*AK109))&lt;=0,999999,FLOOR(MIN(('Rules &amp; Formulas'!B15+25*AJ109),M109+('Rules &amp; Formulas'!B14+0.4*AJ109)*(MIN(IF(B110="Go AFK",IF(D110="",0,D110),0),Z109/60)*60))/(IF((IFERROR(VLOOKUP(C110,Monsters!$T$4:$AH$15,8,FALSE),0))=0,0.35,IFERROR(VLOOKUP(C110,Monsters!$T$4:$AH$15,8,FALSE),0))/(1+0.08*AK109)),1)),('Rules &amp; Formulas'!B4*N109*('Rules &amp; Formulas'!B5+O109)*IFERROR(VLOOKUP(C110,Monsters!$T$4:$AH$15,10,FALSE),0)*IFERROR(VLOOKUP(C110,Monsters!$T$4:$AH$15,9,FALSE),0))*(MIN(IF(B110="Go AFK",IF(D110="",0,D110),0),Z109/60)*60)),0),0))</f>
        <v/>
      </c>
      <c r="S110" s="7">
        <f>(105/'Rules &amp; Formulas'!B10)*'Rules &amp; Formulas'!B11</f>
        <v/>
      </c>
      <c r="T110" s="7">
        <f>IF(AD109&gt;=1,(MAX(1,ROUND('Rules &amp; Formulas'!B18*(1+0.3*AE109)*(1+0.4*AF109),0)))*(1000/'Rules &amp; Formulas'!B19)*MIN(0.95,'Rules &amp; Formulas'!B20*SQRT(1+0.55*(AG109&gt;=1))),0)</f>
        <v/>
      </c>
      <c r="U110" s="7">
        <f>S110+T110</f>
        <v/>
      </c>
      <c r="V110" s="7">
        <f>IF(I109&gt;=IF((IFERROR(VLOOKUP(C110,Monsters!$T$4:$AH$15,15,FALSE),0))=0,120,IFERROR(VLOOKUP(C110,Monsters!$T$4:$AH$15,15,FALSE),0)),"YES","no")</f>
        <v/>
      </c>
      <c r="W110" s="7">
        <f>IF(AND(B110="Fight boss",E110="OK"),IF((((105/'Rules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Formulas'!B20*SQRT(1+0.55*(AG109&gt;=1))),0)))),"")</f>
        <v/>
      </c>
      <c r="X110" s="7">
        <f>IF(AND(B110="Fight boss",E110="OK"),IF((IF((((105/'Rules &amp; Formulas'!B10)*'Rules &amp; Formulas'!B11+IF(AD109&gt;=1,(MAX(1,ROUND('Rules &amp; Formulas'!B18*(1+0.3*AE109)*(1+0.4*AF109),0)))*(1000/'Rules &amp; Formulas'!B19)*MIN(0.95,'Rules &amp; Formulas'!B20*SQRT(1+0.55*(AG109&gt;=1))),0)))&lt;=0,9999,(IFERROR(VLOOKUP(C110,Monsters!$T$4:$AH$15,2,FALSE),0))/(((105/'Rules &amp; Formulas'!B10)*'Rules &amp; Formulas'!B11+IF(AD109&gt;=1,(MAX(1,ROUND('Rules &amp; Formulas'!B18*(1+0.3*AE109)*(1+0.4*AF109),0)))*(1000/'Rules &amp; Formulas'!B19)*MIN(0.95,'Rules &amp; Formulas'!B20*SQRT(1+0.55*(AG109&gt;=1))),0))))&lt;='Rules &amp; Formulas'!B12),"WIN","LOSE"),"")</f>
        <v/>
      </c>
      <c r="Y110" s="7">
        <f>IF(B110="Go AFK",MIN(IF(B110="Go AFK",IF(D110="",0,D110),0),Z109/60),"")</f>
        <v/>
      </c>
      <c r="Z110" s="7">
        <f>('Rules &amp; Formulas'!B13+30*AI110)</f>
        <v/>
      </c>
      <c r="AA110">
        <f>COUNTIFS($B$3:$B110,"Buy upgrade",$C$3:$C110,"Idle Power")</f>
        <v/>
      </c>
      <c r="AB110">
        <f>COUNTIFS($B$3:$B110,"Buy upgrade",$C$3:$C110,"Iron Blade")</f>
        <v/>
      </c>
      <c r="AC110">
        <f>COUNTIFS($B$3:$B110,"Buy upgrade",$C$3:$C110,"Steel Blade")</f>
        <v/>
      </c>
      <c r="AD110">
        <f>COUNTIFS($B$3:$B110,"Hire hunter",$C$3:$C110,"Briar")+COUNTIFS($B$3:$B110,"Buy upgrade",$C$3:$C110,"Hire Briar")</f>
        <v/>
      </c>
      <c r="AE110">
        <f>COUNTIFS($B$3:$B110,"Buy upgrade",$C$3:$C110,"Hunter Power")</f>
        <v/>
      </c>
      <c r="AF110">
        <f>COUNTIFS($B$3:$B110,"Buy upgrade",$C$3:$C110,"Bigger Hits")</f>
        <v/>
      </c>
      <c r="AG110">
        <f>COUNTIFS($B$3:$B110,"Buy upgrade",$C$3:$C110,"Swift Walk")</f>
        <v/>
      </c>
      <c r="AH110">
        <f>COUNTIFS($B$3:$B110,"Buy upgrade",$C$3:$C110,"Loot Luck")</f>
        <v/>
      </c>
      <c r="AI110">
        <f>COUNTIFS($B$3:$B110,"Buy upgrade",$C$3:$C110,"Offline Cap")</f>
        <v/>
      </c>
      <c r="AJ110">
        <f>COUNTIFS($B$3:$B110,"Buy upgrade",$C$3:$C110,"Bigger Food Stock")</f>
        <v/>
      </c>
      <c r="AK110">
        <f>COUNTIFS($B$3:$B110,"Buy upgrade",$C$3:$C110,"Food Efficiency")</f>
        <v/>
      </c>
    </row>
    <row r="111">
      <c r="A111" t="n">
        <v>109</v>
      </c>
      <c r="B111" s="6" t="n"/>
      <c r="C111" s="6" t="n"/>
      <c r="D111" s="6" t="n"/>
      <c r="E111" s="7">
        <f>IF(B111="","",IF(OR(B111="Hunt",B111="Go AFK"),IF(C111="","Can't","OK"),IF(B111="Fight boss",IF(I110&lt;IF((IFERROR(VLOOKUP(C111,Monsters!$T$4:$AH$15,15,FALSE),0))=0,120,IFERROR(VLOOKUP(C111,Monsters!$T$4:$AH$15,15,FALSE),0)),"Can't","OK"),IF(B111="Hire hunter",IF(AND(C111="Briar",AD110&gt;=1),"Can't",IF(H110&lt;IF(C111="Briar",140,IF(C111="Quill",3650,IF(C111="Moss",4850,IF(C111="Ember",12200,0)))),"Can't","OK")),IF(OR(B111="Buy upgrade",B111="Forge/Scrapwork buy"),IF(IFERROR(VLOOKUP(C111,Upgrades!$N$4:$T$47,2,FALSE),0)="points","Can't",IF(IFERROR(VLOOKUP(C111,Upgrades!$N$4:$T$47,2,FALSE),0)="gold",IF(H110&lt;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buy",$C$3:$C110,C111))),1),0),"Can't","OK"),IF(IFERROR(VLOOKUP(C111,Upgrades!$N$4:$T$47,2,FALSE),0)="scraps",IF(J110&lt;IFERROR(FLOOR(IFERROR(VLOOKUP(C111,Upgrades!$N$4:$T$47,3,FALSE),0)*(IFERROR(VLOOKUP(C111,Upgrades!$N$4:$T$47,4,FALSE),0)^(COUNTIFS($B$3:$B110,"Buy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buy",$C$3:$C110,C111))),1),0),"Can't","OK"),IF(IFERROR(VLOOKUP(C111,Upgrades!$N$4:$T$47,2,FALSE),0)="mats","Can't","OK")))),"Check")))))</f>
        <v/>
      </c>
      <c r="F111" s="7">
        <f>IF(B111="","",IF(AND(B111="Fight boss",I110&lt;IF((IFERROR(VLOOKUP(C111,Monsters!$T$4:$AH$15,15,FALSE),0))=0,120,IFERROR(VLOOKUP(C111,Monsters!$T$4:$AH$15,15,FALSE),0))),"Can't — need "&amp;TEXT(IF((IFERROR(VLOOKUP(C111,Monsters!$T$4:$AH$15,15,FALSE),0))=0,120,IFERROR(VLOOKUP(C111,Monsters!$T$4:$AH$15,15,FALSE),0))-I110,"0.0")&amp;" more Slayer points on the meter",IF(AND(B111="Hire hunter",C111="Briar",AD110&gt;=1),"Can't — already hired",IF(AND(B111="Hire hunter",H110&lt;IF(C111="Briar",140,IF(C111="Quill",3650,IF(C111="Moss",4850,IF(C111="Ember",12200,0))))),"Can't — need "&amp;TEXT(IF(C111="Briar",140,IF(C111="Quill",3650,IF(C111="Moss",4850,IF(C111="Ember",12200,0))))-H110,"0")&amp;" more gold",IF(AND(OR(B111="Buy upgrade",B111="Forge/Scrapwork buy"),IFERROR(VLOOKUP(C111,Upgrades!$N$4:$T$47,2,FALSE),0)="points"),"Can't — Sp-wallet spends not tracked here",IF(AND(OR(B111="Buy upgrade",B111="Forge/Scrapwork buy"),IFERROR(VLOOKUP(C111,Upgrades!$N$4:$T$47,2,FALSE),0)="gold",H110&lt;IFERROR(FLOOR(IFERROR(VLOOKUP(C111,Upgrades!$N$4:$T$47,3,FALSE),0)*(IFERROR(VLOOKUP(C111,Upgrades!$N$4:$T$47,4,FALSE),0)^(COUNTIFS($B$3:$B110,"Buy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buy",$C$3:$C110,C111))),1),0)),"Can't — need "&amp;TEXT(IFERROR(FLOOR(IFERROR(VLOOKUP(C111,Upgrades!$N$4:$T$47,3,FALSE),0)*(IFERROR(VLOOKUP(C111,Upgrades!$N$4:$T$47,4,FALSE),0)^(COUNTIFS($B$3:$B110,"Buy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buy",$C$3:$C110,C111))),1),0)-H110,"0")&amp;" more gold",IF(AND(OR(B111="Buy upgrade",B111="Forge/Scrapwork buy"),IFERROR(VLOOKUP(C111,Upgrades!$N$4:$T$47,2,FALSE),0)="scraps",J110&lt;IFERROR(FLOOR(IFERROR(VLOOKUP(C111,Upgrades!$N$4:$T$47,3,FALSE),0)*(IFERROR(VLOOKUP(C111,Upgrades!$N$4:$T$47,4,FALSE),0)^(COUNTIFS($B$3:$B110,"Buy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buy",$C$3:$C110,C111))),1),0)),"Can't — need "&amp;TEXT(IFERROR(FLOOR(IFERROR(VLOOKUP(C111,Upgrades!$N$4:$T$47,3,FALSE),0)*(IFERROR(VLOOKUP(C111,Upgrades!$N$4:$T$47,4,FALSE),0)^(COUNTIFS($B$3:$B110,"Buy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buy",$C$3:$C110,C111))),1),0)-J110,"0")&amp;" more scraps",IF(AND(B111="Fight boss",E111="OK",(IF((((105/'Rules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Formulas'!B12)),"WIN — boss down, next Level unlocks",IF(AND(B111="Fight boss",E111="OK"),"LOSE — TTK "&amp;TEXT(IF((((105/'Rules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Formulas'!B20*SQRT(1+0.55*(AG110&gt;=1))),0)))),"0")&amp;"s &gt; patience "&amp;TEXT('Rules &amp; Formulas'!B12,"0")&amp;"s (leave resets HP)",IF(B111="Go AFK","AFK resolved (see AFK counted h)","Applied")))))))))</f>
        <v/>
      </c>
      <c r="G111" s="7">
        <f>IF(AND((E111="OK"),B111="Fight boss",(IF((((105/'Rules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Formulas'!B12),C111="Elder Thornpelt"),2,IF(AND((E111="OK"),B111="Fight boss",(IF((((105/'Rules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Formulas'!B12),C111="Ashfang Alpha"),3,G110))</f>
        <v/>
      </c>
      <c r="H111" s="7">
        <f>MAX(0,H110+IF(AND((E111="OK"),B111="Hunt"),(IF(B111="Hunt",(('Rules &amp; Formulas'!B4*N110*('Rules &amp; Formulas'!B5+O110)*IFERROR(VLOOKUP(C111,Monsters!$T$4:$AH$15,10,FALSE),0)*IFERROR(VLOOKUP(C111,Monsters!$T$4:$AH$15,9,FALSE),0))*'Rules &amp; Formulas'!B6)*IF(D111="",0,D111),0))*(IFERROR(VLOOKUP(C111,Monsters!$T$4:$AH$15,3,FALSE),0))*(1+0.1*AH110)+(IF(OR(B111&lt;&gt;"Hunt",IFERROR(VLOOKUP(C111,Monsters!$T$4:$AH$15,6,FALSE),0)=0),0,FLOOR((IF(B111="Hunt",(('Rules &amp; Formulas'!B4*N110*('Rules &amp; Formulas'!B5+O110)*IFERROR(VLOOKUP(C111,Monsters!$T$4:$AH$15,10,FALSE),0)*IFERROR(VLOOKUP(C111,Monsters!$T$4:$AH$15,9,FALSE),0))*'Rules &amp; Formulas'!B6)*IF(D111="",0,D111),0))/MAX(1,IFERROR(VLOOKUP(C111,Monsters!$T$4:$AH$15,6,FALSE),0)),1)))*(IFERROR(VLOOKUP(C111,Monsters!$T$4:$AH$15,7,FALSE),0))*0.5*(1+0.1*AH110),0)+IF(AND((E111="OK"),B111="Go AFK"),(IF(B111="Go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AFK",IF(D111="",0,D111),0),Z110/60)*60)),0))*(IFERROR(VLOOKUP(C111,Monsters!$T$4:$AH$15,3,FALSE),0))*(1+0.1*AH110)+(IF(OR(B111&lt;&gt;"Go AFK",IFERROR(VLOOKUP(C111,Monsters!$T$4:$AH$15,6,FALSE),0)=0),0,FLOOR((IF(B111="Go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AFK",IF(D111="",0,D111),0),Z110/60)*60)),0))/MAX(1,IFERROR(VLOOKUP(C111,Monsters!$T$4:$AH$15,6,FALSE),0)),1)))*(IFERROR(VLOOKUP(C111,Monsters!$T$4:$AH$15,7,FALSE),0))*0.5*(1+0.1*AH110),0)+IF(AND((E111="OK"),B111="Fight boss",(IF((((105/'Rules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Formulas'!B12)),IFERROR(VLOOKUP(C111,Monsters!$T$4:$AH$15,3,FALSE),0),0)-IF(AND((E111="OK"),OR(B111="Buy upgrade",B111="Forge/Scrapwork buy"),IFERROR(VLOOKUP(C111,Upgrades!$N$4:$T$47,2,FALSE),0)="gold"),IFERROR(FLOOR(IFERROR(VLOOKUP(C111,Upgrades!$N$4:$T$47,3,FALSE),0)*(IFERROR(VLOOKUP(C111,Upgrades!$N$4:$T$47,4,FALSE),0)^(COUNTIFS($B$3:$B110,"Buy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buy",$C$3:$C110,C111))),1),0),0)-IF(AND((E111="OK"),B111="Hire hunter"),IF(C111="Briar",140,IF(C111="Quill",3650,IF(C111="Moss",4850,IF(C111="Ember",12200,0)))),0))</f>
        <v/>
      </c>
      <c r="I111" s="7">
        <f>IF(AND((E111="OK"),B111="Fight boss",(IF((((105/'Rules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Formulas'!B12)),0,MIN(IF(G110&lt;=1,120,IF(G110=2,280,600)),I110+IF(AND((E111="OK"),B111="Hunt"),((IF(B111="Hunt",(('Rules &amp; Formulas'!B4*N110*('Rules &amp; Formulas'!B5+O110)*IFERROR(VLOOKUP(C111,Monsters!$T$4:$AH$15,10,FALSE),0)*IFERROR(VLOOKUP(C111,Monsters!$T$4:$AH$15,9,FALSE),0))*'Rules &amp; Formulas'!B6)*IF(D111="",0,D111),0))*(IFERROR(VLOOKUP(C111,Monsters!$T$4:$AH$15,4,FALSE),0))+(IF(OR(B111&lt;&gt;"Hunt",IFERROR(VLOOKUP(C111,Monsters!$T$4:$AH$15,6,FALSE),0)=0),0,FLOOR((IF(B111="Hunt",(('Rules &amp; Formulas'!B4*N110*('Rules &amp; Formulas'!B5+O110)*IFERROR(VLOOKUP(C111,Monsters!$T$4:$AH$15,10,FALSE),0)*IFERROR(VLOOKUP(C111,Monsters!$T$4:$AH$15,9,FALSE),0))*'Rules &amp; Formulas'!B6)*IF(D111="",0,D111),0))/MAX(1,IFERROR(VLOOKUP(C111,Monsters!$T$4:$AH$15,6,FALSE),0)),1)))*(IFERROR(VLOOKUP(C111,Monsters!$T$4:$AH$15,7,FALSE),0))),0)+IF(AND((E111="OK"),B111="Go AFK"),((IF(B111="Go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AFK",IF(D111="",0,D111),0),Z110/60)*60)),0))*(IFERROR(VLOOKUP(C111,Monsters!$T$4:$AH$15,4,FALSE),0))+(IF(OR(B111&lt;&gt;"Go AFK",IFERROR(VLOOKUP(C111,Monsters!$T$4:$AH$15,6,FALSE),0)=0),0,FLOOR((IF(B111="Go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AFK",IF(D111="",0,D111),0),Z110/60)*60)),0))/MAX(1,IFERROR(VLOOKUP(C111,Monsters!$T$4:$AH$15,6,FALSE),0)),1)))*(IFERROR(VLOOKUP(C111,Monsters!$T$4:$AH$15,7,FALSE),0))),0)))</f>
        <v/>
      </c>
      <c r="J111" s="7">
        <f>MAX(0,J110+IF(AND((E111="OK"),B111="Hunt"),(IF(B111="Hunt",(('Rules &amp; Formulas'!B4*N110*('Rules &amp; Formulas'!B5+O110)*IFERROR(VLOOKUP(C111,Monsters!$T$4:$AH$15,10,FALSE),0)*IFERROR(VLOOKUP(C111,Monsters!$T$4:$AH$15,9,FALSE),0))*'Rules &amp; Formulas'!B6)*IF(D111="",0,D111),0))*(IFERROR(VLOOKUP(C111,Monsters!$T$4:$AH$15,5,FALSE),0)),0)+IF(AND((E111="OK"),B111="Go AFK"),(IF(B111="Go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AFK",IF(D111="",0,D111),0),Z110/60)*60)),0))*(IFERROR(VLOOKUP(C111,Monsters!$T$4:$AH$15,5,FALSE),0)),0)-IF(AND((E111="OK"),OR(B111="Buy upgrade",B111="Forge/Scrapwork buy"),IFERROR(VLOOKUP(C111,Upgrades!$N$4:$T$47,2,FALSE),0)="scraps"),IFERROR(FLOOR(IFERROR(VLOOKUP(C111,Upgrades!$N$4:$T$47,3,FALSE),0)*(IFERROR(VLOOKUP(C111,Upgrades!$N$4:$T$47,4,FALSE),0)^(COUNTIFS($B$3:$B110,"Buy upgrade",$C$3:$C110,C111)+COUNTIFS($B$3:$B110,"Hire hunter",$C$3:$C110,C111)+COUNTIFS($B$3:$B110,"Forge/Scrapwork buy",$C$3:$C110,C111))),1),0),0))</f>
        <v/>
      </c>
      <c r="K111" s="7">
        <f>MAX(0,K110+IF(AND((E111="OK"),B111="Hunt"),IF(C111="Thornpelt Bear",(IF(B111="Hunt",(('Rules &amp; Formulas'!B4*N110*('Rules &amp; Formulas'!B5+O110)*IFERROR(VLOOKUP(C111,Monsters!$T$4:$AH$15,10,FALSE),0)*IFERROR(VLOOKUP(C111,Monsters!$T$4:$AH$15,9,FALSE),0))*'Rules &amp; Formulas'!B6)*IF(D111="",0,D111),0))*0.12,0),0)+IF(AND((E111="OK"),B111="Go AFK"),IF(C111="Thornpelt Bear",(IF(B111="Go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AFK",IF(D111="",0,D111),0),Z110/60)*60)),0))*0.12,0),0))</f>
        <v/>
      </c>
      <c r="L111" s="7">
        <f>MAX(0,L110+IF(AND((E111="OK"),B111="Hunt"),IF(C111="Dire Thornpelt",(IF(B111="Hunt",(('Rules &amp; Formulas'!B4*N110*('Rules &amp; Formulas'!B5+O110)*IFERROR(VLOOKUP(C111,Monsters!$T$4:$AH$15,10,FALSE),0)*IFERROR(VLOOKUP(C111,Monsters!$T$4:$AH$15,9,FALSE),0))*'Rules &amp; Formulas'!B6)*IF(D111="",0,D111),0))*0.1,0),0)+IF(AND((E111="OK"),B111="Go AFK"),IF(C111="Dire Thornpelt",(IF(B111="Go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AFK",IF(D111="",0,D111),0),Z110/60)*60)),0))*0.1,0),0))</f>
        <v/>
      </c>
      <c r="M111" s="7">
        <f>IF(AND((E111="OK"),B111="Go AFK"),MAX(0,MIN(('Rules &amp; Formulas'!B15+25*AJ110),M110+('Rules &amp; Formulas'!B14+0.4*AJ110)*(MIN(IF(B111="Go AFK",IF(D111="",0,D111),0),Z110/60)*60))-(IF(B111="Go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AFK",IF(D111="",0,D111),0),Z110/60)*60)),0))*(IF((IFERROR(VLOOKUP(C111,Monsters!$T$4:$AH$15,8,FALSE),0))=0,0.35,IFERROR(VLOOKUP(C111,Monsters!$T$4:$AH$15,8,FALSE),0))/(1+0.08*AK110))),MIN(('Rules &amp; Formulas'!B15+25*AJ111),M110))</f>
        <v/>
      </c>
      <c r="N111" s="7">
        <f>(1+0.08+0.12*AA111+0.12*AB111+0.16*AC111)</f>
        <v/>
      </c>
      <c r="O111" s="7">
        <f>((AD111&gt;=1)*1*(1+0.3*AE111))</f>
        <v/>
      </c>
      <c r="P111" s="7">
        <f>IF(OR(B111="Hunt",B111="Go AFK"),(('Rules &amp; Formulas'!B4*N110*('Rules &amp; Formulas'!B5+O110)*IFERROR(VLOOKUP(C111,Monsters!$T$4:$AH$15,10,FALSE),0)*IFERROR(VLOOKUP(C111,Monsters!$T$4:$AH$15,9,FALSE),0))*'Rules &amp; Formulas'!B6),"")</f>
        <v/>
      </c>
      <c r="Q111" s="7">
        <f>IF(OR(B111="Hunt",B111="Go AFK"),('Rules &amp; Formulas'!B4*N110*('Rules &amp; Formulas'!B5+O110)*IFERROR(VLOOKUP(C111,Monsters!$T$4:$AH$15,10,FALSE),0)*IFERROR(VLOOKUP(C111,Monsters!$T$4:$AH$15,9,FALSE),0)),"")</f>
        <v/>
      </c>
      <c r="R111" s="7">
        <f>IF(AND((E111="OK"),B111="Hunt"),IF(B111="Hunt",(('Rules &amp; Formulas'!B4*N110*('Rules &amp; Formulas'!B5+O110)*IFERROR(VLOOKUP(C111,Monsters!$T$4:$AH$15,10,FALSE),0)*IFERROR(VLOOKUP(C111,Monsters!$T$4:$AH$15,9,FALSE),0))*'Rules &amp; Formulas'!B6)*IF(D111="",0,D111),0),IF(AND((E111="OK"),B111="Go AFK"),IF(B111="Go AFK",MIN(IF((IF((IFERROR(VLOOKUP(C111,Monsters!$T$4:$AH$15,8,FALSE),0))=0,0.35,IFERROR(VLOOKUP(C111,Monsters!$T$4:$AH$15,8,FALSE),0))/(1+0.08*AK110))&lt;=0,999999,FLOOR(MIN(('Rules &amp; Formulas'!B15+25*AJ110),M110+('Rules &amp; Formulas'!B14+0.4*AJ110)*(MIN(IF(B111="Go AFK",IF(D111="",0,D111),0),Z110/60)*60))/(IF((IFERROR(VLOOKUP(C111,Monsters!$T$4:$AH$15,8,FALSE),0))=0,0.35,IFERROR(VLOOKUP(C111,Monsters!$T$4:$AH$15,8,FALSE),0))/(1+0.08*AK110)),1)),('Rules &amp; Formulas'!B4*N110*('Rules &amp; Formulas'!B5+O110)*IFERROR(VLOOKUP(C111,Monsters!$T$4:$AH$15,10,FALSE),0)*IFERROR(VLOOKUP(C111,Monsters!$T$4:$AH$15,9,FALSE),0))*(MIN(IF(B111="Go AFK",IF(D111="",0,D111),0),Z110/60)*60)),0),0))</f>
        <v/>
      </c>
      <c r="S111" s="7">
        <f>(105/'Rules &amp; Formulas'!B10)*'Rules &amp; Formulas'!B11</f>
        <v/>
      </c>
      <c r="T111" s="7">
        <f>IF(AD110&gt;=1,(MAX(1,ROUND('Rules &amp; Formulas'!B18*(1+0.3*AE110)*(1+0.4*AF110),0)))*(1000/'Rules &amp; Formulas'!B19)*MIN(0.95,'Rules &amp; Formulas'!B20*SQRT(1+0.55*(AG110&gt;=1))),0)</f>
        <v/>
      </c>
      <c r="U111" s="7">
        <f>S111+T111</f>
        <v/>
      </c>
      <c r="V111" s="7">
        <f>IF(I110&gt;=IF((IFERROR(VLOOKUP(C111,Monsters!$T$4:$AH$15,15,FALSE),0))=0,120,IFERROR(VLOOKUP(C111,Monsters!$T$4:$AH$15,15,FALSE),0)),"YES","no")</f>
        <v/>
      </c>
      <c r="W111" s="7">
        <f>IF(AND(B111="Fight boss",E111="OK"),IF((((105/'Rules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Formulas'!B20*SQRT(1+0.55*(AG110&gt;=1))),0)))),"")</f>
        <v/>
      </c>
      <c r="X111" s="7">
        <f>IF(AND(B111="Fight boss",E111="OK"),IF((IF((((105/'Rules &amp; Formulas'!B10)*'Rules &amp; Formulas'!B11+IF(AD110&gt;=1,(MAX(1,ROUND('Rules &amp; Formulas'!B18*(1+0.3*AE110)*(1+0.4*AF110),0)))*(1000/'Rules &amp; Formulas'!B19)*MIN(0.95,'Rules &amp; Formulas'!B20*SQRT(1+0.55*(AG110&gt;=1))),0)))&lt;=0,9999,(IFERROR(VLOOKUP(C111,Monsters!$T$4:$AH$15,2,FALSE),0))/(((105/'Rules &amp; Formulas'!B10)*'Rules &amp; Formulas'!B11+IF(AD110&gt;=1,(MAX(1,ROUND('Rules &amp; Formulas'!B18*(1+0.3*AE110)*(1+0.4*AF110),0)))*(1000/'Rules &amp; Formulas'!B19)*MIN(0.95,'Rules &amp; Formulas'!B20*SQRT(1+0.55*(AG110&gt;=1))),0))))&lt;='Rules &amp; Formulas'!B12),"WIN","LOSE"),"")</f>
        <v/>
      </c>
      <c r="Y111" s="7">
        <f>IF(B111="Go AFK",MIN(IF(B111="Go AFK",IF(D111="",0,D111),0),Z110/60),"")</f>
        <v/>
      </c>
      <c r="Z111" s="7">
        <f>('Rules &amp; Formulas'!B13+30*AI111)</f>
        <v/>
      </c>
      <c r="AA111">
        <f>COUNTIFS($B$3:$B111,"Buy upgrade",$C$3:$C111,"Idle Power")</f>
        <v/>
      </c>
      <c r="AB111">
        <f>COUNTIFS($B$3:$B111,"Buy upgrade",$C$3:$C111,"Iron Blade")</f>
        <v/>
      </c>
      <c r="AC111">
        <f>COUNTIFS($B$3:$B111,"Buy upgrade",$C$3:$C111,"Steel Blade")</f>
        <v/>
      </c>
      <c r="AD111">
        <f>COUNTIFS($B$3:$B111,"Hire hunter",$C$3:$C111,"Briar")+COUNTIFS($B$3:$B111,"Buy upgrade",$C$3:$C111,"Hire Briar")</f>
        <v/>
      </c>
      <c r="AE111">
        <f>COUNTIFS($B$3:$B111,"Buy upgrade",$C$3:$C111,"Hunter Power")</f>
        <v/>
      </c>
      <c r="AF111">
        <f>COUNTIFS($B$3:$B111,"Buy upgrade",$C$3:$C111,"Bigger Hits")</f>
        <v/>
      </c>
      <c r="AG111">
        <f>COUNTIFS($B$3:$B111,"Buy upgrade",$C$3:$C111,"Swift Walk")</f>
        <v/>
      </c>
      <c r="AH111">
        <f>COUNTIFS($B$3:$B111,"Buy upgrade",$C$3:$C111,"Loot Luck")</f>
        <v/>
      </c>
      <c r="AI111">
        <f>COUNTIFS($B$3:$B111,"Buy upgrade",$C$3:$C111,"Offline Cap")</f>
        <v/>
      </c>
      <c r="AJ111">
        <f>COUNTIFS($B$3:$B111,"Buy upgrade",$C$3:$C111,"Bigger Food Stock")</f>
        <v/>
      </c>
      <c r="AK111">
        <f>COUNTIFS($B$3:$B111,"Buy upgrade",$C$3:$C111,"Food Efficiency")</f>
        <v/>
      </c>
    </row>
    <row r="112">
      <c r="A112" t="n">
        <v>110</v>
      </c>
      <c r="B112" s="6" t="n"/>
      <c r="C112" s="6" t="n"/>
      <c r="D112" s="6" t="n"/>
      <c r="E112" s="7">
        <f>IF(B112="","",IF(OR(B112="Hunt",B112="Go AFK"),IF(C112="","Can't","OK"),IF(B112="Fight boss",IF(I111&lt;IF((IFERROR(VLOOKUP(C112,Monsters!$T$4:$AH$15,15,FALSE),0))=0,120,IFERROR(VLOOKUP(C112,Monsters!$T$4:$AH$15,15,FALSE),0)),"Can't","OK"),IF(B112="Hire hunter",IF(AND(C112="Briar",AD111&gt;=1),"Can't",IF(H111&lt;IF(C112="Briar",140,IF(C112="Quill",3650,IF(C112="Moss",4850,IF(C112="Ember",12200,0)))),"Can't","OK")),IF(OR(B112="Buy upgrade",B112="Forge/Scrapwork buy"),IF(IFERROR(VLOOKUP(C112,Upgrades!$N$4:$T$47,2,FALSE),0)="points","Can't",IF(IFERROR(VLOOKUP(C112,Upgrades!$N$4:$T$47,2,FALSE),0)="gold",IF(H111&lt;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buy",$C$3:$C111,C112))),1),0),"Can't","OK"),IF(IFERROR(VLOOKUP(C112,Upgrades!$N$4:$T$47,2,FALSE),0)="scraps",IF(J111&lt;IFERROR(FLOOR(IFERROR(VLOOKUP(C112,Upgrades!$N$4:$T$47,3,FALSE),0)*(IFERROR(VLOOKUP(C112,Upgrades!$N$4:$T$47,4,FALSE),0)^(COUNTIFS($B$3:$B111,"Buy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buy",$C$3:$C111,C112))),1),0),"Can't","OK"),IF(IFERROR(VLOOKUP(C112,Upgrades!$N$4:$T$47,2,FALSE),0)="mats","Can't","OK")))),"Check")))))</f>
        <v/>
      </c>
      <c r="F112" s="7">
        <f>IF(B112="","",IF(AND(B112="Fight boss",I111&lt;IF((IFERROR(VLOOKUP(C112,Monsters!$T$4:$AH$15,15,FALSE),0))=0,120,IFERROR(VLOOKUP(C112,Monsters!$T$4:$AH$15,15,FALSE),0))),"Can't — need "&amp;TEXT(IF((IFERROR(VLOOKUP(C112,Monsters!$T$4:$AH$15,15,FALSE),0))=0,120,IFERROR(VLOOKUP(C112,Monsters!$T$4:$AH$15,15,FALSE),0))-I111,"0.0")&amp;" more Slayer points on the meter",IF(AND(B112="Hire hunter",C112="Briar",AD111&gt;=1),"Can't — already hired",IF(AND(B112="Hire hunter",H111&lt;IF(C112="Briar",140,IF(C112="Quill",3650,IF(C112="Moss",4850,IF(C112="Ember",12200,0))))),"Can't — need "&amp;TEXT(IF(C112="Briar",140,IF(C112="Quill",3650,IF(C112="Moss",4850,IF(C112="Ember",12200,0))))-H111,"0")&amp;" more gold",IF(AND(OR(B112="Buy upgrade",B112="Forge/Scrapwork buy"),IFERROR(VLOOKUP(C112,Upgrades!$N$4:$T$47,2,FALSE),0)="points"),"Can't — Sp-wallet spends not tracked here",IF(AND(OR(B112="Buy upgrade",B112="Forge/Scrapwork buy"),IFERROR(VLOOKUP(C112,Upgrades!$N$4:$T$47,2,FALSE),0)="gold",H111&lt;IFERROR(FLOOR(IFERROR(VLOOKUP(C112,Upgrades!$N$4:$T$47,3,FALSE),0)*(IFERROR(VLOOKUP(C112,Upgrades!$N$4:$T$47,4,FALSE),0)^(COUNTIFS($B$3:$B111,"Buy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buy",$C$3:$C111,C112))),1),0)),"Can't — need "&amp;TEXT(IFERROR(FLOOR(IFERROR(VLOOKUP(C112,Upgrades!$N$4:$T$47,3,FALSE),0)*(IFERROR(VLOOKUP(C112,Upgrades!$N$4:$T$47,4,FALSE),0)^(COUNTIFS($B$3:$B111,"Buy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buy",$C$3:$C111,C112))),1),0)-H111,"0")&amp;" more gold",IF(AND(OR(B112="Buy upgrade",B112="Forge/Scrapwork buy"),IFERROR(VLOOKUP(C112,Upgrades!$N$4:$T$47,2,FALSE),0)="scraps",J111&lt;IFERROR(FLOOR(IFERROR(VLOOKUP(C112,Upgrades!$N$4:$T$47,3,FALSE),0)*(IFERROR(VLOOKUP(C112,Upgrades!$N$4:$T$47,4,FALSE),0)^(COUNTIFS($B$3:$B111,"Buy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buy",$C$3:$C111,C112))),1),0)),"Can't — need "&amp;TEXT(IFERROR(FLOOR(IFERROR(VLOOKUP(C112,Upgrades!$N$4:$T$47,3,FALSE),0)*(IFERROR(VLOOKUP(C112,Upgrades!$N$4:$T$47,4,FALSE),0)^(COUNTIFS($B$3:$B111,"Buy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buy",$C$3:$C111,C112))),1),0)-J111,"0")&amp;" more scraps",IF(AND(B112="Fight boss",E112="OK",(IF((((105/'Rules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Formulas'!B12)),"WIN — boss down, next Level unlocks",IF(AND(B112="Fight boss",E112="OK"),"LOSE — TTK "&amp;TEXT(IF((((105/'Rules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Formulas'!B20*SQRT(1+0.55*(AG111&gt;=1))),0)))),"0")&amp;"s &gt; patience "&amp;TEXT('Rules &amp; Formulas'!B12,"0")&amp;"s (leave resets HP)",IF(B112="Go AFK","AFK resolved (see AFK counted h)","Applied")))))))))</f>
        <v/>
      </c>
      <c r="G112" s="7">
        <f>IF(AND((E112="OK"),B112="Fight boss",(IF((((105/'Rules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Formulas'!B12),C112="Elder Thornpelt"),2,IF(AND((E112="OK"),B112="Fight boss",(IF((((105/'Rules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Formulas'!B12),C112="Ashfang Alpha"),3,G111))</f>
        <v/>
      </c>
      <c r="H112" s="7">
        <f>MAX(0,H111+IF(AND((E112="OK"),B112="Hunt"),(IF(B112="Hunt",(('Rules &amp; Formulas'!B4*N111*('Rules &amp; Formulas'!B5+O111)*IFERROR(VLOOKUP(C112,Monsters!$T$4:$AH$15,10,FALSE),0)*IFERROR(VLOOKUP(C112,Monsters!$T$4:$AH$15,9,FALSE),0))*'Rules &amp; Formulas'!B6)*IF(D112="",0,D112),0))*(IFERROR(VLOOKUP(C112,Monsters!$T$4:$AH$15,3,FALSE),0))*(1+0.1*AH111)+(IF(OR(B112&lt;&gt;"Hunt",IFERROR(VLOOKUP(C112,Monsters!$T$4:$AH$15,6,FALSE),0)=0),0,FLOOR((IF(B112="Hunt",(('Rules &amp; Formulas'!B4*N111*('Rules &amp; Formulas'!B5+O111)*IFERROR(VLOOKUP(C112,Monsters!$T$4:$AH$15,10,FALSE),0)*IFERROR(VLOOKUP(C112,Monsters!$T$4:$AH$15,9,FALSE),0))*'Rules &amp; Formulas'!B6)*IF(D112="",0,D112),0))/MAX(1,IFERROR(VLOOKUP(C112,Monsters!$T$4:$AH$15,6,FALSE),0)),1)))*(IFERROR(VLOOKUP(C112,Monsters!$T$4:$AH$15,7,FALSE),0))*0.5*(1+0.1*AH111),0)+IF(AND((E112="OK"),B112="Go AFK"),(IF(B112="Go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AFK",IF(D112="",0,D112),0),Z111/60)*60)),0))*(IFERROR(VLOOKUP(C112,Monsters!$T$4:$AH$15,3,FALSE),0))*(1+0.1*AH111)+(IF(OR(B112&lt;&gt;"Go AFK",IFERROR(VLOOKUP(C112,Monsters!$T$4:$AH$15,6,FALSE),0)=0),0,FLOOR((IF(B112="Go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AFK",IF(D112="",0,D112),0),Z111/60)*60)),0))/MAX(1,IFERROR(VLOOKUP(C112,Monsters!$T$4:$AH$15,6,FALSE),0)),1)))*(IFERROR(VLOOKUP(C112,Monsters!$T$4:$AH$15,7,FALSE),0))*0.5*(1+0.1*AH111),0)+IF(AND((E112="OK"),B112="Fight boss",(IF((((105/'Rules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Formulas'!B12)),IFERROR(VLOOKUP(C112,Monsters!$T$4:$AH$15,3,FALSE),0),0)-IF(AND((E112="OK"),OR(B112="Buy upgrade",B112="Forge/Scrapwork buy"),IFERROR(VLOOKUP(C112,Upgrades!$N$4:$T$47,2,FALSE),0)="gold"),IFERROR(FLOOR(IFERROR(VLOOKUP(C112,Upgrades!$N$4:$T$47,3,FALSE),0)*(IFERROR(VLOOKUP(C112,Upgrades!$N$4:$T$47,4,FALSE),0)^(COUNTIFS($B$3:$B111,"Buy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buy",$C$3:$C111,C112))),1),0),0)-IF(AND((E112="OK"),B112="Hire hunter"),IF(C112="Briar",140,IF(C112="Quill",3650,IF(C112="Moss",4850,IF(C112="Ember",12200,0)))),0))</f>
        <v/>
      </c>
      <c r="I112" s="7">
        <f>IF(AND((E112="OK"),B112="Fight boss",(IF((((105/'Rules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Formulas'!B12)),0,MIN(IF(G111&lt;=1,120,IF(G111=2,280,600)),I111+IF(AND((E112="OK"),B112="Hunt"),((IF(B112="Hunt",(('Rules &amp; Formulas'!B4*N111*('Rules &amp; Formulas'!B5+O111)*IFERROR(VLOOKUP(C112,Monsters!$T$4:$AH$15,10,FALSE),0)*IFERROR(VLOOKUP(C112,Monsters!$T$4:$AH$15,9,FALSE),0))*'Rules &amp; Formulas'!B6)*IF(D112="",0,D112),0))*(IFERROR(VLOOKUP(C112,Monsters!$T$4:$AH$15,4,FALSE),0))+(IF(OR(B112&lt;&gt;"Hunt",IFERROR(VLOOKUP(C112,Monsters!$T$4:$AH$15,6,FALSE),0)=0),0,FLOOR((IF(B112="Hunt",(('Rules &amp; Formulas'!B4*N111*('Rules &amp; Formulas'!B5+O111)*IFERROR(VLOOKUP(C112,Monsters!$T$4:$AH$15,10,FALSE),0)*IFERROR(VLOOKUP(C112,Monsters!$T$4:$AH$15,9,FALSE),0))*'Rules &amp; Formulas'!B6)*IF(D112="",0,D112),0))/MAX(1,IFERROR(VLOOKUP(C112,Monsters!$T$4:$AH$15,6,FALSE),0)),1)))*(IFERROR(VLOOKUP(C112,Monsters!$T$4:$AH$15,7,FALSE),0))),0)+IF(AND((E112="OK"),B112="Go AFK"),((IF(B112="Go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AFK",IF(D112="",0,D112),0),Z111/60)*60)),0))*(IFERROR(VLOOKUP(C112,Monsters!$T$4:$AH$15,4,FALSE),0))+(IF(OR(B112&lt;&gt;"Go AFK",IFERROR(VLOOKUP(C112,Monsters!$T$4:$AH$15,6,FALSE),0)=0),0,FLOOR((IF(B112="Go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AFK",IF(D112="",0,D112),0),Z111/60)*60)),0))/MAX(1,IFERROR(VLOOKUP(C112,Monsters!$T$4:$AH$15,6,FALSE),0)),1)))*(IFERROR(VLOOKUP(C112,Monsters!$T$4:$AH$15,7,FALSE),0))),0)))</f>
        <v/>
      </c>
      <c r="J112" s="7">
        <f>MAX(0,J111+IF(AND((E112="OK"),B112="Hunt"),(IF(B112="Hunt",(('Rules &amp; Formulas'!B4*N111*('Rules &amp; Formulas'!B5+O111)*IFERROR(VLOOKUP(C112,Monsters!$T$4:$AH$15,10,FALSE),0)*IFERROR(VLOOKUP(C112,Monsters!$T$4:$AH$15,9,FALSE),0))*'Rules &amp; Formulas'!B6)*IF(D112="",0,D112),0))*(IFERROR(VLOOKUP(C112,Monsters!$T$4:$AH$15,5,FALSE),0)),0)+IF(AND((E112="OK"),B112="Go AFK"),(IF(B112="Go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AFK",IF(D112="",0,D112),0),Z111/60)*60)),0))*(IFERROR(VLOOKUP(C112,Monsters!$T$4:$AH$15,5,FALSE),0)),0)-IF(AND((E112="OK"),OR(B112="Buy upgrade",B112="Forge/Scrapwork buy"),IFERROR(VLOOKUP(C112,Upgrades!$N$4:$T$47,2,FALSE),0)="scraps"),IFERROR(FLOOR(IFERROR(VLOOKUP(C112,Upgrades!$N$4:$T$47,3,FALSE),0)*(IFERROR(VLOOKUP(C112,Upgrades!$N$4:$T$47,4,FALSE),0)^(COUNTIFS($B$3:$B111,"Buy upgrade",$C$3:$C111,C112)+COUNTIFS($B$3:$B111,"Hire hunter",$C$3:$C111,C112)+COUNTIFS($B$3:$B111,"Forge/Scrapwork buy",$C$3:$C111,C112))),1),0),0))</f>
        <v/>
      </c>
      <c r="K112" s="7">
        <f>MAX(0,K111+IF(AND((E112="OK"),B112="Hunt"),IF(C112="Thornpelt Bear",(IF(B112="Hunt",(('Rules &amp; Formulas'!B4*N111*('Rules &amp; Formulas'!B5+O111)*IFERROR(VLOOKUP(C112,Monsters!$T$4:$AH$15,10,FALSE),0)*IFERROR(VLOOKUP(C112,Monsters!$T$4:$AH$15,9,FALSE),0))*'Rules &amp; Formulas'!B6)*IF(D112="",0,D112),0))*0.12,0),0)+IF(AND((E112="OK"),B112="Go AFK"),IF(C112="Thornpelt Bear",(IF(B112="Go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AFK",IF(D112="",0,D112),0),Z111/60)*60)),0))*0.12,0),0))</f>
        <v/>
      </c>
      <c r="L112" s="7">
        <f>MAX(0,L111+IF(AND((E112="OK"),B112="Hunt"),IF(C112="Dire Thornpelt",(IF(B112="Hunt",(('Rules &amp; Formulas'!B4*N111*('Rules &amp; Formulas'!B5+O111)*IFERROR(VLOOKUP(C112,Monsters!$T$4:$AH$15,10,FALSE),0)*IFERROR(VLOOKUP(C112,Monsters!$T$4:$AH$15,9,FALSE),0))*'Rules &amp; Formulas'!B6)*IF(D112="",0,D112),0))*0.1,0),0)+IF(AND((E112="OK"),B112="Go AFK"),IF(C112="Dire Thornpelt",(IF(B112="Go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AFK",IF(D112="",0,D112),0),Z111/60)*60)),0))*0.1,0),0))</f>
        <v/>
      </c>
      <c r="M112" s="7">
        <f>IF(AND((E112="OK"),B112="Go AFK"),MAX(0,MIN(('Rules &amp; Formulas'!B15+25*AJ111),M111+('Rules &amp; Formulas'!B14+0.4*AJ111)*(MIN(IF(B112="Go AFK",IF(D112="",0,D112),0),Z111/60)*60))-(IF(B112="Go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AFK",IF(D112="",0,D112),0),Z111/60)*60)),0))*(IF((IFERROR(VLOOKUP(C112,Monsters!$T$4:$AH$15,8,FALSE),0))=0,0.35,IFERROR(VLOOKUP(C112,Monsters!$T$4:$AH$15,8,FALSE),0))/(1+0.08*AK111))),MIN(('Rules &amp; Formulas'!B15+25*AJ112),M111))</f>
        <v/>
      </c>
      <c r="N112" s="7">
        <f>(1+0.08+0.12*AA112+0.12*AB112+0.16*AC112)</f>
        <v/>
      </c>
      <c r="O112" s="7">
        <f>((AD112&gt;=1)*1*(1+0.3*AE112))</f>
        <v/>
      </c>
      <c r="P112" s="7">
        <f>IF(OR(B112="Hunt",B112="Go AFK"),(('Rules &amp; Formulas'!B4*N111*('Rules &amp; Formulas'!B5+O111)*IFERROR(VLOOKUP(C112,Monsters!$T$4:$AH$15,10,FALSE),0)*IFERROR(VLOOKUP(C112,Monsters!$T$4:$AH$15,9,FALSE),0))*'Rules &amp; Formulas'!B6),"")</f>
        <v/>
      </c>
      <c r="Q112" s="7">
        <f>IF(OR(B112="Hunt",B112="Go AFK"),('Rules &amp; Formulas'!B4*N111*('Rules &amp; Formulas'!B5+O111)*IFERROR(VLOOKUP(C112,Monsters!$T$4:$AH$15,10,FALSE),0)*IFERROR(VLOOKUP(C112,Monsters!$T$4:$AH$15,9,FALSE),0)),"")</f>
        <v/>
      </c>
      <c r="R112" s="7">
        <f>IF(AND((E112="OK"),B112="Hunt"),IF(B112="Hunt",(('Rules &amp; Formulas'!B4*N111*('Rules &amp; Formulas'!B5+O111)*IFERROR(VLOOKUP(C112,Monsters!$T$4:$AH$15,10,FALSE),0)*IFERROR(VLOOKUP(C112,Monsters!$T$4:$AH$15,9,FALSE),0))*'Rules &amp; Formulas'!B6)*IF(D112="",0,D112),0),IF(AND((E112="OK"),B112="Go AFK"),IF(B112="Go AFK",MIN(IF((IF((IFERROR(VLOOKUP(C112,Monsters!$T$4:$AH$15,8,FALSE),0))=0,0.35,IFERROR(VLOOKUP(C112,Monsters!$T$4:$AH$15,8,FALSE),0))/(1+0.08*AK111))&lt;=0,999999,FLOOR(MIN(('Rules &amp; Formulas'!B15+25*AJ111),M111+('Rules &amp; Formulas'!B14+0.4*AJ111)*(MIN(IF(B112="Go AFK",IF(D112="",0,D112),0),Z111/60)*60))/(IF((IFERROR(VLOOKUP(C112,Monsters!$T$4:$AH$15,8,FALSE),0))=0,0.35,IFERROR(VLOOKUP(C112,Monsters!$T$4:$AH$15,8,FALSE),0))/(1+0.08*AK111)),1)),('Rules &amp; Formulas'!B4*N111*('Rules &amp; Formulas'!B5+O111)*IFERROR(VLOOKUP(C112,Monsters!$T$4:$AH$15,10,FALSE),0)*IFERROR(VLOOKUP(C112,Monsters!$T$4:$AH$15,9,FALSE),0))*(MIN(IF(B112="Go AFK",IF(D112="",0,D112),0),Z111/60)*60)),0),0))</f>
        <v/>
      </c>
      <c r="S112" s="7">
        <f>(105/'Rules &amp; Formulas'!B10)*'Rules &amp; Formulas'!B11</f>
        <v/>
      </c>
      <c r="T112" s="7">
        <f>IF(AD111&gt;=1,(MAX(1,ROUND('Rules &amp; Formulas'!B18*(1+0.3*AE111)*(1+0.4*AF111),0)))*(1000/'Rules &amp; Formulas'!B19)*MIN(0.95,'Rules &amp; Formulas'!B20*SQRT(1+0.55*(AG111&gt;=1))),0)</f>
        <v/>
      </c>
      <c r="U112" s="7">
        <f>S112+T112</f>
        <v/>
      </c>
      <c r="V112" s="7">
        <f>IF(I111&gt;=IF((IFERROR(VLOOKUP(C112,Monsters!$T$4:$AH$15,15,FALSE),0))=0,120,IFERROR(VLOOKUP(C112,Monsters!$T$4:$AH$15,15,FALSE),0)),"YES","no")</f>
        <v/>
      </c>
      <c r="W112" s="7">
        <f>IF(AND(B112="Fight boss",E112="OK"),IF((((105/'Rules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Formulas'!B20*SQRT(1+0.55*(AG111&gt;=1))),0)))),"")</f>
        <v/>
      </c>
      <c r="X112" s="7">
        <f>IF(AND(B112="Fight boss",E112="OK"),IF((IF((((105/'Rules &amp; Formulas'!B10)*'Rules &amp; Formulas'!B11+IF(AD111&gt;=1,(MAX(1,ROUND('Rules &amp; Formulas'!B18*(1+0.3*AE111)*(1+0.4*AF111),0)))*(1000/'Rules &amp; Formulas'!B19)*MIN(0.95,'Rules &amp; Formulas'!B20*SQRT(1+0.55*(AG111&gt;=1))),0)))&lt;=0,9999,(IFERROR(VLOOKUP(C112,Monsters!$T$4:$AH$15,2,FALSE),0))/(((105/'Rules &amp; Formulas'!B10)*'Rules &amp; Formulas'!B11+IF(AD111&gt;=1,(MAX(1,ROUND('Rules &amp; Formulas'!B18*(1+0.3*AE111)*(1+0.4*AF111),0)))*(1000/'Rules &amp; Formulas'!B19)*MIN(0.95,'Rules &amp; Formulas'!B20*SQRT(1+0.55*(AG111&gt;=1))),0))))&lt;='Rules &amp; Formulas'!B12),"WIN","LOSE"),"")</f>
        <v/>
      </c>
      <c r="Y112" s="7">
        <f>IF(B112="Go AFK",MIN(IF(B112="Go AFK",IF(D112="",0,D112),0),Z111/60),"")</f>
        <v/>
      </c>
      <c r="Z112" s="7">
        <f>('Rules &amp; Formulas'!B13+30*AI112)</f>
        <v/>
      </c>
      <c r="AA112">
        <f>COUNTIFS($B$3:$B112,"Buy upgrade",$C$3:$C112,"Idle Power")</f>
        <v/>
      </c>
      <c r="AB112">
        <f>COUNTIFS($B$3:$B112,"Buy upgrade",$C$3:$C112,"Iron Blade")</f>
        <v/>
      </c>
      <c r="AC112">
        <f>COUNTIFS($B$3:$B112,"Buy upgrade",$C$3:$C112,"Steel Blade")</f>
        <v/>
      </c>
      <c r="AD112">
        <f>COUNTIFS($B$3:$B112,"Hire hunter",$C$3:$C112,"Briar")+COUNTIFS($B$3:$B112,"Buy upgrade",$C$3:$C112,"Hire Briar")</f>
        <v/>
      </c>
      <c r="AE112">
        <f>COUNTIFS($B$3:$B112,"Buy upgrade",$C$3:$C112,"Hunter Power")</f>
        <v/>
      </c>
      <c r="AF112">
        <f>COUNTIFS($B$3:$B112,"Buy upgrade",$C$3:$C112,"Bigger Hits")</f>
        <v/>
      </c>
      <c r="AG112">
        <f>COUNTIFS($B$3:$B112,"Buy upgrade",$C$3:$C112,"Swift Walk")</f>
        <v/>
      </c>
      <c r="AH112">
        <f>COUNTIFS($B$3:$B112,"Buy upgrade",$C$3:$C112,"Loot Luck")</f>
        <v/>
      </c>
      <c r="AI112">
        <f>COUNTIFS($B$3:$B112,"Buy upgrade",$C$3:$C112,"Offline Cap")</f>
        <v/>
      </c>
      <c r="AJ112">
        <f>COUNTIFS($B$3:$B112,"Buy upgrade",$C$3:$C112,"Bigger Food Stock")</f>
        <v/>
      </c>
      <c r="AK112">
        <f>COUNTIFS($B$3:$B112,"Buy upgrade",$C$3:$C112,"Food Efficiency")</f>
        <v/>
      </c>
    </row>
    <row r="113">
      <c r="A113" t="n">
        <v>111</v>
      </c>
      <c r="B113" s="6" t="n"/>
      <c r="C113" s="6" t="n"/>
      <c r="D113" s="6" t="n"/>
      <c r="E113" s="7">
        <f>IF(B113="","",IF(OR(B113="Hunt",B113="Go AFK"),IF(C113="","Can't","OK"),IF(B113="Fight boss",IF(I112&lt;IF((IFERROR(VLOOKUP(C113,Monsters!$T$4:$AH$15,15,FALSE),0))=0,120,IFERROR(VLOOKUP(C113,Monsters!$T$4:$AH$15,15,FALSE),0)),"Can't","OK"),IF(B113="Hire hunter",IF(AND(C113="Briar",AD112&gt;=1),"Can't",IF(H112&lt;IF(C113="Briar",140,IF(C113="Quill",3650,IF(C113="Moss",4850,IF(C113="Ember",12200,0)))),"Can't","OK")),IF(OR(B113="Buy upgrade",B113="Forge/Scrapwork buy"),IF(IFERROR(VLOOKUP(C113,Upgrades!$N$4:$T$47,2,FALSE),0)="points","Can't",IF(IFERROR(VLOOKUP(C113,Upgrades!$N$4:$T$47,2,FALSE),0)="gold",IF(H112&lt;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buy",$C$3:$C112,C113))),1),0),"Can't","OK"),IF(IFERROR(VLOOKUP(C113,Upgrades!$N$4:$T$47,2,FALSE),0)="scraps",IF(J112&lt;IFERROR(FLOOR(IFERROR(VLOOKUP(C113,Upgrades!$N$4:$T$47,3,FALSE),0)*(IFERROR(VLOOKUP(C113,Upgrades!$N$4:$T$47,4,FALSE),0)^(COUNTIFS($B$3:$B112,"Buy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buy",$C$3:$C112,C113))),1),0),"Can't","OK"),IF(IFERROR(VLOOKUP(C113,Upgrades!$N$4:$T$47,2,FALSE),0)="mats","Can't","OK")))),"Check")))))</f>
        <v/>
      </c>
      <c r="F113" s="7">
        <f>IF(B113="","",IF(AND(B113="Fight boss",I112&lt;IF((IFERROR(VLOOKUP(C113,Monsters!$T$4:$AH$15,15,FALSE),0))=0,120,IFERROR(VLOOKUP(C113,Monsters!$T$4:$AH$15,15,FALSE),0))),"Can't — need "&amp;TEXT(IF((IFERROR(VLOOKUP(C113,Monsters!$T$4:$AH$15,15,FALSE),0))=0,120,IFERROR(VLOOKUP(C113,Monsters!$T$4:$AH$15,15,FALSE),0))-I112,"0.0")&amp;" more Slayer points on the meter",IF(AND(B113="Hire hunter",C113="Briar",AD112&gt;=1),"Can't — already hired",IF(AND(B113="Hire hunter",H112&lt;IF(C113="Briar",140,IF(C113="Quill",3650,IF(C113="Moss",4850,IF(C113="Ember",12200,0))))),"Can't — need "&amp;TEXT(IF(C113="Briar",140,IF(C113="Quill",3650,IF(C113="Moss",4850,IF(C113="Ember",12200,0))))-H112,"0")&amp;" more gold",IF(AND(OR(B113="Buy upgrade",B113="Forge/Scrapwork buy"),IFERROR(VLOOKUP(C113,Upgrades!$N$4:$T$47,2,FALSE),0)="points"),"Can't — Sp-wallet spends not tracked here",IF(AND(OR(B113="Buy upgrade",B113="Forge/Scrapwork buy"),IFERROR(VLOOKUP(C113,Upgrades!$N$4:$T$47,2,FALSE),0)="gold",H112&lt;IFERROR(FLOOR(IFERROR(VLOOKUP(C113,Upgrades!$N$4:$T$47,3,FALSE),0)*(IFERROR(VLOOKUP(C113,Upgrades!$N$4:$T$47,4,FALSE),0)^(COUNTIFS($B$3:$B112,"Buy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buy",$C$3:$C112,C113))),1),0)),"Can't — need "&amp;TEXT(IFERROR(FLOOR(IFERROR(VLOOKUP(C113,Upgrades!$N$4:$T$47,3,FALSE),0)*(IFERROR(VLOOKUP(C113,Upgrades!$N$4:$T$47,4,FALSE),0)^(COUNTIFS($B$3:$B112,"Buy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buy",$C$3:$C112,C113))),1),0)-H112,"0")&amp;" more gold",IF(AND(OR(B113="Buy upgrade",B113="Forge/Scrapwork buy"),IFERROR(VLOOKUP(C113,Upgrades!$N$4:$T$47,2,FALSE),0)="scraps",J112&lt;IFERROR(FLOOR(IFERROR(VLOOKUP(C113,Upgrades!$N$4:$T$47,3,FALSE),0)*(IFERROR(VLOOKUP(C113,Upgrades!$N$4:$T$47,4,FALSE),0)^(COUNTIFS($B$3:$B112,"Buy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buy",$C$3:$C112,C113))),1),0)),"Can't — need "&amp;TEXT(IFERROR(FLOOR(IFERROR(VLOOKUP(C113,Upgrades!$N$4:$T$47,3,FALSE),0)*(IFERROR(VLOOKUP(C113,Upgrades!$N$4:$T$47,4,FALSE),0)^(COUNTIFS($B$3:$B112,"Buy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buy",$C$3:$C112,C113))),1),0)-J112,"0")&amp;" more scraps",IF(AND(B113="Fight boss",E113="OK",(IF((((105/'Rules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Formulas'!B12)),"WIN — boss down, next Level unlocks",IF(AND(B113="Fight boss",E113="OK"),"LOSE — TTK "&amp;TEXT(IF((((105/'Rules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Formulas'!B20*SQRT(1+0.55*(AG112&gt;=1))),0)))),"0")&amp;"s &gt; patience "&amp;TEXT('Rules &amp; Formulas'!B12,"0")&amp;"s (leave resets HP)",IF(B113="Go AFK","AFK resolved (see AFK counted h)","Applied")))))))))</f>
        <v/>
      </c>
      <c r="G113" s="7">
        <f>IF(AND((E113="OK"),B113="Fight boss",(IF((((105/'Rules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Formulas'!B12),C113="Elder Thornpelt"),2,IF(AND((E113="OK"),B113="Fight boss",(IF((((105/'Rules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Formulas'!B12),C113="Ashfang Alpha"),3,G112))</f>
        <v/>
      </c>
      <c r="H113" s="7">
        <f>MAX(0,H112+IF(AND((E113="OK"),B113="Hunt"),(IF(B113="Hunt",(('Rules &amp; Formulas'!B4*N112*('Rules &amp; Formulas'!B5+O112)*IFERROR(VLOOKUP(C113,Monsters!$T$4:$AH$15,10,FALSE),0)*IFERROR(VLOOKUP(C113,Monsters!$T$4:$AH$15,9,FALSE),0))*'Rules &amp; Formulas'!B6)*IF(D113="",0,D113),0))*(IFERROR(VLOOKUP(C113,Monsters!$T$4:$AH$15,3,FALSE),0))*(1+0.1*AH112)+(IF(OR(B113&lt;&gt;"Hunt",IFERROR(VLOOKUP(C113,Monsters!$T$4:$AH$15,6,FALSE),0)=0),0,FLOOR((IF(B113="Hunt",(('Rules &amp; Formulas'!B4*N112*('Rules &amp; Formulas'!B5+O112)*IFERROR(VLOOKUP(C113,Monsters!$T$4:$AH$15,10,FALSE),0)*IFERROR(VLOOKUP(C113,Monsters!$T$4:$AH$15,9,FALSE),0))*'Rules &amp; Formulas'!B6)*IF(D113="",0,D113),0))/MAX(1,IFERROR(VLOOKUP(C113,Monsters!$T$4:$AH$15,6,FALSE),0)),1)))*(IFERROR(VLOOKUP(C113,Monsters!$T$4:$AH$15,7,FALSE),0))*0.5*(1+0.1*AH112),0)+IF(AND((E113="OK"),B113="Go AFK"),(IF(B113="Go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AFK",IF(D113="",0,D113),0),Z112/60)*60)),0))*(IFERROR(VLOOKUP(C113,Monsters!$T$4:$AH$15,3,FALSE),0))*(1+0.1*AH112)+(IF(OR(B113&lt;&gt;"Go AFK",IFERROR(VLOOKUP(C113,Monsters!$T$4:$AH$15,6,FALSE),0)=0),0,FLOOR((IF(B113="Go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AFK",IF(D113="",0,D113),0),Z112/60)*60)),0))/MAX(1,IFERROR(VLOOKUP(C113,Monsters!$T$4:$AH$15,6,FALSE),0)),1)))*(IFERROR(VLOOKUP(C113,Monsters!$T$4:$AH$15,7,FALSE),0))*0.5*(1+0.1*AH112),0)+IF(AND((E113="OK"),B113="Fight boss",(IF((((105/'Rules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Formulas'!B12)),IFERROR(VLOOKUP(C113,Monsters!$T$4:$AH$15,3,FALSE),0),0)-IF(AND((E113="OK"),OR(B113="Buy upgrade",B113="Forge/Scrapwork buy"),IFERROR(VLOOKUP(C113,Upgrades!$N$4:$T$47,2,FALSE),0)="gold"),IFERROR(FLOOR(IFERROR(VLOOKUP(C113,Upgrades!$N$4:$T$47,3,FALSE),0)*(IFERROR(VLOOKUP(C113,Upgrades!$N$4:$T$47,4,FALSE),0)^(COUNTIFS($B$3:$B112,"Buy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buy",$C$3:$C112,C113))),1),0),0)-IF(AND((E113="OK"),B113="Hire hunter"),IF(C113="Briar",140,IF(C113="Quill",3650,IF(C113="Moss",4850,IF(C113="Ember",12200,0)))),0))</f>
        <v/>
      </c>
      <c r="I113" s="7">
        <f>IF(AND((E113="OK"),B113="Fight boss",(IF((((105/'Rules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Formulas'!B12)),0,MIN(IF(G112&lt;=1,120,IF(G112=2,280,600)),I112+IF(AND((E113="OK"),B113="Hunt"),((IF(B113="Hunt",(('Rules &amp; Formulas'!B4*N112*('Rules &amp; Formulas'!B5+O112)*IFERROR(VLOOKUP(C113,Monsters!$T$4:$AH$15,10,FALSE),0)*IFERROR(VLOOKUP(C113,Monsters!$T$4:$AH$15,9,FALSE),0))*'Rules &amp; Formulas'!B6)*IF(D113="",0,D113),0))*(IFERROR(VLOOKUP(C113,Monsters!$T$4:$AH$15,4,FALSE),0))+(IF(OR(B113&lt;&gt;"Hunt",IFERROR(VLOOKUP(C113,Monsters!$T$4:$AH$15,6,FALSE),0)=0),0,FLOOR((IF(B113="Hunt",(('Rules &amp; Formulas'!B4*N112*('Rules &amp; Formulas'!B5+O112)*IFERROR(VLOOKUP(C113,Monsters!$T$4:$AH$15,10,FALSE),0)*IFERROR(VLOOKUP(C113,Monsters!$T$4:$AH$15,9,FALSE),0))*'Rules &amp; Formulas'!B6)*IF(D113="",0,D113),0))/MAX(1,IFERROR(VLOOKUP(C113,Monsters!$T$4:$AH$15,6,FALSE),0)),1)))*(IFERROR(VLOOKUP(C113,Monsters!$T$4:$AH$15,7,FALSE),0))),0)+IF(AND((E113="OK"),B113="Go AFK"),((IF(B113="Go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AFK",IF(D113="",0,D113),0),Z112/60)*60)),0))*(IFERROR(VLOOKUP(C113,Monsters!$T$4:$AH$15,4,FALSE),0))+(IF(OR(B113&lt;&gt;"Go AFK",IFERROR(VLOOKUP(C113,Monsters!$T$4:$AH$15,6,FALSE),0)=0),0,FLOOR((IF(B113="Go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AFK",IF(D113="",0,D113),0),Z112/60)*60)),0))/MAX(1,IFERROR(VLOOKUP(C113,Monsters!$T$4:$AH$15,6,FALSE),0)),1)))*(IFERROR(VLOOKUP(C113,Monsters!$T$4:$AH$15,7,FALSE),0))),0)))</f>
        <v/>
      </c>
      <c r="J113" s="7">
        <f>MAX(0,J112+IF(AND((E113="OK"),B113="Hunt"),(IF(B113="Hunt",(('Rules &amp; Formulas'!B4*N112*('Rules &amp; Formulas'!B5+O112)*IFERROR(VLOOKUP(C113,Monsters!$T$4:$AH$15,10,FALSE),0)*IFERROR(VLOOKUP(C113,Monsters!$T$4:$AH$15,9,FALSE),0))*'Rules &amp; Formulas'!B6)*IF(D113="",0,D113),0))*(IFERROR(VLOOKUP(C113,Monsters!$T$4:$AH$15,5,FALSE),0)),0)+IF(AND((E113="OK"),B113="Go AFK"),(IF(B113="Go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AFK",IF(D113="",0,D113),0),Z112/60)*60)),0))*(IFERROR(VLOOKUP(C113,Monsters!$T$4:$AH$15,5,FALSE),0)),0)-IF(AND((E113="OK"),OR(B113="Buy upgrade",B113="Forge/Scrapwork buy"),IFERROR(VLOOKUP(C113,Upgrades!$N$4:$T$47,2,FALSE),0)="scraps"),IFERROR(FLOOR(IFERROR(VLOOKUP(C113,Upgrades!$N$4:$T$47,3,FALSE),0)*(IFERROR(VLOOKUP(C113,Upgrades!$N$4:$T$47,4,FALSE),0)^(COUNTIFS($B$3:$B112,"Buy upgrade",$C$3:$C112,C113)+COUNTIFS($B$3:$B112,"Hire hunter",$C$3:$C112,C113)+COUNTIFS($B$3:$B112,"Forge/Scrapwork buy",$C$3:$C112,C113))),1),0),0))</f>
        <v/>
      </c>
      <c r="K113" s="7">
        <f>MAX(0,K112+IF(AND((E113="OK"),B113="Hunt"),IF(C113="Thornpelt Bear",(IF(B113="Hunt",(('Rules &amp; Formulas'!B4*N112*('Rules &amp; Formulas'!B5+O112)*IFERROR(VLOOKUP(C113,Monsters!$T$4:$AH$15,10,FALSE),0)*IFERROR(VLOOKUP(C113,Monsters!$T$4:$AH$15,9,FALSE),0))*'Rules &amp; Formulas'!B6)*IF(D113="",0,D113),0))*0.12,0),0)+IF(AND((E113="OK"),B113="Go AFK"),IF(C113="Thornpelt Bear",(IF(B113="Go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AFK",IF(D113="",0,D113),0),Z112/60)*60)),0))*0.12,0),0))</f>
        <v/>
      </c>
      <c r="L113" s="7">
        <f>MAX(0,L112+IF(AND((E113="OK"),B113="Hunt"),IF(C113="Dire Thornpelt",(IF(B113="Hunt",(('Rules &amp; Formulas'!B4*N112*('Rules &amp; Formulas'!B5+O112)*IFERROR(VLOOKUP(C113,Monsters!$T$4:$AH$15,10,FALSE),0)*IFERROR(VLOOKUP(C113,Monsters!$T$4:$AH$15,9,FALSE),0))*'Rules &amp; Formulas'!B6)*IF(D113="",0,D113),0))*0.1,0),0)+IF(AND((E113="OK"),B113="Go AFK"),IF(C113="Dire Thornpelt",(IF(B113="Go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AFK",IF(D113="",0,D113),0),Z112/60)*60)),0))*0.1,0),0))</f>
        <v/>
      </c>
      <c r="M113" s="7">
        <f>IF(AND((E113="OK"),B113="Go AFK"),MAX(0,MIN(('Rules &amp; Formulas'!B15+25*AJ112),M112+('Rules &amp; Formulas'!B14+0.4*AJ112)*(MIN(IF(B113="Go AFK",IF(D113="",0,D113),0),Z112/60)*60))-(IF(B113="Go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AFK",IF(D113="",0,D113),0),Z112/60)*60)),0))*(IF((IFERROR(VLOOKUP(C113,Monsters!$T$4:$AH$15,8,FALSE),0))=0,0.35,IFERROR(VLOOKUP(C113,Monsters!$T$4:$AH$15,8,FALSE),0))/(1+0.08*AK112))),MIN(('Rules &amp; Formulas'!B15+25*AJ113),M112))</f>
        <v/>
      </c>
      <c r="N113" s="7">
        <f>(1+0.08+0.12*AA113+0.12*AB113+0.16*AC113)</f>
        <v/>
      </c>
      <c r="O113" s="7">
        <f>((AD113&gt;=1)*1*(1+0.3*AE113))</f>
        <v/>
      </c>
      <c r="P113" s="7">
        <f>IF(OR(B113="Hunt",B113="Go AFK"),(('Rules &amp; Formulas'!B4*N112*('Rules &amp; Formulas'!B5+O112)*IFERROR(VLOOKUP(C113,Monsters!$T$4:$AH$15,10,FALSE),0)*IFERROR(VLOOKUP(C113,Monsters!$T$4:$AH$15,9,FALSE),0))*'Rules &amp; Formulas'!B6),"")</f>
        <v/>
      </c>
      <c r="Q113" s="7">
        <f>IF(OR(B113="Hunt",B113="Go AFK"),('Rules &amp; Formulas'!B4*N112*('Rules &amp; Formulas'!B5+O112)*IFERROR(VLOOKUP(C113,Monsters!$T$4:$AH$15,10,FALSE),0)*IFERROR(VLOOKUP(C113,Monsters!$T$4:$AH$15,9,FALSE),0)),"")</f>
        <v/>
      </c>
      <c r="R113" s="7">
        <f>IF(AND((E113="OK"),B113="Hunt"),IF(B113="Hunt",(('Rules &amp; Formulas'!B4*N112*('Rules &amp; Formulas'!B5+O112)*IFERROR(VLOOKUP(C113,Monsters!$T$4:$AH$15,10,FALSE),0)*IFERROR(VLOOKUP(C113,Monsters!$T$4:$AH$15,9,FALSE),0))*'Rules &amp; Formulas'!B6)*IF(D113="",0,D113),0),IF(AND((E113="OK"),B113="Go AFK"),IF(B113="Go AFK",MIN(IF((IF((IFERROR(VLOOKUP(C113,Monsters!$T$4:$AH$15,8,FALSE),0))=0,0.35,IFERROR(VLOOKUP(C113,Monsters!$T$4:$AH$15,8,FALSE),0))/(1+0.08*AK112))&lt;=0,999999,FLOOR(MIN(('Rules &amp; Formulas'!B15+25*AJ112),M112+('Rules &amp; Formulas'!B14+0.4*AJ112)*(MIN(IF(B113="Go AFK",IF(D113="",0,D113),0),Z112/60)*60))/(IF((IFERROR(VLOOKUP(C113,Monsters!$T$4:$AH$15,8,FALSE),0))=0,0.35,IFERROR(VLOOKUP(C113,Monsters!$T$4:$AH$15,8,FALSE),0))/(1+0.08*AK112)),1)),('Rules &amp; Formulas'!B4*N112*('Rules &amp; Formulas'!B5+O112)*IFERROR(VLOOKUP(C113,Monsters!$T$4:$AH$15,10,FALSE),0)*IFERROR(VLOOKUP(C113,Monsters!$T$4:$AH$15,9,FALSE),0))*(MIN(IF(B113="Go AFK",IF(D113="",0,D113),0),Z112/60)*60)),0),0))</f>
        <v/>
      </c>
      <c r="S113" s="7">
        <f>(105/'Rules &amp; Formulas'!B10)*'Rules &amp; Formulas'!B11</f>
        <v/>
      </c>
      <c r="T113" s="7">
        <f>IF(AD112&gt;=1,(MAX(1,ROUND('Rules &amp; Formulas'!B18*(1+0.3*AE112)*(1+0.4*AF112),0)))*(1000/'Rules &amp; Formulas'!B19)*MIN(0.95,'Rules &amp; Formulas'!B20*SQRT(1+0.55*(AG112&gt;=1))),0)</f>
        <v/>
      </c>
      <c r="U113" s="7">
        <f>S113+T113</f>
        <v/>
      </c>
      <c r="V113" s="7">
        <f>IF(I112&gt;=IF((IFERROR(VLOOKUP(C113,Monsters!$T$4:$AH$15,15,FALSE),0))=0,120,IFERROR(VLOOKUP(C113,Monsters!$T$4:$AH$15,15,FALSE),0)),"YES","no")</f>
        <v/>
      </c>
      <c r="W113" s="7">
        <f>IF(AND(B113="Fight boss",E113="OK"),IF((((105/'Rules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Formulas'!B20*SQRT(1+0.55*(AG112&gt;=1))),0)))),"")</f>
        <v/>
      </c>
      <c r="X113" s="7">
        <f>IF(AND(B113="Fight boss",E113="OK"),IF((IF((((105/'Rules &amp; Formulas'!B10)*'Rules &amp; Formulas'!B11+IF(AD112&gt;=1,(MAX(1,ROUND('Rules &amp; Formulas'!B18*(1+0.3*AE112)*(1+0.4*AF112),0)))*(1000/'Rules &amp; Formulas'!B19)*MIN(0.95,'Rules &amp; Formulas'!B20*SQRT(1+0.55*(AG112&gt;=1))),0)))&lt;=0,9999,(IFERROR(VLOOKUP(C113,Monsters!$T$4:$AH$15,2,FALSE),0))/(((105/'Rules &amp; Formulas'!B10)*'Rules &amp; Formulas'!B11+IF(AD112&gt;=1,(MAX(1,ROUND('Rules &amp; Formulas'!B18*(1+0.3*AE112)*(1+0.4*AF112),0)))*(1000/'Rules &amp; Formulas'!B19)*MIN(0.95,'Rules &amp; Formulas'!B20*SQRT(1+0.55*(AG112&gt;=1))),0))))&lt;='Rules &amp; Formulas'!B12),"WIN","LOSE"),"")</f>
        <v/>
      </c>
      <c r="Y113" s="7">
        <f>IF(B113="Go AFK",MIN(IF(B113="Go AFK",IF(D113="",0,D113),0),Z112/60),"")</f>
        <v/>
      </c>
      <c r="Z113" s="7">
        <f>('Rules &amp; Formulas'!B13+30*AI113)</f>
        <v/>
      </c>
      <c r="AA113">
        <f>COUNTIFS($B$3:$B113,"Buy upgrade",$C$3:$C113,"Idle Power")</f>
        <v/>
      </c>
      <c r="AB113">
        <f>COUNTIFS($B$3:$B113,"Buy upgrade",$C$3:$C113,"Iron Blade")</f>
        <v/>
      </c>
      <c r="AC113">
        <f>COUNTIFS($B$3:$B113,"Buy upgrade",$C$3:$C113,"Steel Blade")</f>
        <v/>
      </c>
      <c r="AD113">
        <f>COUNTIFS($B$3:$B113,"Hire hunter",$C$3:$C113,"Briar")+COUNTIFS($B$3:$B113,"Buy upgrade",$C$3:$C113,"Hire Briar")</f>
        <v/>
      </c>
      <c r="AE113">
        <f>COUNTIFS($B$3:$B113,"Buy upgrade",$C$3:$C113,"Hunter Power")</f>
        <v/>
      </c>
      <c r="AF113">
        <f>COUNTIFS($B$3:$B113,"Buy upgrade",$C$3:$C113,"Bigger Hits")</f>
        <v/>
      </c>
      <c r="AG113">
        <f>COUNTIFS($B$3:$B113,"Buy upgrade",$C$3:$C113,"Swift Walk")</f>
        <v/>
      </c>
      <c r="AH113">
        <f>COUNTIFS($B$3:$B113,"Buy upgrade",$C$3:$C113,"Loot Luck")</f>
        <v/>
      </c>
      <c r="AI113">
        <f>COUNTIFS($B$3:$B113,"Buy upgrade",$C$3:$C113,"Offline Cap")</f>
        <v/>
      </c>
      <c r="AJ113">
        <f>COUNTIFS($B$3:$B113,"Buy upgrade",$C$3:$C113,"Bigger Food Stock")</f>
        <v/>
      </c>
      <c r="AK113">
        <f>COUNTIFS($B$3:$B113,"Buy upgrade",$C$3:$C113,"Food Efficiency")</f>
        <v/>
      </c>
    </row>
    <row r="114">
      <c r="A114" t="n">
        <v>112</v>
      </c>
      <c r="B114" s="6" t="n"/>
      <c r="C114" s="6" t="n"/>
      <c r="D114" s="6" t="n"/>
      <c r="E114" s="7">
        <f>IF(B114="","",IF(OR(B114="Hunt",B114="Go AFK"),IF(C114="","Can't","OK"),IF(B114="Fight boss",IF(I113&lt;IF((IFERROR(VLOOKUP(C114,Monsters!$T$4:$AH$15,15,FALSE),0))=0,120,IFERROR(VLOOKUP(C114,Monsters!$T$4:$AH$15,15,FALSE),0)),"Can't","OK"),IF(B114="Hire hunter",IF(AND(C114="Briar",AD113&gt;=1),"Can't",IF(H113&lt;IF(C114="Briar",140,IF(C114="Quill",3650,IF(C114="Moss",4850,IF(C114="Ember",12200,0)))),"Can't","OK")),IF(OR(B114="Buy upgrade",B114="Forge/Scrapwork buy"),IF(IFERROR(VLOOKUP(C114,Upgrades!$N$4:$T$47,2,FALSE),0)="points","Can't",IF(IFERROR(VLOOKUP(C114,Upgrades!$N$4:$T$47,2,FALSE),0)="gold",IF(H113&lt;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buy",$C$3:$C113,C114))),1),0),"Can't","OK"),IF(IFERROR(VLOOKUP(C114,Upgrades!$N$4:$T$47,2,FALSE),0)="scraps",IF(J113&lt;IFERROR(FLOOR(IFERROR(VLOOKUP(C114,Upgrades!$N$4:$T$47,3,FALSE),0)*(IFERROR(VLOOKUP(C114,Upgrades!$N$4:$T$47,4,FALSE),0)^(COUNTIFS($B$3:$B113,"Buy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buy",$C$3:$C113,C114))),1),0),"Can't","OK"),IF(IFERROR(VLOOKUP(C114,Upgrades!$N$4:$T$47,2,FALSE),0)="mats","Can't","OK")))),"Check")))))</f>
        <v/>
      </c>
      <c r="F114" s="7">
        <f>IF(B114="","",IF(AND(B114="Fight boss",I113&lt;IF((IFERROR(VLOOKUP(C114,Monsters!$T$4:$AH$15,15,FALSE),0))=0,120,IFERROR(VLOOKUP(C114,Monsters!$T$4:$AH$15,15,FALSE),0))),"Can't — need "&amp;TEXT(IF((IFERROR(VLOOKUP(C114,Monsters!$T$4:$AH$15,15,FALSE),0))=0,120,IFERROR(VLOOKUP(C114,Monsters!$T$4:$AH$15,15,FALSE),0))-I113,"0.0")&amp;" more Slayer points on the meter",IF(AND(B114="Hire hunter",C114="Briar",AD113&gt;=1),"Can't — already hired",IF(AND(B114="Hire hunter",H113&lt;IF(C114="Briar",140,IF(C114="Quill",3650,IF(C114="Moss",4850,IF(C114="Ember",12200,0))))),"Can't — need "&amp;TEXT(IF(C114="Briar",140,IF(C114="Quill",3650,IF(C114="Moss",4850,IF(C114="Ember",12200,0))))-H113,"0")&amp;" more gold",IF(AND(OR(B114="Buy upgrade",B114="Forge/Scrapwork buy"),IFERROR(VLOOKUP(C114,Upgrades!$N$4:$T$47,2,FALSE),0)="points"),"Can't — Sp-wallet spends not tracked here",IF(AND(OR(B114="Buy upgrade",B114="Forge/Scrapwork buy"),IFERROR(VLOOKUP(C114,Upgrades!$N$4:$T$47,2,FALSE),0)="gold",H113&lt;IFERROR(FLOOR(IFERROR(VLOOKUP(C114,Upgrades!$N$4:$T$47,3,FALSE),0)*(IFERROR(VLOOKUP(C114,Upgrades!$N$4:$T$47,4,FALSE),0)^(COUNTIFS($B$3:$B113,"Buy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buy",$C$3:$C113,C114))),1),0)),"Can't — need "&amp;TEXT(IFERROR(FLOOR(IFERROR(VLOOKUP(C114,Upgrades!$N$4:$T$47,3,FALSE),0)*(IFERROR(VLOOKUP(C114,Upgrades!$N$4:$T$47,4,FALSE),0)^(COUNTIFS($B$3:$B113,"Buy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buy",$C$3:$C113,C114))),1),0)-H113,"0")&amp;" more gold",IF(AND(OR(B114="Buy upgrade",B114="Forge/Scrapwork buy"),IFERROR(VLOOKUP(C114,Upgrades!$N$4:$T$47,2,FALSE),0)="scraps",J113&lt;IFERROR(FLOOR(IFERROR(VLOOKUP(C114,Upgrades!$N$4:$T$47,3,FALSE),0)*(IFERROR(VLOOKUP(C114,Upgrades!$N$4:$T$47,4,FALSE),0)^(COUNTIFS($B$3:$B113,"Buy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buy",$C$3:$C113,C114))),1),0)),"Can't — need "&amp;TEXT(IFERROR(FLOOR(IFERROR(VLOOKUP(C114,Upgrades!$N$4:$T$47,3,FALSE),0)*(IFERROR(VLOOKUP(C114,Upgrades!$N$4:$T$47,4,FALSE),0)^(COUNTIFS($B$3:$B113,"Buy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buy",$C$3:$C113,C114))),1),0)-J113,"0")&amp;" more scraps",IF(AND(B114="Fight boss",E114="OK",(IF((((105/'Rules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Formulas'!B12)),"WIN — boss down, next Level unlocks",IF(AND(B114="Fight boss",E114="OK"),"LOSE — TTK "&amp;TEXT(IF((((105/'Rules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Formulas'!B20*SQRT(1+0.55*(AG113&gt;=1))),0)))),"0")&amp;"s &gt; patience "&amp;TEXT('Rules &amp; Formulas'!B12,"0")&amp;"s (leave resets HP)",IF(B114="Go AFK","AFK resolved (see AFK counted h)","Applied")))))))))</f>
        <v/>
      </c>
      <c r="G114" s="7">
        <f>IF(AND((E114="OK"),B114="Fight boss",(IF((((105/'Rules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Formulas'!B12),C114="Elder Thornpelt"),2,IF(AND((E114="OK"),B114="Fight boss",(IF((((105/'Rules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Formulas'!B12),C114="Ashfang Alpha"),3,G113))</f>
        <v/>
      </c>
      <c r="H114" s="7">
        <f>MAX(0,H113+IF(AND((E114="OK"),B114="Hunt"),(IF(B114="Hunt",(('Rules &amp; Formulas'!B4*N113*('Rules &amp; Formulas'!B5+O113)*IFERROR(VLOOKUP(C114,Monsters!$T$4:$AH$15,10,FALSE),0)*IFERROR(VLOOKUP(C114,Monsters!$T$4:$AH$15,9,FALSE),0))*'Rules &amp; Formulas'!B6)*IF(D114="",0,D114),0))*(IFERROR(VLOOKUP(C114,Monsters!$T$4:$AH$15,3,FALSE),0))*(1+0.1*AH113)+(IF(OR(B114&lt;&gt;"Hunt",IFERROR(VLOOKUP(C114,Monsters!$T$4:$AH$15,6,FALSE),0)=0),0,FLOOR((IF(B114="Hunt",(('Rules &amp; Formulas'!B4*N113*('Rules &amp; Formulas'!B5+O113)*IFERROR(VLOOKUP(C114,Monsters!$T$4:$AH$15,10,FALSE),0)*IFERROR(VLOOKUP(C114,Monsters!$T$4:$AH$15,9,FALSE),0))*'Rules &amp; Formulas'!B6)*IF(D114="",0,D114),0))/MAX(1,IFERROR(VLOOKUP(C114,Monsters!$T$4:$AH$15,6,FALSE),0)),1)))*(IFERROR(VLOOKUP(C114,Monsters!$T$4:$AH$15,7,FALSE),0))*0.5*(1+0.1*AH113),0)+IF(AND((E114="OK"),B114="Go AFK"),(IF(B114="Go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AFK",IF(D114="",0,D114),0),Z113/60)*60)),0))*(IFERROR(VLOOKUP(C114,Monsters!$T$4:$AH$15,3,FALSE),0))*(1+0.1*AH113)+(IF(OR(B114&lt;&gt;"Go AFK",IFERROR(VLOOKUP(C114,Monsters!$T$4:$AH$15,6,FALSE),0)=0),0,FLOOR((IF(B114="Go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AFK",IF(D114="",0,D114),0),Z113/60)*60)),0))/MAX(1,IFERROR(VLOOKUP(C114,Monsters!$T$4:$AH$15,6,FALSE),0)),1)))*(IFERROR(VLOOKUP(C114,Monsters!$T$4:$AH$15,7,FALSE),0))*0.5*(1+0.1*AH113),0)+IF(AND((E114="OK"),B114="Fight boss",(IF((((105/'Rules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Formulas'!B12)),IFERROR(VLOOKUP(C114,Monsters!$T$4:$AH$15,3,FALSE),0),0)-IF(AND((E114="OK"),OR(B114="Buy upgrade",B114="Forge/Scrapwork buy"),IFERROR(VLOOKUP(C114,Upgrades!$N$4:$T$47,2,FALSE),0)="gold"),IFERROR(FLOOR(IFERROR(VLOOKUP(C114,Upgrades!$N$4:$T$47,3,FALSE),0)*(IFERROR(VLOOKUP(C114,Upgrades!$N$4:$T$47,4,FALSE),0)^(COUNTIFS($B$3:$B113,"Buy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buy",$C$3:$C113,C114))),1),0),0)-IF(AND((E114="OK"),B114="Hire hunter"),IF(C114="Briar",140,IF(C114="Quill",3650,IF(C114="Moss",4850,IF(C114="Ember",12200,0)))),0))</f>
        <v/>
      </c>
      <c r="I114" s="7">
        <f>IF(AND((E114="OK"),B114="Fight boss",(IF((((105/'Rules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Formulas'!B12)),0,MIN(IF(G113&lt;=1,120,IF(G113=2,280,600)),I113+IF(AND((E114="OK"),B114="Hunt"),((IF(B114="Hunt",(('Rules &amp; Formulas'!B4*N113*('Rules &amp; Formulas'!B5+O113)*IFERROR(VLOOKUP(C114,Monsters!$T$4:$AH$15,10,FALSE),0)*IFERROR(VLOOKUP(C114,Monsters!$T$4:$AH$15,9,FALSE),0))*'Rules &amp; Formulas'!B6)*IF(D114="",0,D114),0))*(IFERROR(VLOOKUP(C114,Monsters!$T$4:$AH$15,4,FALSE),0))+(IF(OR(B114&lt;&gt;"Hunt",IFERROR(VLOOKUP(C114,Monsters!$T$4:$AH$15,6,FALSE),0)=0),0,FLOOR((IF(B114="Hunt",(('Rules &amp; Formulas'!B4*N113*('Rules &amp; Formulas'!B5+O113)*IFERROR(VLOOKUP(C114,Monsters!$T$4:$AH$15,10,FALSE),0)*IFERROR(VLOOKUP(C114,Monsters!$T$4:$AH$15,9,FALSE),0))*'Rules &amp; Formulas'!B6)*IF(D114="",0,D114),0))/MAX(1,IFERROR(VLOOKUP(C114,Monsters!$T$4:$AH$15,6,FALSE),0)),1)))*(IFERROR(VLOOKUP(C114,Monsters!$T$4:$AH$15,7,FALSE),0))),0)+IF(AND((E114="OK"),B114="Go AFK"),((IF(B114="Go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AFK",IF(D114="",0,D114),0),Z113/60)*60)),0))*(IFERROR(VLOOKUP(C114,Monsters!$T$4:$AH$15,4,FALSE),0))+(IF(OR(B114&lt;&gt;"Go AFK",IFERROR(VLOOKUP(C114,Monsters!$T$4:$AH$15,6,FALSE),0)=0),0,FLOOR((IF(B114="Go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AFK",IF(D114="",0,D114),0),Z113/60)*60)),0))/MAX(1,IFERROR(VLOOKUP(C114,Monsters!$T$4:$AH$15,6,FALSE),0)),1)))*(IFERROR(VLOOKUP(C114,Monsters!$T$4:$AH$15,7,FALSE),0))),0)))</f>
        <v/>
      </c>
      <c r="J114" s="7">
        <f>MAX(0,J113+IF(AND((E114="OK"),B114="Hunt"),(IF(B114="Hunt",(('Rules &amp; Formulas'!B4*N113*('Rules &amp; Formulas'!B5+O113)*IFERROR(VLOOKUP(C114,Monsters!$T$4:$AH$15,10,FALSE),0)*IFERROR(VLOOKUP(C114,Monsters!$T$4:$AH$15,9,FALSE),0))*'Rules &amp; Formulas'!B6)*IF(D114="",0,D114),0))*(IFERROR(VLOOKUP(C114,Monsters!$T$4:$AH$15,5,FALSE),0)),0)+IF(AND((E114="OK"),B114="Go AFK"),(IF(B114="Go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AFK",IF(D114="",0,D114),0),Z113/60)*60)),0))*(IFERROR(VLOOKUP(C114,Monsters!$T$4:$AH$15,5,FALSE),0)),0)-IF(AND((E114="OK"),OR(B114="Buy upgrade",B114="Forge/Scrapwork buy"),IFERROR(VLOOKUP(C114,Upgrades!$N$4:$T$47,2,FALSE),0)="scraps"),IFERROR(FLOOR(IFERROR(VLOOKUP(C114,Upgrades!$N$4:$T$47,3,FALSE),0)*(IFERROR(VLOOKUP(C114,Upgrades!$N$4:$T$47,4,FALSE),0)^(COUNTIFS($B$3:$B113,"Buy upgrade",$C$3:$C113,C114)+COUNTIFS($B$3:$B113,"Hire hunter",$C$3:$C113,C114)+COUNTIFS($B$3:$B113,"Forge/Scrapwork buy",$C$3:$C113,C114))),1),0),0))</f>
        <v/>
      </c>
      <c r="K114" s="7">
        <f>MAX(0,K113+IF(AND((E114="OK"),B114="Hunt"),IF(C114="Thornpelt Bear",(IF(B114="Hunt",(('Rules &amp; Formulas'!B4*N113*('Rules &amp; Formulas'!B5+O113)*IFERROR(VLOOKUP(C114,Monsters!$T$4:$AH$15,10,FALSE),0)*IFERROR(VLOOKUP(C114,Monsters!$T$4:$AH$15,9,FALSE),0))*'Rules &amp; Formulas'!B6)*IF(D114="",0,D114),0))*0.12,0),0)+IF(AND((E114="OK"),B114="Go AFK"),IF(C114="Thornpelt Bear",(IF(B114="Go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AFK",IF(D114="",0,D114),0),Z113/60)*60)),0))*0.12,0),0))</f>
        <v/>
      </c>
      <c r="L114" s="7">
        <f>MAX(0,L113+IF(AND((E114="OK"),B114="Hunt"),IF(C114="Dire Thornpelt",(IF(B114="Hunt",(('Rules &amp; Formulas'!B4*N113*('Rules &amp; Formulas'!B5+O113)*IFERROR(VLOOKUP(C114,Monsters!$T$4:$AH$15,10,FALSE),0)*IFERROR(VLOOKUP(C114,Monsters!$T$4:$AH$15,9,FALSE),0))*'Rules &amp; Formulas'!B6)*IF(D114="",0,D114),0))*0.1,0),0)+IF(AND((E114="OK"),B114="Go AFK"),IF(C114="Dire Thornpelt",(IF(B114="Go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AFK",IF(D114="",0,D114),0),Z113/60)*60)),0))*0.1,0),0))</f>
        <v/>
      </c>
      <c r="M114" s="7">
        <f>IF(AND((E114="OK"),B114="Go AFK"),MAX(0,MIN(('Rules &amp; Formulas'!B15+25*AJ113),M113+('Rules &amp; Formulas'!B14+0.4*AJ113)*(MIN(IF(B114="Go AFK",IF(D114="",0,D114),0),Z113/60)*60))-(IF(B114="Go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AFK",IF(D114="",0,D114),0),Z113/60)*60)),0))*(IF((IFERROR(VLOOKUP(C114,Monsters!$T$4:$AH$15,8,FALSE),0))=0,0.35,IFERROR(VLOOKUP(C114,Monsters!$T$4:$AH$15,8,FALSE),0))/(1+0.08*AK113))),MIN(('Rules &amp; Formulas'!B15+25*AJ114),M113))</f>
        <v/>
      </c>
      <c r="N114" s="7">
        <f>(1+0.08+0.12*AA114+0.12*AB114+0.16*AC114)</f>
        <v/>
      </c>
      <c r="O114" s="7">
        <f>((AD114&gt;=1)*1*(1+0.3*AE114))</f>
        <v/>
      </c>
      <c r="P114" s="7">
        <f>IF(OR(B114="Hunt",B114="Go AFK"),(('Rules &amp; Formulas'!B4*N113*('Rules &amp; Formulas'!B5+O113)*IFERROR(VLOOKUP(C114,Monsters!$T$4:$AH$15,10,FALSE),0)*IFERROR(VLOOKUP(C114,Monsters!$T$4:$AH$15,9,FALSE),0))*'Rules &amp; Formulas'!B6),"")</f>
        <v/>
      </c>
      <c r="Q114" s="7">
        <f>IF(OR(B114="Hunt",B114="Go AFK"),('Rules &amp; Formulas'!B4*N113*('Rules &amp; Formulas'!B5+O113)*IFERROR(VLOOKUP(C114,Monsters!$T$4:$AH$15,10,FALSE),0)*IFERROR(VLOOKUP(C114,Monsters!$T$4:$AH$15,9,FALSE),0)),"")</f>
        <v/>
      </c>
      <c r="R114" s="7">
        <f>IF(AND((E114="OK"),B114="Hunt"),IF(B114="Hunt",(('Rules &amp; Formulas'!B4*N113*('Rules &amp; Formulas'!B5+O113)*IFERROR(VLOOKUP(C114,Monsters!$T$4:$AH$15,10,FALSE),0)*IFERROR(VLOOKUP(C114,Monsters!$T$4:$AH$15,9,FALSE),0))*'Rules &amp; Formulas'!B6)*IF(D114="",0,D114),0),IF(AND((E114="OK"),B114="Go AFK"),IF(B114="Go AFK",MIN(IF((IF((IFERROR(VLOOKUP(C114,Monsters!$T$4:$AH$15,8,FALSE),0))=0,0.35,IFERROR(VLOOKUP(C114,Monsters!$T$4:$AH$15,8,FALSE),0))/(1+0.08*AK113))&lt;=0,999999,FLOOR(MIN(('Rules &amp; Formulas'!B15+25*AJ113),M113+('Rules &amp; Formulas'!B14+0.4*AJ113)*(MIN(IF(B114="Go AFK",IF(D114="",0,D114),0),Z113/60)*60))/(IF((IFERROR(VLOOKUP(C114,Monsters!$T$4:$AH$15,8,FALSE),0))=0,0.35,IFERROR(VLOOKUP(C114,Monsters!$T$4:$AH$15,8,FALSE),0))/(1+0.08*AK113)),1)),('Rules &amp; Formulas'!B4*N113*('Rules &amp; Formulas'!B5+O113)*IFERROR(VLOOKUP(C114,Monsters!$T$4:$AH$15,10,FALSE),0)*IFERROR(VLOOKUP(C114,Monsters!$T$4:$AH$15,9,FALSE),0))*(MIN(IF(B114="Go AFK",IF(D114="",0,D114),0),Z113/60)*60)),0),0))</f>
        <v/>
      </c>
      <c r="S114" s="7">
        <f>(105/'Rules &amp; Formulas'!B10)*'Rules &amp; Formulas'!B11</f>
        <v/>
      </c>
      <c r="T114" s="7">
        <f>IF(AD113&gt;=1,(MAX(1,ROUND('Rules &amp; Formulas'!B18*(1+0.3*AE113)*(1+0.4*AF113),0)))*(1000/'Rules &amp; Formulas'!B19)*MIN(0.95,'Rules &amp; Formulas'!B20*SQRT(1+0.55*(AG113&gt;=1))),0)</f>
        <v/>
      </c>
      <c r="U114" s="7">
        <f>S114+T114</f>
        <v/>
      </c>
      <c r="V114" s="7">
        <f>IF(I113&gt;=IF((IFERROR(VLOOKUP(C114,Monsters!$T$4:$AH$15,15,FALSE),0))=0,120,IFERROR(VLOOKUP(C114,Monsters!$T$4:$AH$15,15,FALSE),0)),"YES","no")</f>
        <v/>
      </c>
      <c r="W114" s="7">
        <f>IF(AND(B114="Fight boss",E114="OK"),IF((((105/'Rules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Formulas'!B20*SQRT(1+0.55*(AG113&gt;=1))),0)))),"")</f>
        <v/>
      </c>
      <c r="X114" s="7">
        <f>IF(AND(B114="Fight boss",E114="OK"),IF((IF((((105/'Rules &amp; Formulas'!B10)*'Rules &amp; Formulas'!B11+IF(AD113&gt;=1,(MAX(1,ROUND('Rules &amp; Formulas'!B18*(1+0.3*AE113)*(1+0.4*AF113),0)))*(1000/'Rules &amp; Formulas'!B19)*MIN(0.95,'Rules &amp; Formulas'!B20*SQRT(1+0.55*(AG113&gt;=1))),0)))&lt;=0,9999,(IFERROR(VLOOKUP(C114,Monsters!$T$4:$AH$15,2,FALSE),0))/(((105/'Rules &amp; Formulas'!B10)*'Rules &amp; Formulas'!B11+IF(AD113&gt;=1,(MAX(1,ROUND('Rules &amp; Formulas'!B18*(1+0.3*AE113)*(1+0.4*AF113),0)))*(1000/'Rules &amp; Formulas'!B19)*MIN(0.95,'Rules &amp; Formulas'!B20*SQRT(1+0.55*(AG113&gt;=1))),0))))&lt;='Rules &amp; Formulas'!B12),"WIN","LOSE"),"")</f>
        <v/>
      </c>
      <c r="Y114" s="7">
        <f>IF(B114="Go AFK",MIN(IF(B114="Go AFK",IF(D114="",0,D114),0),Z113/60),"")</f>
        <v/>
      </c>
      <c r="Z114" s="7">
        <f>('Rules &amp; Formulas'!B13+30*AI114)</f>
        <v/>
      </c>
      <c r="AA114">
        <f>COUNTIFS($B$3:$B114,"Buy upgrade",$C$3:$C114,"Idle Power")</f>
        <v/>
      </c>
      <c r="AB114">
        <f>COUNTIFS($B$3:$B114,"Buy upgrade",$C$3:$C114,"Iron Blade")</f>
        <v/>
      </c>
      <c r="AC114">
        <f>COUNTIFS($B$3:$B114,"Buy upgrade",$C$3:$C114,"Steel Blade")</f>
        <v/>
      </c>
      <c r="AD114">
        <f>COUNTIFS($B$3:$B114,"Hire hunter",$C$3:$C114,"Briar")+COUNTIFS($B$3:$B114,"Buy upgrade",$C$3:$C114,"Hire Briar")</f>
        <v/>
      </c>
      <c r="AE114">
        <f>COUNTIFS($B$3:$B114,"Buy upgrade",$C$3:$C114,"Hunter Power")</f>
        <v/>
      </c>
      <c r="AF114">
        <f>COUNTIFS($B$3:$B114,"Buy upgrade",$C$3:$C114,"Bigger Hits")</f>
        <v/>
      </c>
      <c r="AG114">
        <f>COUNTIFS($B$3:$B114,"Buy upgrade",$C$3:$C114,"Swift Walk")</f>
        <v/>
      </c>
      <c r="AH114">
        <f>COUNTIFS($B$3:$B114,"Buy upgrade",$C$3:$C114,"Loot Luck")</f>
        <v/>
      </c>
      <c r="AI114">
        <f>COUNTIFS($B$3:$B114,"Buy upgrade",$C$3:$C114,"Offline Cap")</f>
        <v/>
      </c>
      <c r="AJ114">
        <f>COUNTIFS($B$3:$B114,"Buy upgrade",$C$3:$C114,"Bigger Food Stock")</f>
        <v/>
      </c>
      <c r="AK114">
        <f>COUNTIFS($B$3:$B114,"Buy upgrade",$C$3:$C114,"Food Efficiency")</f>
        <v/>
      </c>
    </row>
    <row r="115">
      <c r="A115" t="n">
        <v>113</v>
      </c>
      <c r="B115" s="6" t="n"/>
      <c r="C115" s="6" t="n"/>
      <c r="D115" s="6" t="n"/>
      <c r="E115" s="7">
        <f>IF(B115="","",IF(OR(B115="Hunt",B115="Go AFK"),IF(C115="","Can't","OK"),IF(B115="Fight boss",IF(I114&lt;IF((IFERROR(VLOOKUP(C115,Monsters!$T$4:$AH$15,15,FALSE),0))=0,120,IFERROR(VLOOKUP(C115,Monsters!$T$4:$AH$15,15,FALSE),0)),"Can't","OK"),IF(B115="Hire hunter",IF(AND(C115="Briar",AD114&gt;=1),"Can't",IF(H114&lt;IF(C115="Briar",140,IF(C115="Quill",3650,IF(C115="Moss",4850,IF(C115="Ember",12200,0)))),"Can't","OK")),IF(OR(B115="Buy upgrade",B115="Forge/Scrapwork buy"),IF(IFERROR(VLOOKUP(C115,Upgrades!$N$4:$T$47,2,FALSE),0)="points","Can't",IF(IFERROR(VLOOKUP(C115,Upgrades!$N$4:$T$47,2,FALSE),0)="gold",IF(H114&lt;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buy",$C$3:$C114,C115))),1),0),"Can't","OK"),IF(IFERROR(VLOOKUP(C115,Upgrades!$N$4:$T$47,2,FALSE),0)="scraps",IF(J114&lt;IFERROR(FLOOR(IFERROR(VLOOKUP(C115,Upgrades!$N$4:$T$47,3,FALSE),0)*(IFERROR(VLOOKUP(C115,Upgrades!$N$4:$T$47,4,FALSE),0)^(COUNTIFS($B$3:$B114,"Buy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buy",$C$3:$C114,C115))),1),0),"Can't","OK"),IF(IFERROR(VLOOKUP(C115,Upgrades!$N$4:$T$47,2,FALSE),0)="mats","Can't","OK")))),"Check")))))</f>
        <v/>
      </c>
      <c r="F115" s="7">
        <f>IF(B115="","",IF(AND(B115="Fight boss",I114&lt;IF((IFERROR(VLOOKUP(C115,Monsters!$T$4:$AH$15,15,FALSE),0))=0,120,IFERROR(VLOOKUP(C115,Monsters!$T$4:$AH$15,15,FALSE),0))),"Can't — need "&amp;TEXT(IF((IFERROR(VLOOKUP(C115,Monsters!$T$4:$AH$15,15,FALSE),0))=0,120,IFERROR(VLOOKUP(C115,Monsters!$T$4:$AH$15,15,FALSE),0))-I114,"0.0")&amp;" more Slayer points on the meter",IF(AND(B115="Hire hunter",C115="Briar",AD114&gt;=1),"Can't — already hired",IF(AND(B115="Hire hunter",H114&lt;IF(C115="Briar",140,IF(C115="Quill",3650,IF(C115="Moss",4850,IF(C115="Ember",12200,0))))),"Can't — need "&amp;TEXT(IF(C115="Briar",140,IF(C115="Quill",3650,IF(C115="Moss",4850,IF(C115="Ember",12200,0))))-H114,"0")&amp;" more gold",IF(AND(OR(B115="Buy upgrade",B115="Forge/Scrapwork buy"),IFERROR(VLOOKUP(C115,Upgrades!$N$4:$T$47,2,FALSE),0)="points"),"Can't — Sp-wallet spends not tracked here",IF(AND(OR(B115="Buy upgrade",B115="Forge/Scrapwork buy"),IFERROR(VLOOKUP(C115,Upgrades!$N$4:$T$47,2,FALSE),0)="gold",H114&lt;IFERROR(FLOOR(IFERROR(VLOOKUP(C115,Upgrades!$N$4:$T$47,3,FALSE),0)*(IFERROR(VLOOKUP(C115,Upgrades!$N$4:$T$47,4,FALSE),0)^(COUNTIFS($B$3:$B114,"Buy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buy",$C$3:$C114,C115))),1),0)),"Can't — need "&amp;TEXT(IFERROR(FLOOR(IFERROR(VLOOKUP(C115,Upgrades!$N$4:$T$47,3,FALSE),0)*(IFERROR(VLOOKUP(C115,Upgrades!$N$4:$T$47,4,FALSE),0)^(COUNTIFS($B$3:$B114,"Buy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buy",$C$3:$C114,C115))),1),0)-H114,"0")&amp;" more gold",IF(AND(OR(B115="Buy upgrade",B115="Forge/Scrapwork buy"),IFERROR(VLOOKUP(C115,Upgrades!$N$4:$T$47,2,FALSE),0)="scraps",J114&lt;IFERROR(FLOOR(IFERROR(VLOOKUP(C115,Upgrades!$N$4:$T$47,3,FALSE),0)*(IFERROR(VLOOKUP(C115,Upgrades!$N$4:$T$47,4,FALSE),0)^(COUNTIFS($B$3:$B114,"Buy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buy",$C$3:$C114,C115))),1),0)),"Can't — need "&amp;TEXT(IFERROR(FLOOR(IFERROR(VLOOKUP(C115,Upgrades!$N$4:$T$47,3,FALSE),0)*(IFERROR(VLOOKUP(C115,Upgrades!$N$4:$T$47,4,FALSE),0)^(COUNTIFS($B$3:$B114,"Buy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buy",$C$3:$C114,C115))),1),0)-J114,"0")&amp;" more scraps",IF(AND(B115="Fight boss",E115="OK",(IF((((105/'Rules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Formulas'!B12)),"WIN — boss down, next Level unlocks",IF(AND(B115="Fight boss",E115="OK"),"LOSE — TTK "&amp;TEXT(IF((((105/'Rules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Formulas'!B20*SQRT(1+0.55*(AG114&gt;=1))),0)))),"0")&amp;"s &gt; patience "&amp;TEXT('Rules &amp; Formulas'!B12,"0")&amp;"s (leave resets HP)",IF(B115="Go AFK","AFK resolved (see AFK counted h)","Applied")))))))))</f>
        <v/>
      </c>
      <c r="G115" s="7">
        <f>IF(AND((E115="OK"),B115="Fight boss",(IF((((105/'Rules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Formulas'!B12),C115="Elder Thornpelt"),2,IF(AND((E115="OK"),B115="Fight boss",(IF((((105/'Rules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Formulas'!B12),C115="Ashfang Alpha"),3,G114))</f>
        <v/>
      </c>
      <c r="H115" s="7">
        <f>MAX(0,H114+IF(AND((E115="OK"),B115="Hunt"),(IF(B115="Hunt",(('Rules &amp; Formulas'!B4*N114*('Rules &amp; Formulas'!B5+O114)*IFERROR(VLOOKUP(C115,Monsters!$T$4:$AH$15,10,FALSE),0)*IFERROR(VLOOKUP(C115,Monsters!$T$4:$AH$15,9,FALSE),0))*'Rules &amp; Formulas'!B6)*IF(D115="",0,D115),0))*(IFERROR(VLOOKUP(C115,Monsters!$T$4:$AH$15,3,FALSE),0))*(1+0.1*AH114)+(IF(OR(B115&lt;&gt;"Hunt",IFERROR(VLOOKUP(C115,Monsters!$T$4:$AH$15,6,FALSE),0)=0),0,FLOOR((IF(B115="Hunt",(('Rules &amp; Formulas'!B4*N114*('Rules &amp; Formulas'!B5+O114)*IFERROR(VLOOKUP(C115,Monsters!$T$4:$AH$15,10,FALSE),0)*IFERROR(VLOOKUP(C115,Monsters!$T$4:$AH$15,9,FALSE),0))*'Rules &amp; Formulas'!B6)*IF(D115="",0,D115),0))/MAX(1,IFERROR(VLOOKUP(C115,Monsters!$T$4:$AH$15,6,FALSE),0)),1)))*(IFERROR(VLOOKUP(C115,Monsters!$T$4:$AH$15,7,FALSE),0))*0.5*(1+0.1*AH114),0)+IF(AND((E115="OK"),B115="Go AFK"),(IF(B115="Go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AFK",IF(D115="",0,D115),0),Z114/60)*60)),0))*(IFERROR(VLOOKUP(C115,Monsters!$T$4:$AH$15,3,FALSE),0))*(1+0.1*AH114)+(IF(OR(B115&lt;&gt;"Go AFK",IFERROR(VLOOKUP(C115,Monsters!$T$4:$AH$15,6,FALSE),0)=0),0,FLOOR((IF(B115="Go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AFK",IF(D115="",0,D115),0),Z114/60)*60)),0))/MAX(1,IFERROR(VLOOKUP(C115,Monsters!$T$4:$AH$15,6,FALSE),0)),1)))*(IFERROR(VLOOKUP(C115,Monsters!$T$4:$AH$15,7,FALSE),0))*0.5*(1+0.1*AH114),0)+IF(AND((E115="OK"),B115="Fight boss",(IF((((105/'Rules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Formulas'!B12)),IFERROR(VLOOKUP(C115,Monsters!$T$4:$AH$15,3,FALSE),0),0)-IF(AND((E115="OK"),OR(B115="Buy upgrade",B115="Forge/Scrapwork buy"),IFERROR(VLOOKUP(C115,Upgrades!$N$4:$T$47,2,FALSE),0)="gold"),IFERROR(FLOOR(IFERROR(VLOOKUP(C115,Upgrades!$N$4:$T$47,3,FALSE),0)*(IFERROR(VLOOKUP(C115,Upgrades!$N$4:$T$47,4,FALSE),0)^(COUNTIFS($B$3:$B114,"Buy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buy",$C$3:$C114,C115))),1),0),0)-IF(AND((E115="OK"),B115="Hire hunter"),IF(C115="Briar",140,IF(C115="Quill",3650,IF(C115="Moss",4850,IF(C115="Ember",12200,0)))),0))</f>
        <v/>
      </c>
      <c r="I115" s="7">
        <f>IF(AND((E115="OK"),B115="Fight boss",(IF((((105/'Rules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Formulas'!B12)),0,MIN(IF(G114&lt;=1,120,IF(G114=2,280,600)),I114+IF(AND((E115="OK"),B115="Hunt"),((IF(B115="Hunt",(('Rules &amp; Formulas'!B4*N114*('Rules &amp; Formulas'!B5+O114)*IFERROR(VLOOKUP(C115,Monsters!$T$4:$AH$15,10,FALSE),0)*IFERROR(VLOOKUP(C115,Monsters!$T$4:$AH$15,9,FALSE),0))*'Rules &amp; Formulas'!B6)*IF(D115="",0,D115),0))*(IFERROR(VLOOKUP(C115,Monsters!$T$4:$AH$15,4,FALSE),0))+(IF(OR(B115&lt;&gt;"Hunt",IFERROR(VLOOKUP(C115,Monsters!$T$4:$AH$15,6,FALSE),0)=0),0,FLOOR((IF(B115="Hunt",(('Rules &amp; Formulas'!B4*N114*('Rules &amp; Formulas'!B5+O114)*IFERROR(VLOOKUP(C115,Monsters!$T$4:$AH$15,10,FALSE),0)*IFERROR(VLOOKUP(C115,Monsters!$T$4:$AH$15,9,FALSE),0))*'Rules &amp; Formulas'!B6)*IF(D115="",0,D115),0))/MAX(1,IFERROR(VLOOKUP(C115,Monsters!$T$4:$AH$15,6,FALSE),0)),1)))*(IFERROR(VLOOKUP(C115,Monsters!$T$4:$AH$15,7,FALSE),0))),0)+IF(AND((E115="OK"),B115="Go AFK"),((IF(B115="Go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AFK",IF(D115="",0,D115),0),Z114/60)*60)),0))*(IFERROR(VLOOKUP(C115,Monsters!$T$4:$AH$15,4,FALSE),0))+(IF(OR(B115&lt;&gt;"Go AFK",IFERROR(VLOOKUP(C115,Monsters!$T$4:$AH$15,6,FALSE),0)=0),0,FLOOR((IF(B115="Go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AFK",IF(D115="",0,D115),0),Z114/60)*60)),0))/MAX(1,IFERROR(VLOOKUP(C115,Monsters!$T$4:$AH$15,6,FALSE),0)),1)))*(IFERROR(VLOOKUP(C115,Monsters!$T$4:$AH$15,7,FALSE),0))),0)))</f>
        <v/>
      </c>
      <c r="J115" s="7">
        <f>MAX(0,J114+IF(AND((E115="OK"),B115="Hunt"),(IF(B115="Hunt",(('Rules &amp; Formulas'!B4*N114*('Rules &amp; Formulas'!B5+O114)*IFERROR(VLOOKUP(C115,Monsters!$T$4:$AH$15,10,FALSE),0)*IFERROR(VLOOKUP(C115,Monsters!$T$4:$AH$15,9,FALSE),0))*'Rules &amp; Formulas'!B6)*IF(D115="",0,D115),0))*(IFERROR(VLOOKUP(C115,Monsters!$T$4:$AH$15,5,FALSE),0)),0)+IF(AND((E115="OK"),B115="Go AFK"),(IF(B115="Go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AFK",IF(D115="",0,D115),0),Z114/60)*60)),0))*(IFERROR(VLOOKUP(C115,Monsters!$T$4:$AH$15,5,FALSE),0)),0)-IF(AND((E115="OK"),OR(B115="Buy upgrade",B115="Forge/Scrapwork buy"),IFERROR(VLOOKUP(C115,Upgrades!$N$4:$T$47,2,FALSE),0)="scraps"),IFERROR(FLOOR(IFERROR(VLOOKUP(C115,Upgrades!$N$4:$T$47,3,FALSE),0)*(IFERROR(VLOOKUP(C115,Upgrades!$N$4:$T$47,4,FALSE),0)^(COUNTIFS($B$3:$B114,"Buy upgrade",$C$3:$C114,C115)+COUNTIFS($B$3:$B114,"Hire hunter",$C$3:$C114,C115)+COUNTIFS($B$3:$B114,"Forge/Scrapwork buy",$C$3:$C114,C115))),1),0),0))</f>
        <v/>
      </c>
      <c r="K115" s="7">
        <f>MAX(0,K114+IF(AND((E115="OK"),B115="Hunt"),IF(C115="Thornpelt Bear",(IF(B115="Hunt",(('Rules &amp; Formulas'!B4*N114*('Rules &amp; Formulas'!B5+O114)*IFERROR(VLOOKUP(C115,Monsters!$T$4:$AH$15,10,FALSE),0)*IFERROR(VLOOKUP(C115,Monsters!$T$4:$AH$15,9,FALSE),0))*'Rules &amp; Formulas'!B6)*IF(D115="",0,D115),0))*0.12,0),0)+IF(AND((E115="OK"),B115="Go AFK"),IF(C115="Thornpelt Bear",(IF(B115="Go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AFK",IF(D115="",0,D115),0),Z114/60)*60)),0))*0.12,0),0))</f>
        <v/>
      </c>
      <c r="L115" s="7">
        <f>MAX(0,L114+IF(AND((E115="OK"),B115="Hunt"),IF(C115="Dire Thornpelt",(IF(B115="Hunt",(('Rules &amp; Formulas'!B4*N114*('Rules &amp; Formulas'!B5+O114)*IFERROR(VLOOKUP(C115,Monsters!$T$4:$AH$15,10,FALSE),0)*IFERROR(VLOOKUP(C115,Monsters!$T$4:$AH$15,9,FALSE),0))*'Rules &amp; Formulas'!B6)*IF(D115="",0,D115),0))*0.1,0),0)+IF(AND((E115="OK"),B115="Go AFK"),IF(C115="Dire Thornpelt",(IF(B115="Go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AFK",IF(D115="",0,D115),0),Z114/60)*60)),0))*0.1,0),0))</f>
        <v/>
      </c>
      <c r="M115" s="7">
        <f>IF(AND((E115="OK"),B115="Go AFK"),MAX(0,MIN(('Rules &amp; Formulas'!B15+25*AJ114),M114+('Rules &amp; Formulas'!B14+0.4*AJ114)*(MIN(IF(B115="Go AFK",IF(D115="",0,D115),0),Z114/60)*60))-(IF(B115="Go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AFK",IF(D115="",0,D115),0),Z114/60)*60)),0))*(IF((IFERROR(VLOOKUP(C115,Monsters!$T$4:$AH$15,8,FALSE),0))=0,0.35,IFERROR(VLOOKUP(C115,Monsters!$T$4:$AH$15,8,FALSE),0))/(1+0.08*AK114))),MIN(('Rules &amp; Formulas'!B15+25*AJ115),M114))</f>
        <v/>
      </c>
      <c r="N115" s="7">
        <f>(1+0.08+0.12*AA115+0.12*AB115+0.16*AC115)</f>
        <v/>
      </c>
      <c r="O115" s="7">
        <f>((AD115&gt;=1)*1*(1+0.3*AE115))</f>
        <v/>
      </c>
      <c r="P115" s="7">
        <f>IF(OR(B115="Hunt",B115="Go AFK"),(('Rules &amp; Formulas'!B4*N114*('Rules &amp; Formulas'!B5+O114)*IFERROR(VLOOKUP(C115,Monsters!$T$4:$AH$15,10,FALSE),0)*IFERROR(VLOOKUP(C115,Monsters!$T$4:$AH$15,9,FALSE),0))*'Rules &amp; Formulas'!B6),"")</f>
        <v/>
      </c>
      <c r="Q115" s="7">
        <f>IF(OR(B115="Hunt",B115="Go AFK"),('Rules &amp; Formulas'!B4*N114*('Rules &amp; Formulas'!B5+O114)*IFERROR(VLOOKUP(C115,Monsters!$T$4:$AH$15,10,FALSE),0)*IFERROR(VLOOKUP(C115,Monsters!$T$4:$AH$15,9,FALSE),0)),"")</f>
        <v/>
      </c>
      <c r="R115" s="7">
        <f>IF(AND((E115="OK"),B115="Hunt"),IF(B115="Hunt",(('Rules &amp; Formulas'!B4*N114*('Rules &amp; Formulas'!B5+O114)*IFERROR(VLOOKUP(C115,Monsters!$T$4:$AH$15,10,FALSE),0)*IFERROR(VLOOKUP(C115,Monsters!$T$4:$AH$15,9,FALSE),0))*'Rules &amp; Formulas'!B6)*IF(D115="",0,D115),0),IF(AND((E115="OK"),B115="Go AFK"),IF(B115="Go AFK",MIN(IF((IF((IFERROR(VLOOKUP(C115,Monsters!$T$4:$AH$15,8,FALSE),0))=0,0.35,IFERROR(VLOOKUP(C115,Monsters!$T$4:$AH$15,8,FALSE),0))/(1+0.08*AK114))&lt;=0,999999,FLOOR(MIN(('Rules &amp; Formulas'!B15+25*AJ114),M114+('Rules &amp; Formulas'!B14+0.4*AJ114)*(MIN(IF(B115="Go AFK",IF(D115="",0,D115),0),Z114/60)*60))/(IF((IFERROR(VLOOKUP(C115,Monsters!$T$4:$AH$15,8,FALSE),0))=0,0.35,IFERROR(VLOOKUP(C115,Monsters!$T$4:$AH$15,8,FALSE),0))/(1+0.08*AK114)),1)),('Rules &amp; Formulas'!B4*N114*('Rules &amp; Formulas'!B5+O114)*IFERROR(VLOOKUP(C115,Monsters!$T$4:$AH$15,10,FALSE),0)*IFERROR(VLOOKUP(C115,Monsters!$T$4:$AH$15,9,FALSE),0))*(MIN(IF(B115="Go AFK",IF(D115="",0,D115),0),Z114/60)*60)),0),0))</f>
        <v/>
      </c>
      <c r="S115" s="7">
        <f>(105/'Rules &amp; Formulas'!B10)*'Rules &amp; Formulas'!B11</f>
        <v/>
      </c>
      <c r="T115" s="7">
        <f>IF(AD114&gt;=1,(MAX(1,ROUND('Rules &amp; Formulas'!B18*(1+0.3*AE114)*(1+0.4*AF114),0)))*(1000/'Rules &amp; Formulas'!B19)*MIN(0.95,'Rules &amp; Formulas'!B20*SQRT(1+0.55*(AG114&gt;=1))),0)</f>
        <v/>
      </c>
      <c r="U115" s="7">
        <f>S115+T115</f>
        <v/>
      </c>
      <c r="V115" s="7">
        <f>IF(I114&gt;=IF((IFERROR(VLOOKUP(C115,Monsters!$T$4:$AH$15,15,FALSE),0))=0,120,IFERROR(VLOOKUP(C115,Monsters!$T$4:$AH$15,15,FALSE),0)),"YES","no")</f>
        <v/>
      </c>
      <c r="W115" s="7">
        <f>IF(AND(B115="Fight boss",E115="OK"),IF((((105/'Rules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Formulas'!B20*SQRT(1+0.55*(AG114&gt;=1))),0)))),"")</f>
        <v/>
      </c>
      <c r="X115" s="7">
        <f>IF(AND(B115="Fight boss",E115="OK"),IF((IF((((105/'Rules &amp; Formulas'!B10)*'Rules &amp; Formulas'!B11+IF(AD114&gt;=1,(MAX(1,ROUND('Rules &amp; Formulas'!B18*(1+0.3*AE114)*(1+0.4*AF114),0)))*(1000/'Rules &amp; Formulas'!B19)*MIN(0.95,'Rules &amp; Formulas'!B20*SQRT(1+0.55*(AG114&gt;=1))),0)))&lt;=0,9999,(IFERROR(VLOOKUP(C115,Monsters!$T$4:$AH$15,2,FALSE),0))/(((105/'Rules &amp; Formulas'!B10)*'Rules &amp; Formulas'!B11+IF(AD114&gt;=1,(MAX(1,ROUND('Rules &amp; Formulas'!B18*(1+0.3*AE114)*(1+0.4*AF114),0)))*(1000/'Rules &amp; Formulas'!B19)*MIN(0.95,'Rules &amp; Formulas'!B20*SQRT(1+0.55*(AG114&gt;=1))),0))))&lt;='Rules &amp; Formulas'!B12),"WIN","LOSE"),"")</f>
        <v/>
      </c>
      <c r="Y115" s="7">
        <f>IF(B115="Go AFK",MIN(IF(B115="Go AFK",IF(D115="",0,D115),0),Z114/60),"")</f>
        <v/>
      </c>
      <c r="Z115" s="7">
        <f>('Rules &amp; Formulas'!B13+30*AI115)</f>
        <v/>
      </c>
      <c r="AA115">
        <f>COUNTIFS($B$3:$B115,"Buy upgrade",$C$3:$C115,"Idle Power")</f>
        <v/>
      </c>
      <c r="AB115">
        <f>COUNTIFS($B$3:$B115,"Buy upgrade",$C$3:$C115,"Iron Blade")</f>
        <v/>
      </c>
      <c r="AC115">
        <f>COUNTIFS($B$3:$B115,"Buy upgrade",$C$3:$C115,"Steel Blade")</f>
        <v/>
      </c>
      <c r="AD115">
        <f>COUNTIFS($B$3:$B115,"Hire hunter",$C$3:$C115,"Briar")+COUNTIFS($B$3:$B115,"Buy upgrade",$C$3:$C115,"Hire Briar")</f>
        <v/>
      </c>
      <c r="AE115">
        <f>COUNTIFS($B$3:$B115,"Buy upgrade",$C$3:$C115,"Hunter Power")</f>
        <v/>
      </c>
      <c r="AF115">
        <f>COUNTIFS($B$3:$B115,"Buy upgrade",$C$3:$C115,"Bigger Hits")</f>
        <v/>
      </c>
      <c r="AG115">
        <f>COUNTIFS($B$3:$B115,"Buy upgrade",$C$3:$C115,"Swift Walk")</f>
        <v/>
      </c>
      <c r="AH115">
        <f>COUNTIFS($B$3:$B115,"Buy upgrade",$C$3:$C115,"Loot Luck")</f>
        <v/>
      </c>
      <c r="AI115">
        <f>COUNTIFS($B$3:$B115,"Buy upgrade",$C$3:$C115,"Offline Cap")</f>
        <v/>
      </c>
      <c r="AJ115">
        <f>COUNTIFS($B$3:$B115,"Buy upgrade",$C$3:$C115,"Bigger Food Stock")</f>
        <v/>
      </c>
      <c r="AK115">
        <f>COUNTIFS($B$3:$B115,"Buy upgrade",$C$3:$C115,"Food Efficiency")</f>
        <v/>
      </c>
    </row>
    <row r="116">
      <c r="A116" t="n">
        <v>114</v>
      </c>
      <c r="B116" s="6" t="n"/>
      <c r="C116" s="6" t="n"/>
      <c r="D116" s="6" t="n"/>
      <c r="E116" s="7">
        <f>IF(B116="","",IF(OR(B116="Hunt",B116="Go AFK"),IF(C116="","Can't","OK"),IF(B116="Fight boss",IF(I115&lt;IF((IFERROR(VLOOKUP(C116,Monsters!$T$4:$AH$15,15,FALSE),0))=0,120,IFERROR(VLOOKUP(C116,Monsters!$T$4:$AH$15,15,FALSE),0)),"Can't","OK"),IF(B116="Hire hunter",IF(AND(C116="Briar",AD115&gt;=1),"Can't",IF(H115&lt;IF(C116="Briar",140,IF(C116="Quill",3650,IF(C116="Moss",4850,IF(C116="Ember",12200,0)))),"Can't","OK")),IF(OR(B116="Buy upgrade",B116="Forge/Scrapwork buy"),IF(IFERROR(VLOOKUP(C116,Upgrades!$N$4:$T$47,2,FALSE),0)="points","Can't",IF(IFERROR(VLOOKUP(C116,Upgrades!$N$4:$T$47,2,FALSE),0)="gold",IF(H115&lt;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buy",$C$3:$C115,C116))),1),0),"Can't","OK"),IF(IFERROR(VLOOKUP(C116,Upgrades!$N$4:$T$47,2,FALSE),0)="scraps",IF(J115&lt;IFERROR(FLOOR(IFERROR(VLOOKUP(C116,Upgrades!$N$4:$T$47,3,FALSE),0)*(IFERROR(VLOOKUP(C116,Upgrades!$N$4:$T$47,4,FALSE),0)^(COUNTIFS($B$3:$B115,"Buy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buy",$C$3:$C115,C116))),1),0),"Can't","OK"),IF(IFERROR(VLOOKUP(C116,Upgrades!$N$4:$T$47,2,FALSE),0)="mats","Can't","OK")))),"Check")))))</f>
        <v/>
      </c>
      <c r="F116" s="7">
        <f>IF(B116="","",IF(AND(B116="Fight boss",I115&lt;IF((IFERROR(VLOOKUP(C116,Monsters!$T$4:$AH$15,15,FALSE),0))=0,120,IFERROR(VLOOKUP(C116,Monsters!$T$4:$AH$15,15,FALSE),0))),"Can't — need "&amp;TEXT(IF((IFERROR(VLOOKUP(C116,Monsters!$T$4:$AH$15,15,FALSE),0))=0,120,IFERROR(VLOOKUP(C116,Monsters!$T$4:$AH$15,15,FALSE),0))-I115,"0.0")&amp;" more Slayer points on the meter",IF(AND(B116="Hire hunter",C116="Briar",AD115&gt;=1),"Can't — already hired",IF(AND(B116="Hire hunter",H115&lt;IF(C116="Briar",140,IF(C116="Quill",3650,IF(C116="Moss",4850,IF(C116="Ember",12200,0))))),"Can't — need "&amp;TEXT(IF(C116="Briar",140,IF(C116="Quill",3650,IF(C116="Moss",4850,IF(C116="Ember",12200,0))))-H115,"0")&amp;" more gold",IF(AND(OR(B116="Buy upgrade",B116="Forge/Scrapwork buy"),IFERROR(VLOOKUP(C116,Upgrades!$N$4:$T$47,2,FALSE),0)="points"),"Can't — Sp-wallet spends not tracked here",IF(AND(OR(B116="Buy upgrade",B116="Forge/Scrapwork buy"),IFERROR(VLOOKUP(C116,Upgrades!$N$4:$T$47,2,FALSE),0)="gold",H115&lt;IFERROR(FLOOR(IFERROR(VLOOKUP(C116,Upgrades!$N$4:$T$47,3,FALSE),0)*(IFERROR(VLOOKUP(C116,Upgrades!$N$4:$T$47,4,FALSE),0)^(COUNTIFS($B$3:$B115,"Buy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buy",$C$3:$C115,C116))),1),0)),"Can't — need "&amp;TEXT(IFERROR(FLOOR(IFERROR(VLOOKUP(C116,Upgrades!$N$4:$T$47,3,FALSE),0)*(IFERROR(VLOOKUP(C116,Upgrades!$N$4:$T$47,4,FALSE),0)^(COUNTIFS($B$3:$B115,"Buy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buy",$C$3:$C115,C116))),1),0)-H115,"0")&amp;" more gold",IF(AND(OR(B116="Buy upgrade",B116="Forge/Scrapwork buy"),IFERROR(VLOOKUP(C116,Upgrades!$N$4:$T$47,2,FALSE),0)="scraps",J115&lt;IFERROR(FLOOR(IFERROR(VLOOKUP(C116,Upgrades!$N$4:$T$47,3,FALSE),0)*(IFERROR(VLOOKUP(C116,Upgrades!$N$4:$T$47,4,FALSE),0)^(COUNTIFS($B$3:$B115,"Buy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buy",$C$3:$C115,C116))),1),0)),"Can't — need "&amp;TEXT(IFERROR(FLOOR(IFERROR(VLOOKUP(C116,Upgrades!$N$4:$T$47,3,FALSE),0)*(IFERROR(VLOOKUP(C116,Upgrades!$N$4:$T$47,4,FALSE),0)^(COUNTIFS($B$3:$B115,"Buy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buy",$C$3:$C115,C116))),1),0)-J115,"0")&amp;" more scraps",IF(AND(B116="Fight boss",E116="OK",(IF((((105/'Rules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Formulas'!B12)),"WIN — boss down, next Level unlocks",IF(AND(B116="Fight boss",E116="OK"),"LOSE — TTK "&amp;TEXT(IF((((105/'Rules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Formulas'!B20*SQRT(1+0.55*(AG115&gt;=1))),0)))),"0")&amp;"s &gt; patience "&amp;TEXT('Rules &amp; Formulas'!B12,"0")&amp;"s (leave resets HP)",IF(B116="Go AFK","AFK resolved (see AFK counted h)","Applied")))))))))</f>
        <v/>
      </c>
      <c r="G116" s="7">
        <f>IF(AND((E116="OK"),B116="Fight boss",(IF((((105/'Rules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Formulas'!B12),C116="Elder Thornpelt"),2,IF(AND((E116="OK"),B116="Fight boss",(IF((((105/'Rules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Formulas'!B12),C116="Ashfang Alpha"),3,G115))</f>
        <v/>
      </c>
      <c r="H116" s="7">
        <f>MAX(0,H115+IF(AND((E116="OK"),B116="Hunt"),(IF(B116="Hunt",(('Rules &amp; Formulas'!B4*N115*('Rules &amp; Formulas'!B5+O115)*IFERROR(VLOOKUP(C116,Monsters!$T$4:$AH$15,10,FALSE),0)*IFERROR(VLOOKUP(C116,Monsters!$T$4:$AH$15,9,FALSE),0))*'Rules &amp; Formulas'!B6)*IF(D116="",0,D116),0))*(IFERROR(VLOOKUP(C116,Monsters!$T$4:$AH$15,3,FALSE),0))*(1+0.1*AH115)+(IF(OR(B116&lt;&gt;"Hunt",IFERROR(VLOOKUP(C116,Monsters!$T$4:$AH$15,6,FALSE),0)=0),0,FLOOR((IF(B116="Hunt",(('Rules &amp; Formulas'!B4*N115*('Rules &amp; Formulas'!B5+O115)*IFERROR(VLOOKUP(C116,Monsters!$T$4:$AH$15,10,FALSE),0)*IFERROR(VLOOKUP(C116,Monsters!$T$4:$AH$15,9,FALSE),0))*'Rules &amp; Formulas'!B6)*IF(D116="",0,D116),0))/MAX(1,IFERROR(VLOOKUP(C116,Monsters!$T$4:$AH$15,6,FALSE),0)),1)))*(IFERROR(VLOOKUP(C116,Monsters!$T$4:$AH$15,7,FALSE),0))*0.5*(1+0.1*AH115),0)+IF(AND((E116="OK"),B116="Go AFK"),(IF(B116="Go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AFK",IF(D116="",0,D116),0),Z115/60)*60)),0))*(IFERROR(VLOOKUP(C116,Monsters!$T$4:$AH$15,3,FALSE),0))*(1+0.1*AH115)+(IF(OR(B116&lt;&gt;"Go AFK",IFERROR(VLOOKUP(C116,Monsters!$T$4:$AH$15,6,FALSE),0)=0),0,FLOOR((IF(B116="Go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AFK",IF(D116="",0,D116),0),Z115/60)*60)),0))/MAX(1,IFERROR(VLOOKUP(C116,Monsters!$T$4:$AH$15,6,FALSE),0)),1)))*(IFERROR(VLOOKUP(C116,Monsters!$T$4:$AH$15,7,FALSE),0))*0.5*(1+0.1*AH115),0)+IF(AND((E116="OK"),B116="Fight boss",(IF((((105/'Rules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Formulas'!B12)),IFERROR(VLOOKUP(C116,Monsters!$T$4:$AH$15,3,FALSE),0),0)-IF(AND((E116="OK"),OR(B116="Buy upgrade",B116="Forge/Scrapwork buy"),IFERROR(VLOOKUP(C116,Upgrades!$N$4:$T$47,2,FALSE),0)="gold"),IFERROR(FLOOR(IFERROR(VLOOKUP(C116,Upgrades!$N$4:$T$47,3,FALSE),0)*(IFERROR(VLOOKUP(C116,Upgrades!$N$4:$T$47,4,FALSE),0)^(COUNTIFS($B$3:$B115,"Buy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buy",$C$3:$C115,C116))),1),0),0)-IF(AND((E116="OK"),B116="Hire hunter"),IF(C116="Briar",140,IF(C116="Quill",3650,IF(C116="Moss",4850,IF(C116="Ember",12200,0)))),0))</f>
        <v/>
      </c>
      <c r="I116" s="7">
        <f>IF(AND((E116="OK"),B116="Fight boss",(IF((((105/'Rules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Formulas'!B12)),0,MIN(IF(G115&lt;=1,120,IF(G115=2,280,600)),I115+IF(AND((E116="OK"),B116="Hunt"),((IF(B116="Hunt",(('Rules &amp; Formulas'!B4*N115*('Rules &amp; Formulas'!B5+O115)*IFERROR(VLOOKUP(C116,Monsters!$T$4:$AH$15,10,FALSE),0)*IFERROR(VLOOKUP(C116,Monsters!$T$4:$AH$15,9,FALSE),0))*'Rules &amp; Formulas'!B6)*IF(D116="",0,D116),0))*(IFERROR(VLOOKUP(C116,Monsters!$T$4:$AH$15,4,FALSE),0))+(IF(OR(B116&lt;&gt;"Hunt",IFERROR(VLOOKUP(C116,Monsters!$T$4:$AH$15,6,FALSE),0)=0),0,FLOOR((IF(B116="Hunt",(('Rules &amp; Formulas'!B4*N115*('Rules &amp; Formulas'!B5+O115)*IFERROR(VLOOKUP(C116,Monsters!$T$4:$AH$15,10,FALSE),0)*IFERROR(VLOOKUP(C116,Monsters!$T$4:$AH$15,9,FALSE),0))*'Rules &amp; Formulas'!B6)*IF(D116="",0,D116),0))/MAX(1,IFERROR(VLOOKUP(C116,Monsters!$T$4:$AH$15,6,FALSE),0)),1)))*(IFERROR(VLOOKUP(C116,Monsters!$T$4:$AH$15,7,FALSE),0))),0)+IF(AND((E116="OK"),B116="Go AFK"),((IF(B116="Go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AFK",IF(D116="",0,D116),0),Z115/60)*60)),0))*(IFERROR(VLOOKUP(C116,Monsters!$T$4:$AH$15,4,FALSE),0))+(IF(OR(B116&lt;&gt;"Go AFK",IFERROR(VLOOKUP(C116,Monsters!$T$4:$AH$15,6,FALSE),0)=0),0,FLOOR((IF(B116="Go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AFK",IF(D116="",0,D116),0),Z115/60)*60)),0))/MAX(1,IFERROR(VLOOKUP(C116,Monsters!$T$4:$AH$15,6,FALSE),0)),1)))*(IFERROR(VLOOKUP(C116,Monsters!$T$4:$AH$15,7,FALSE),0))),0)))</f>
        <v/>
      </c>
      <c r="J116" s="7">
        <f>MAX(0,J115+IF(AND((E116="OK"),B116="Hunt"),(IF(B116="Hunt",(('Rules &amp; Formulas'!B4*N115*('Rules &amp; Formulas'!B5+O115)*IFERROR(VLOOKUP(C116,Monsters!$T$4:$AH$15,10,FALSE),0)*IFERROR(VLOOKUP(C116,Monsters!$T$4:$AH$15,9,FALSE),0))*'Rules &amp; Formulas'!B6)*IF(D116="",0,D116),0))*(IFERROR(VLOOKUP(C116,Monsters!$T$4:$AH$15,5,FALSE),0)),0)+IF(AND((E116="OK"),B116="Go AFK"),(IF(B116="Go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AFK",IF(D116="",0,D116),0),Z115/60)*60)),0))*(IFERROR(VLOOKUP(C116,Monsters!$T$4:$AH$15,5,FALSE),0)),0)-IF(AND((E116="OK"),OR(B116="Buy upgrade",B116="Forge/Scrapwork buy"),IFERROR(VLOOKUP(C116,Upgrades!$N$4:$T$47,2,FALSE),0)="scraps"),IFERROR(FLOOR(IFERROR(VLOOKUP(C116,Upgrades!$N$4:$T$47,3,FALSE),0)*(IFERROR(VLOOKUP(C116,Upgrades!$N$4:$T$47,4,FALSE),0)^(COUNTIFS($B$3:$B115,"Buy upgrade",$C$3:$C115,C116)+COUNTIFS($B$3:$B115,"Hire hunter",$C$3:$C115,C116)+COUNTIFS($B$3:$B115,"Forge/Scrapwork buy",$C$3:$C115,C116))),1),0),0))</f>
        <v/>
      </c>
      <c r="K116" s="7">
        <f>MAX(0,K115+IF(AND((E116="OK"),B116="Hunt"),IF(C116="Thornpelt Bear",(IF(B116="Hunt",(('Rules &amp; Formulas'!B4*N115*('Rules &amp; Formulas'!B5+O115)*IFERROR(VLOOKUP(C116,Monsters!$T$4:$AH$15,10,FALSE),0)*IFERROR(VLOOKUP(C116,Monsters!$T$4:$AH$15,9,FALSE),0))*'Rules &amp; Formulas'!B6)*IF(D116="",0,D116),0))*0.12,0),0)+IF(AND((E116="OK"),B116="Go AFK"),IF(C116="Thornpelt Bear",(IF(B116="Go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AFK",IF(D116="",0,D116),0),Z115/60)*60)),0))*0.12,0),0))</f>
        <v/>
      </c>
      <c r="L116" s="7">
        <f>MAX(0,L115+IF(AND((E116="OK"),B116="Hunt"),IF(C116="Dire Thornpelt",(IF(B116="Hunt",(('Rules &amp; Formulas'!B4*N115*('Rules &amp; Formulas'!B5+O115)*IFERROR(VLOOKUP(C116,Monsters!$T$4:$AH$15,10,FALSE),0)*IFERROR(VLOOKUP(C116,Monsters!$T$4:$AH$15,9,FALSE),0))*'Rules &amp; Formulas'!B6)*IF(D116="",0,D116),0))*0.1,0),0)+IF(AND((E116="OK"),B116="Go AFK"),IF(C116="Dire Thornpelt",(IF(B116="Go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AFK",IF(D116="",0,D116),0),Z115/60)*60)),0))*0.1,0),0))</f>
        <v/>
      </c>
      <c r="M116" s="7">
        <f>IF(AND((E116="OK"),B116="Go AFK"),MAX(0,MIN(('Rules &amp; Formulas'!B15+25*AJ115),M115+('Rules &amp; Formulas'!B14+0.4*AJ115)*(MIN(IF(B116="Go AFK",IF(D116="",0,D116),0),Z115/60)*60))-(IF(B116="Go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AFK",IF(D116="",0,D116),0),Z115/60)*60)),0))*(IF((IFERROR(VLOOKUP(C116,Monsters!$T$4:$AH$15,8,FALSE),0))=0,0.35,IFERROR(VLOOKUP(C116,Monsters!$T$4:$AH$15,8,FALSE),0))/(1+0.08*AK115))),MIN(('Rules &amp; Formulas'!B15+25*AJ116),M115))</f>
        <v/>
      </c>
      <c r="N116" s="7">
        <f>(1+0.08+0.12*AA116+0.12*AB116+0.16*AC116)</f>
        <v/>
      </c>
      <c r="O116" s="7">
        <f>((AD116&gt;=1)*1*(1+0.3*AE116))</f>
        <v/>
      </c>
      <c r="P116" s="7">
        <f>IF(OR(B116="Hunt",B116="Go AFK"),(('Rules &amp; Formulas'!B4*N115*('Rules &amp; Formulas'!B5+O115)*IFERROR(VLOOKUP(C116,Monsters!$T$4:$AH$15,10,FALSE),0)*IFERROR(VLOOKUP(C116,Monsters!$T$4:$AH$15,9,FALSE),0))*'Rules &amp; Formulas'!B6),"")</f>
        <v/>
      </c>
      <c r="Q116" s="7">
        <f>IF(OR(B116="Hunt",B116="Go AFK"),('Rules &amp; Formulas'!B4*N115*('Rules &amp; Formulas'!B5+O115)*IFERROR(VLOOKUP(C116,Monsters!$T$4:$AH$15,10,FALSE),0)*IFERROR(VLOOKUP(C116,Monsters!$T$4:$AH$15,9,FALSE),0)),"")</f>
        <v/>
      </c>
      <c r="R116" s="7">
        <f>IF(AND((E116="OK"),B116="Hunt"),IF(B116="Hunt",(('Rules &amp; Formulas'!B4*N115*('Rules &amp; Formulas'!B5+O115)*IFERROR(VLOOKUP(C116,Monsters!$T$4:$AH$15,10,FALSE),0)*IFERROR(VLOOKUP(C116,Monsters!$T$4:$AH$15,9,FALSE),0))*'Rules &amp; Formulas'!B6)*IF(D116="",0,D116),0),IF(AND((E116="OK"),B116="Go AFK"),IF(B116="Go AFK",MIN(IF((IF((IFERROR(VLOOKUP(C116,Monsters!$T$4:$AH$15,8,FALSE),0))=0,0.35,IFERROR(VLOOKUP(C116,Monsters!$T$4:$AH$15,8,FALSE),0))/(1+0.08*AK115))&lt;=0,999999,FLOOR(MIN(('Rules &amp; Formulas'!B15+25*AJ115),M115+('Rules &amp; Formulas'!B14+0.4*AJ115)*(MIN(IF(B116="Go AFK",IF(D116="",0,D116),0),Z115/60)*60))/(IF((IFERROR(VLOOKUP(C116,Monsters!$T$4:$AH$15,8,FALSE),0))=0,0.35,IFERROR(VLOOKUP(C116,Monsters!$T$4:$AH$15,8,FALSE),0))/(1+0.08*AK115)),1)),('Rules &amp; Formulas'!B4*N115*('Rules &amp; Formulas'!B5+O115)*IFERROR(VLOOKUP(C116,Monsters!$T$4:$AH$15,10,FALSE),0)*IFERROR(VLOOKUP(C116,Monsters!$T$4:$AH$15,9,FALSE),0))*(MIN(IF(B116="Go AFK",IF(D116="",0,D116),0),Z115/60)*60)),0),0))</f>
        <v/>
      </c>
      <c r="S116" s="7">
        <f>(105/'Rules &amp; Formulas'!B10)*'Rules &amp; Formulas'!B11</f>
        <v/>
      </c>
      <c r="T116" s="7">
        <f>IF(AD115&gt;=1,(MAX(1,ROUND('Rules &amp; Formulas'!B18*(1+0.3*AE115)*(1+0.4*AF115),0)))*(1000/'Rules &amp; Formulas'!B19)*MIN(0.95,'Rules &amp; Formulas'!B20*SQRT(1+0.55*(AG115&gt;=1))),0)</f>
        <v/>
      </c>
      <c r="U116" s="7">
        <f>S116+T116</f>
        <v/>
      </c>
      <c r="V116" s="7">
        <f>IF(I115&gt;=IF((IFERROR(VLOOKUP(C116,Monsters!$T$4:$AH$15,15,FALSE),0))=0,120,IFERROR(VLOOKUP(C116,Monsters!$T$4:$AH$15,15,FALSE),0)),"YES","no")</f>
        <v/>
      </c>
      <c r="W116" s="7">
        <f>IF(AND(B116="Fight boss",E116="OK"),IF((((105/'Rules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Formulas'!B20*SQRT(1+0.55*(AG115&gt;=1))),0)))),"")</f>
        <v/>
      </c>
      <c r="X116" s="7">
        <f>IF(AND(B116="Fight boss",E116="OK"),IF((IF((((105/'Rules &amp; Formulas'!B10)*'Rules &amp; Formulas'!B11+IF(AD115&gt;=1,(MAX(1,ROUND('Rules &amp; Formulas'!B18*(1+0.3*AE115)*(1+0.4*AF115),0)))*(1000/'Rules &amp; Formulas'!B19)*MIN(0.95,'Rules &amp; Formulas'!B20*SQRT(1+0.55*(AG115&gt;=1))),0)))&lt;=0,9999,(IFERROR(VLOOKUP(C116,Monsters!$T$4:$AH$15,2,FALSE),0))/(((105/'Rules &amp; Formulas'!B10)*'Rules &amp; Formulas'!B11+IF(AD115&gt;=1,(MAX(1,ROUND('Rules &amp; Formulas'!B18*(1+0.3*AE115)*(1+0.4*AF115),0)))*(1000/'Rules &amp; Formulas'!B19)*MIN(0.95,'Rules &amp; Formulas'!B20*SQRT(1+0.55*(AG115&gt;=1))),0))))&lt;='Rules &amp; Formulas'!B12),"WIN","LOSE"),"")</f>
        <v/>
      </c>
      <c r="Y116" s="7">
        <f>IF(B116="Go AFK",MIN(IF(B116="Go AFK",IF(D116="",0,D116),0),Z115/60),"")</f>
        <v/>
      </c>
      <c r="Z116" s="7">
        <f>('Rules &amp; Formulas'!B13+30*AI116)</f>
        <v/>
      </c>
      <c r="AA116">
        <f>COUNTIFS($B$3:$B116,"Buy upgrade",$C$3:$C116,"Idle Power")</f>
        <v/>
      </c>
      <c r="AB116">
        <f>COUNTIFS($B$3:$B116,"Buy upgrade",$C$3:$C116,"Iron Blade")</f>
        <v/>
      </c>
      <c r="AC116">
        <f>COUNTIFS($B$3:$B116,"Buy upgrade",$C$3:$C116,"Steel Blade")</f>
        <v/>
      </c>
      <c r="AD116">
        <f>COUNTIFS($B$3:$B116,"Hire hunter",$C$3:$C116,"Briar")+COUNTIFS($B$3:$B116,"Buy upgrade",$C$3:$C116,"Hire Briar")</f>
        <v/>
      </c>
      <c r="AE116">
        <f>COUNTIFS($B$3:$B116,"Buy upgrade",$C$3:$C116,"Hunter Power")</f>
        <v/>
      </c>
      <c r="AF116">
        <f>COUNTIFS($B$3:$B116,"Buy upgrade",$C$3:$C116,"Bigger Hits")</f>
        <v/>
      </c>
      <c r="AG116">
        <f>COUNTIFS($B$3:$B116,"Buy upgrade",$C$3:$C116,"Swift Walk")</f>
        <v/>
      </c>
      <c r="AH116">
        <f>COUNTIFS($B$3:$B116,"Buy upgrade",$C$3:$C116,"Loot Luck")</f>
        <v/>
      </c>
      <c r="AI116">
        <f>COUNTIFS($B$3:$B116,"Buy upgrade",$C$3:$C116,"Offline Cap")</f>
        <v/>
      </c>
      <c r="AJ116">
        <f>COUNTIFS($B$3:$B116,"Buy upgrade",$C$3:$C116,"Bigger Food Stock")</f>
        <v/>
      </c>
      <c r="AK116">
        <f>COUNTIFS($B$3:$B116,"Buy upgrade",$C$3:$C116,"Food Efficiency")</f>
        <v/>
      </c>
    </row>
    <row r="117">
      <c r="A117" t="n">
        <v>115</v>
      </c>
      <c r="B117" s="6" t="n"/>
      <c r="C117" s="6" t="n"/>
      <c r="D117" s="6" t="n"/>
      <c r="E117" s="7">
        <f>IF(B117="","",IF(OR(B117="Hunt",B117="Go AFK"),IF(C117="","Can't","OK"),IF(B117="Fight boss",IF(I116&lt;IF((IFERROR(VLOOKUP(C117,Monsters!$T$4:$AH$15,15,FALSE),0))=0,120,IFERROR(VLOOKUP(C117,Monsters!$T$4:$AH$15,15,FALSE),0)),"Can't","OK"),IF(B117="Hire hunter",IF(AND(C117="Briar",AD116&gt;=1),"Can't",IF(H116&lt;IF(C117="Briar",140,IF(C117="Quill",3650,IF(C117="Moss",4850,IF(C117="Ember",12200,0)))),"Can't","OK")),IF(OR(B117="Buy upgrade",B117="Forge/Scrapwork buy"),IF(IFERROR(VLOOKUP(C117,Upgrades!$N$4:$T$47,2,FALSE),0)="points","Can't",IF(IFERROR(VLOOKUP(C117,Upgrades!$N$4:$T$47,2,FALSE),0)="gold",IF(H116&lt;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buy",$C$3:$C116,C117))),1),0),"Can't","OK"),IF(IFERROR(VLOOKUP(C117,Upgrades!$N$4:$T$47,2,FALSE),0)="scraps",IF(J116&lt;IFERROR(FLOOR(IFERROR(VLOOKUP(C117,Upgrades!$N$4:$T$47,3,FALSE),0)*(IFERROR(VLOOKUP(C117,Upgrades!$N$4:$T$47,4,FALSE),0)^(COUNTIFS($B$3:$B116,"Buy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buy",$C$3:$C116,C117))),1),0),"Can't","OK"),IF(IFERROR(VLOOKUP(C117,Upgrades!$N$4:$T$47,2,FALSE),0)="mats","Can't","OK")))),"Check")))))</f>
        <v/>
      </c>
      <c r="F117" s="7">
        <f>IF(B117="","",IF(AND(B117="Fight boss",I116&lt;IF((IFERROR(VLOOKUP(C117,Monsters!$T$4:$AH$15,15,FALSE),0))=0,120,IFERROR(VLOOKUP(C117,Monsters!$T$4:$AH$15,15,FALSE),0))),"Can't — need "&amp;TEXT(IF((IFERROR(VLOOKUP(C117,Monsters!$T$4:$AH$15,15,FALSE),0))=0,120,IFERROR(VLOOKUP(C117,Monsters!$T$4:$AH$15,15,FALSE),0))-I116,"0.0")&amp;" more Slayer points on the meter",IF(AND(B117="Hire hunter",C117="Briar",AD116&gt;=1),"Can't — already hired",IF(AND(B117="Hire hunter",H116&lt;IF(C117="Briar",140,IF(C117="Quill",3650,IF(C117="Moss",4850,IF(C117="Ember",12200,0))))),"Can't — need "&amp;TEXT(IF(C117="Briar",140,IF(C117="Quill",3650,IF(C117="Moss",4850,IF(C117="Ember",12200,0))))-H116,"0")&amp;" more gold",IF(AND(OR(B117="Buy upgrade",B117="Forge/Scrapwork buy"),IFERROR(VLOOKUP(C117,Upgrades!$N$4:$T$47,2,FALSE),0)="points"),"Can't — Sp-wallet spends not tracked here",IF(AND(OR(B117="Buy upgrade",B117="Forge/Scrapwork buy"),IFERROR(VLOOKUP(C117,Upgrades!$N$4:$T$47,2,FALSE),0)="gold",H116&lt;IFERROR(FLOOR(IFERROR(VLOOKUP(C117,Upgrades!$N$4:$T$47,3,FALSE),0)*(IFERROR(VLOOKUP(C117,Upgrades!$N$4:$T$47,4,FALSE),0)^(COUNTIFS($B$3:$B116,"Buy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buy",$C$3:$C116,C117))),1),0)),"Can't — need "&amp;TEXT(IFERROR(FLOOR(IFERROR(VLOOKUP(C117,Upgrades!$N$4:$T$47,3,FALSE),0)*(IFERROR(VLOOKUP(C117,Upgrades!$N$4:$T$47,4,FALSE),0)^(COUNTIFS($B$3:$B116,"Buy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buy",$C$3:$C116,C117))),1),0)-H116,"0")&amp;" more gold",IF(AND(OR(B117="Buy upgrade",B117="Forge/Scrapwork buy"),IFERROR(VLOOKUP(C117,Upgrades!$N$4:$T$47,2,FALSE),0)="scraps",J116&lt;IFERROR(FLOOR(IFERROR(VLOOKUP(C117,Upgrades!$N$4:$T$47,3,FALSE),0)*(IFERROR(VLOOKUP(C117,Upgrades!$N$4:$T$47,4,FALSE),0)^(COUNTIFS($B$3:$B116,"Buy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buy",$C$3:$C116,C117))),1),0)),"Can't — need "&amp;TEXT(IFERROR(FLOOR(IFERROR(VLOOKUP(C117,Upgrades!$N$4:$T$47,3,FALSE),0)*(IFERROR(VLOOKUP(C117,Upgrades!$N$4:$T$47,4,FALSE),0)^(COUNTIFS($B$3:$B116,"Buy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buy",$C$3:$C116,C117))),1),0)-J116,"0")&amp;" more scraps",IF(AND(B117="Fight boss",E117="OK",(IF((((105/'Rules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Formulas'!B12)),"WIN — boss down, next Level unlocks",IF(AND(B117="Fight boss",E117="OK"),"LOSE — TTK "&amp;TEXT(IF((((105/'Rules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Formulas'!B20*SQRT(1+0.55*(AG116&gt;=1))),0)))),"0")&amp;"s &gt; patience "&amp;TEXT('Rules &amp; Formulas'!B12,"0")&amp;"s (leave resets HP)",IF(B117="Go AFK","AFK resolved (see AFK counted h)","Applied")))))))))</f>
        <v/>
      </c>
      <c r="G117" s="7">
        <f>IF(AND((E117="OK"),B117="Fight boss",(IF((((105/'Rules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Formulas'!B12),C117="Elder Thornpelt"),2,IF(AND((E117="OK"),B117="Fight boss",(IF((((105/'Rules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Formulas'!B12),C117="Ashfang Alpha"),3,G116))</f>
        <v/>
      </c>
      <c r="H117" s="7">
        <f>MAX(0,H116+IF(AND((E117="OK"),B117="Hunt"),(IF(B117="Hunt",(('Rules &amp; Formulas'!B4*N116*('Rules &amp; Formulas'!B5+O116)*IFERROR(VLOOKUP(C117,Monsters!$T$4:$AH$15,10,FALSE),0)*IFERROR(VLOOKUP(C117,Monsters!$T$4:$AH$15,9,FALSE),0))*'Rules &amp; Formulas'!B6)*IF(D117="",0,D117),0))*(IFERROR(VLOOKUP(C117,Monsters!$T$4:$AH$15,3,FALSE),0))*(1+0.1*AH116)+(IF(OR(B117&lt;&gt;"Hunt",IFERROR(VLOOKUP(C117,Monsters!$T$4:$AH$15,6,FALSE),0)=0),0,FLOOR((IF(B117="Hunt",(('Rules &amp; Formulas'!B4*N116*('Rules &amp; Formulas'!B5+O116)*IFERROR(VLOOKUP(C117,Monsters!$T$4:$AH$15,10,FALSE),0)*IFERROR(VLOOKUP(C117,Monsters!$T$4:$AH$15,9,FALSE),0))*'Rules &amp; Formulas'!B6)*IF(D117="",0,D117),0))/MAX(1,IFERROR(VLOOKUP(C117,Monsters!$T$4:$AH$15,6,FALSE),0)),1)))*(IFERROR(VLOOKUP(C117,Monsters!$T$4:$AH$15,7,FALSE),0))*0.5*(1+0.1*AH116),0)+IF(AND((E117="OK"),B117="Go AFK"),(IF(B117="Go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AFK",IF(D117="",0,D117),0),Z116/60)*60)),0))*(IFERROR(VLOOKUP(C117,Monsters!$T$4:$AH$15,3,FALSE),0))*(1+0.1*AH116)+(IF(OR(B117&lt;&gt;"Go AFK",IFERROR(VLOOKUP(C117,Monsters!$T$4:$AH$15,6,FALSE),0)=0),0,FLOOR((IF(B117="Go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AFK",IF(D117="",0,D117),0),Z116/60)*60)),0))/MAX(1,IFERROR(VLOOKUP(C117,Monsters!$T$4:$AH$15,6,FALSE),0)),1)))*(IFERROR(VLOOKUP(C117,Monsters!$T$4:$AH$15,7,FALSE),0))*0.5*(1+0.1*AH116),0)+IF(AND((E117="OK"),B117="Fight boss",(IF((((105/'Rules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Formulas'!B12)),IFERROR(VLOOKUP(C117,Monsters!$T$4:$AH$15,3,FALSE),0),0)-IF(AND((E117="OK"),OR(B117="Buy upgrade",B117="Forge/Scrapwork buy"),IFERROR(VLOOKUP(C117,Upgrades!$N$4:$T$47,2,FALSE),0)="gold"),IFERROR(FLOOR(IFERROR(VLOOKUP(C117,Upgrades!$N$4:$T$47,3,FALSE),0)*(IFERROR(VLOOKUP(C117,Upgrades!$N$4:$T$47,4,FALSE),0)^(COUNTIFS($B$3:$B116,"Buy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buy",$C$3:$C116,C117))),1),0),0)-IF(AND((E117="OK"),B117="Hire hunter"),IF(C117="Briar",140,IF(C117="Quill",3650,IF(C117="Moss",4850,IF(C117="Ember",12200,0)))),0))</f>
        <v/>
      </c>
      <c r="I117" s="7">
        <f>IF(AND((E117="OK"),B117="Fight boss",(IF((((105/'Rules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Formulas'!B12)),0,MIN(IF(G116&lt;=1,120,IF(G116=2,280,600)),I116+IF(AND((E117="OK"),B117="Hunt"),((IF(B117="Hunt",(('Rules &amp; Formulas'!B4*N116*('Rules &amp; Formulas'!B5+O116)*IFERROR(VLOOKUP(C117,Monsters!$T$4:$AH$15,10,FALSE),0)*IFERROR(VLOOKUP(C117,Monsters!$T$4:$AH$15,9,FALSE),0))*'Rules &amp; Formulas'!B6)*IF(D117="",0,D117),0))*(IFERROR(VLOOKUP(C117,Monsters!$T$4:$AH$15,4,FALSE),0))+(IF(OR(B117&lt;&gt;"Hunt",IFERROR(VLOOKUP(C117,Monsters!$T$4:$AH$15,6,FALSE),0)=0),0,FLOOR((IF(B117="Hunt",(('Rules &amp; Formulas'!B4*N116*('Rules &amp; Formulas'!B5+O116)*IFERROR(VLOOKUP(C117,Monsters!$T$4:$AH$15,10,FALSE),0)*IFERROR(VLOOKUP(C117,Monsters!$T$4:$AH$15,9,FALSE),0))*'Rules &amp; Formulas'!B6)*IF(D117="",0,D117),0))/MAX(1,IFERROR(VLOOKUP(C117,Monsters!$T$4:$AH$15,6,FALSE),0)),1)))*(IFERROR(VLOOKUP(C117,Monsters!$T$4:$AH$15,7,FALSE),0))),0)+IF(AND((E117="OK"),B117="Go AFK"),((IF(B117="Go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AFK",IF(D117="",0,D117),0),Z116/60)*60)),0))*(IFERROR(VLOOKUP(C117,Monsters!$T$4:$AH$15,4,FALSE),0))+(IF(OR(B117&lt;&gt;"Go AFK",IFERROR(VLOOKUP(C117,Monsters!$T$4:$AH$15,6,FALSE),0)=0),0,FLOOR((IF(B117="Go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AFK",IF(D117="",0,D117),0),Z116/60)*60)),0))/MAX(1,IFERROR(VLOOKUP(C117,Monsters!$T$4:$AH$15,6,FALSE),0)),1)))*(IFERROR(VLOOKUP(C117,Monsters!$T$4:$AH$15,7,FALSE),0))),0)))</f>
        <v/>
      </c>
      <c r="J117" s="7">
        <f>MAX(0,J116+IF(AND((E117="OK"),B117="Hunt"),(IF(B117="Hunt",(('Rules &amp; Formulas'!B4*N116*('Rules &amp; Formulas'!B5+O116)*IFERROR(VLOOKUP(C117,Monsters!$T$4:$AH$15,10,FALSE),0)*IFERROR(VLOOKUP(C117,Monsters!$T$4:$AH$15,9,FALSE),0))*'Rules &amp; Formulas'!B6)*IF(D117="",0,D117),0))*(IFERROR(VLOOKUP(C117,Monsters!$T$4:$AH$15,5,FALSE),0)),0)+IF(AND((E117="OK"),B117="Go AFK"),(IF(B117="Go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AFK",IF(D117="",0,D117),0),Z116/60)*60)),0))*(IFERROR(VLOOKUP(C117,Monsters!$T$4:$AH$15,5,FALSE),0)),0)-IF(AND((E117="OK"),OR(B117="Buy upgrade",B117="Forge/Scrapwork buy"),IFERROR(VLOOKUP(C117,Upgrades!$N$4:$T$47,2,FALSE),0)="scraps"),IFERROR(FLOOR(IFERROR(VLOOKUP(C117,Upgrades!$N$4:$T$47,3,FALSE),0)*(IFERROR(VLOOKUP(C117,Upgrades!$N$4:$T$47,4,FALSE),0)^(COUNTIFS($B$3:$B116,"Buy upgrade",$C$3:$C116,C117)+COUNTIFS($B$3:$B116,"Hire hunter",$C$3:$C116,C117)+COUNTIFS($B$3:$B116,"Forge/Scrapwork buy",$C$3:$C116,C117))),1),0),0))</f>
        <v/>
      </c>
      <c r="K117" s="7">
        <f>MAX(0,K116+IF(AND((E117="OK"),B117="Hunt"),IF(C117="Thornpelt Bear",(IF(B117="Hunt",(('Rules &amp; Formulas'!B4*N116*('Rules &amp; Formulas'!B5+O116)*IFERROR(VLOOKUP(C117,Monsters!$T$4:$AH$15,10,FALSE),0)*IFERROR(VLOOKUP(C117,Monsters!$T$4:$AH$15,9,FALSE),0))*'Rules &amp; Formulas'!B6)*IF(D117="",0,D117),0))*0.12,0),0)+IF(AND((E117="OK"),B117="Go AFK"),IF(C117="Thornpelt Bear",(IF(B117="Go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AFK",IF(D117="",0,D117),0),Z116/60)*60)),0))*0.12,0),0))</f>
        <v/>
      </c>
      <c r="L117" s="7">
        <f>MAX(0,L116+IF(AND((E117="OK"),B117="Hunt"),IF(C117="Dire Thornpelt",(IF(B117="Hunt",(('Rules &amp; Formulas'!B4*N116*('Rules &amp; Formulas'!B5+O116)*IFERROR(VLOOKUP(C117,Monsters!$T$4:$AH$15,10,FALSE),0)*IFERROR(VLOOKUP(C117,Monsters!$T$4:$AH$15,9,FALSE),0))*'Rules &amp; Formulas'!B6)*IF(D117="",0,D117),0))*0.1,0),0)+IF(AND((E117="OK"),B117="Go AFK"),IF(C117="Dire Thornpelt",(IF(B117="Go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AFK",IF(D117="",0,D117),0),Z116/60)*60)),0))*0.1,0),0))</f>
        <v/>
      </c>
      <c r="M117" s="7">
        <f>IF(AND((E117="OK"),B117="Go AFK"),MAX(0,MIN(('Rules &amp; Formulas'!B15+25*AJ116),M116+('Rules &amp; Formulas'!B14+0.4*AJ116)*(MIN(IF(B117="Go AFK",IF(D117="",0,D117),0),Z116/60)*60))-(IF(B117="Go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AFK",IF(D117="",0,D117),0),Z116/60)*60)),0))*(IF((IFERROR(VLOOKUP(C117,Monsters!$T$4:$AH$15,8,FALSE),0))=0,0.35,IFERROR(VLOOKUP(C117,Monsters!$T$4:$AH$15,8,FALSE),0))/(1+0.08*AK116))),MIN(('Rules &amp; Formulas'!B15+25*AJ117),M116))</f>
        <v/>
      </c>
      <c r="N117" s="7">
        <f>(1+0.08+0.12*AA117+0.12*AB117+0.16*AC117)</f>
        <v/>
      </c>
      <c r="O117" s="7">
        <f>((AD117&gt;=1)*1*(1+0.3*AE117))</f>
        <v/>
      </c>
      <c r="P117" s="7">
        <f>IF(OR(B117="Hunt",B117="Go AFK"),(('Rules &amp; Formulas'!B4*N116*('Rules &amp; Formulas'!B5+O116)*IFERROR(VLOOKUP(C117,Monsters!$T$4:$AH$15,10,FALSE),0)*IFERROR(VLOOKUP(C117,Monsters!$T$4:$AH$15,9,FALSE),0))*'Rules &amp; Formulas'!B6),"")</f>
        <v/>
      </c>
      <c r="Q117" s="7">
        <f>IF(OR(B117="Hunt",B117="Go AFK"),('Rules &amp; Formulas'!B4*N116*('Rules &amp; Formulas'!B5+O116)*IFERROR(VLOOKUP(C117,Monsters!$T$4:$AH$15,10,FALSE),0)*IFERROR(VLOOKUP(C117,Monsters!$T$4:$AH$15,9,FALSE),0)),"")</f>
        <v/>
      </c>
      <c r="R117" s="7">
        <f>IF(AND((E117="OK"),B117="Hunt"),IF(B117="Hunt",(('Rules &amp; Formulas'!B4*N116*('Rules &amp; Formulas'!B5+O116)*IFERROR(VLOOKUP(C117,Monsters!$T$4:$AH$15,10,FALSE),0)*IFERROR(VLOOKUP(C117,Monsters!$T$4:$AH$15,9,FALSE),0))*'Rules &amp; Formulas'!B6)*IF(D117="",0,D117),0),IF(AND((E117="OK"),B117="Go AFK"),IF(B117="Go AFK",MIN(IF((IF((IFERROR(VLOOKUP(C117,Monsters!$T$4:$AH$15,8,FALSE),0))=0,0.35,IFERROR(VLOOKUP(C117,Monsters!$T$4:$AH$15,8,FALSE),0))/(1+0.08*AK116))&lt;=0,999999,FLOOR(MIN(('Rules &amp; Formulas'!B15+25*AJ116),M116+('Rules &amp; Formulas'!B14+0.4*AJ116)*(MIN(IF(B117="Go AFK",IF(D117="",0,D117),0),Z116/60)*60))/(IF((IFERROR(VLOOKUP(C117,Monsters!$T$4:$AH$15,8,FALSE),0))=0,0.35,IFERROR(VLOOKUP(C117,Monsters!$T$4:$AH$15,8,FALSE),0))/(1+0.08*AK116)),1)),('Rules &amp; Formulas'!B4*N116*('Rules &amp; Formulas'!B5+O116)*IFERROR(VLOOKUP(C117,Monsters!$T$4:$AH$15,10,FALSE),0)*IFERROR(VLOOKUP(C117,Monsters!$T$4:$AH$15,9,FALSE),0))*(MIN(IF(B117="Go AFK",IF(D117="",0,D117),0),Z116/60)*60)),0),0))</f>
        <v/>
      </c>
      <c r="S117" s="7">
        <f>(105/'Rules &amp; Formulas'!B10)*'Rules &amp; Formulas'!B11</f>
        <v/>
      </c>
      <c r="T117" s="7">
        <f>IF(AD116&gt;=1,(MAX(1,ROUND('Rules &amp; Formulas'!B18*(1+0.3*AE116)*(1+0.4*AF116),0)))*(1000/'Rules &amp; Formulas'!B19)*MIN(0.95,'Rules &amp; Formulas'!B20*SQRT(1+0.55*(AG116&gt;=1))),0)</f>
        <v/>
      </c>
      <c r="U117" s="7">
        <f>S117+T117</f>
        <v/>
      </c>
      <c r="V117" s="7">
        <f>IF(I116&gt;=IF((IFERROR(VLOOKUP(C117,Monsters!$T$4:$AH$15,15,FALSE),0))=0,120,IFERROR(VLOOKUP(C117,Monsters!$T$4:$AH$15,15,FALSE),0)),"YES","no")</f>
        <v/>
      </c>
      <c r="W117" s="7">
        <f>IF(AND(B117="Fight boss",E117="OK"),IF((((105/'Rules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Formulas'!B20*SQRT(1+0.55*(AG116&gt;=1))),0)))),"")</f>
        <v/>
      </c>
      <c r="X117" s="7">
        <f>IF(AND(B117="Fight boss",E117="OK"),IF((IF((((105/'Rules &amp; Formulas'!B10)*'Rules &amp; Formulas'!B11+IF(AD116&gt;=1,(MAX(1,ROUND('Rules &amp; Formulas'!B18*(1+0.3*AE116)*(1+0.4*AF116),0)))*(1000/'Rules &amp; Formulas'!B19)*MIN(0.95,'Rules &amp; Formulas'!B20*SQRT(1+0.55*(AG116&gt;=1))),0)))&lt;=0,9999,(IFERROR(VLOOKUP(C117,Monsters!$T$4:$AH$15,2,FALSE),0))/(((105/'Rules &amp; Formulas'!B10)*'Rules &amp; Formulas'!B11+IF(AD116&gt;=1,(MAX(1,ROUND('Rules &amp; Formulas'!B18*(1+0.3*AE116)*(1+0.4*AF116),0)))*(1000/'Rules &amp; Formulas'!B19)*MIN(0.95,'Rules &amp; Formulas'!B20*SQRT(1+0.55*(AG116&gt;=1))),0))))&lt;='Rules &amp; Formulas'!B12),"WIN","LOSE"),"")</f>
        <v/>
      </c>
      <c r="Y117" s="7">
        <f>IF(B117="Go AFK",MIN(IF(B117="Go AFK",IF(D117="",0,D117),0),Z116/60),"")</f>
        <v/>
      </c>
      <c r="Z117" s="7">
        <f>('Rules &amp; Formulas'!B13+30*AI117)</f>
        <v/>
      </c>
      <c r="AA117">
        <f>COUNTIFS($B$3:$B117,"Buy upgrade",$C$3:$C117,"Idle Power")</f>
        <v/>
      </c>
      <c r="AB117">
        <f>COUNTIFS($B$3:$B117,"Buy upgrade",$C$3:$C117,"Iron Blade")</f>
        <v/>
      </c>
      <c r="AC117">
        <f>COUNTIFS($B$3:$B117,"Buy upgrade",$C$3:$C117,"Steel Blade")</f>
        <v/>
      </c>
      <c r="AD117">
        <f>COUNTIFS($B$3:$B117,"Hire hunter",$C$3:$C117,"Briar")+COUNTIFS($B$3:$B117,"Buy upgrade",$C$3:$C117,"Hire Briar")</f>
        <v/>
      </c>
      <c r="AE117">
        <f>COUNTIFS($B$3:$B117,"Buy upgrade",$C$3:$C117,"Hunter Power")</f>
        <v/>
      </c>
      <c r="AF117">
        <f>COUNTIFS($B$3:$B117,"Buy upgrade",$C$3:$C117,"Bigger Hits")</f>
        <v/>
      </c>
      <c r="AG117">
        <f>COUNTIFS($B$3:$B117,"Buy upgrade",$C$3:$C117,"Swift Walk")</f>
        <v/>
      </c>
      <c r="AH117">
        <f>COUNTIFS($B$3:$B117,"Buy upgrade",$C$3:$C117,"Loot Luck")</f>
        <v/>
      </c>
      <c r="AI117">
        <f>COUNTIFS($B$3:$B117,"Buy upgrade",$C$3:$C117,"Offline Cap")</f>
        <v/>
      </c>
      <c r="AJ117">
        <f>COUNTIFS($B$3:$B117,"Buy upgrade",$C$3:$C117,"Bigger Food Stock")</f>
        <v/>
      </c>
      <c r="AK117">
        <f>COUNTIFS($B$3:$B117,"Buy upgrade",$C$3:$C117,"Food Efficiency")</f>
        <v/>
      </c>
    </row>
    <row r="118">
      <c r="A118" t="n">
        <v>116</v>
      </c>
      <c r="B118" s="6" t="n"/>
      <c r="C118" s="6" t="n"/>
      <c r="D118" s="6" t="n"/>
      <c r="E118" s="7">
        <f>IF(B118="","",IF(OR(B118="Hunt",B118="Go AFK"),IF(C118="","Can't","OK"),IF(B118="Fight boss",IF(I117&lt;IF((IFERROR(VLOOKUP(C118,Monsters!$T$4:$AH$15,15,FALSE),0))=0,120,IFERROR(VLOOKUP(C118,Monsters!$T$4:$AH$15,15,FALSE),0)),"Can't","OK"),IF(B118="Hire hunter",IF(AND(C118="Briar",AD117&gt;=1),"Can't",IF(H117&lt;IF(C118="Briar",140,IF(C118="Quill",3650,IF(C118="Moss",4850,IF(C118="Ember",12200,0)))),"Can't","OK")),IF(OR(B118="Buy upgrade",B118="Forge/Scrapwork buy"),IF(IFERROR(VLOOKUP(C118,Upgrades!$N$4:$T$47,2,FALSE),0)="points","Can't",IF(IFERROR(VLOOKUP(C118,Upgrades!$N$4:$T$47,2,FALSE),0)="gold",IF(H117&lt;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buy",$C$3:$C117,C118))),1),0),"Can't","OK"),IF(IFERROR(VLOOKUP(C118,Upgrades!$N$4:$T$47,2,FALSE),0)="scraps",IF(J117&lt;IFERROR(FLOOR(IFERROR(VLOOKUP(C118,Upgrades!$N$4:$T$47,3,FALSE),0)*(IFERROR(VLOOKUP(C118,Upgrades!$N$4:$T$47,4,FALSE),0)^(COUNTIFS($B$3:$B117,"Buy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buy",$C$3:$C117,C118))),1),0),"Can't","OK"),IF(IFERROR(VLOOKUP(C118,Upgrades!$N$4:$T$47,2,FALSE),0)="mats","Can't","OK")))),"Check")))))</f>
        <v/>
      </c>
      <c r="F118" s="7">
        <f>IF(B118="","",IF(AND(B118="Fight boss",I117&lt;IF((IFERROR(VLOOKUP(C118,Monsters!$T$4:$AH$15,15,FALSE),0))=0,120,IFERROR(VLOOKUP(C118,Monsters!$T$4:$AH$15,15,FALSE),0))),"Can't — need "&amp;TEXT(IF((IFERROR(VLOOKUP(C118,Monsters!$T$4:$AH$15,15,FALSE),0))=0,120,IFERROR(VLOOKUP(C118,Monsters!$T$4:$AH$15,15,FALSE),0))-I117,"0.0")&amp;" more Slayer points on the meter",IF(AND(B118="Hire hunter",C118="Briar",AD117&gt;=1),"Can't — already hired",IF(AND(B118="Hire hunter",H117&lt;IF(C118="Briar",140,IF(C118="Quill",3650,IF(C118="Moss",4850,IF(C118="Ember",12200,0))))),"Can't — need "&amp;TEXT(IF(C118="Briar",140,IF(C118="Quill",3650,IF(C118="Moss",4850,IF(C118="Ember",12200,0))))-H117,"0")&amp;" more gold",IF(AND(OR(B118="Buy upgrade",B118="Forge/Scrapwork buy"),IFERROR(VLOOKUP(C118,Upgrades!$N$4:$T$47,2,FALSE),0)="points"),"Can't — Sp-wallet spends not tracked here",IF(AND(OR(B118="Buy upgrade",B118="Forge/Scrapwork buy"),IFERROR(VLOOKUP(C118,Upgrades!$N$4:$T$47,2,FALSE),0)="gold",H117&lt;IFERROR(FLOOR(IFERROR(VLOOKUP(C118,Upgrades!$N$4:$T$47,3,FALSE),0)*(IFERROR(VLOOKUP(C118,Upgrades!$N$4:$T$47,4,FALSE),0)^(COUNTIFS($B$3:$B117,"Buy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buy",$C$3:$C117,C118))),1),0)),"Can't — need "&amp;TEXT(IFERROR(FLOOR(IFERROR(VLOOKUP(C118,Upgrades!$N$4:$T$47,3,FALSE),0)*(IFERROR(VLOOKUP(C118,Upgrades!$N$4:$T$47,4,FALSE),0)^(COUNTIFS($B$3:$B117,"Buy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buy",$C$3:$C117,C118))),1),0)-H117,"0")&amp;" more gold",IF(AND(OR(B118="Buy upgrade",B118="Forge/Scrapwork buy"),IFERROR(VLOOKUP(C118,Upgrades!$N$4:$T$47,2,FALSE),0)="scraps",J117&lt;IFERROR(FLOOR(IFERROR(VLOOKUP(C118,Upgrades!$N$4:$T$47,3,FALSE),0)*(IFERROR(VLOOKUP(C118,Upgrades!$N$4:$T$47,4,FALSE),0)^(COUNTIFS($B$3:$B117,"Buy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buy",$C$3:$C117,C118))),1),0)),"Can't — need "&amp;TEXT(IFERROR(FLOOR(IFERROR(VLOOKUP(C118,Upgrades!$N$4:$T$47,3,FALSE),0)*(IFERROR(VLOOKUP(C118,Upgrades!$N$4:$T$47,4,FALSE),0)^(COUNTIFS($B$3:$B117,"Buy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buy",$C$3:$C117,C118))),1),0)-J117,"0")&amp;" more scraps",IF(AND(B118="Fight boss",E118="OK",(IF((((105/'Rules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Formulas'!B12)),"WIN — boss down, next Level unlocks",IF(AND(B118="Fight boss",E118="OK"),"LOSE — TTK "&amp;TEXT(IF((((105/'Rules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Formulas'!B20*SQRT(1+0.55*(AG117&gt;=1))),0)))),"0")&amp;"s &gt; patience "&amp;TEXT('Rules &amp; Formulas'!B12,"0")&amp;"s (leave resets HP)",IF(B118="Go AFK","AFK resolved (see AFK counted h)","Applied")))))))))</f>
        <v/>
      </c>
      <c r="G118" s="7">
        <f>IF(AND((E118="OK"),B118="Fight boss",(IF((((105/'Rules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Formulas'!B12),C118="Elder Thornpelt"),2,IF(AND((E118="OK"),B118="Fight boss",(IF((((105/'Rules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Formulas'!B12),C118="Ashfang Alpha"),3,G117))</f>
        <v/>
      </c>
      <c r="H118" s="7">
        <f>MAX(0,H117+IF(AND((E118="OK"),B118="Hunt"),(IF(B118="Hunt",(('Rules &amp; Formulas'!B4*N117*('Rules &amp; Formulas'!B5+O117)*IFERROR(VLOOKUP(C118,Monsters!$T$4:$AH$15,10,FALSE),0)*IFERROR(VLOOKUP(C118,Monsters!$T$4:$AH$15,9,FALSE),0))*'Rules &amp; Formulas'!B6)*IF(D118="",0,D118),0))*(IFERROR(VLOOKUP(C118,Monsters!$T$4:$AH$15,3,FALSE),0))*(1+0.1*AH117)+(IF(OR(B118&lt;&gt;"Hunt",IFERROR(VLOOKUP(C118,Monsters!$T$4:$AH$15,6,FALSE),0)=0),0,FLOOR((IF(B118="Hunt",(('Rules &amp; Formulas'!B4*N117*('Rules &amp; Formulas'!B5+O117)*IFERROR(VLOOKUP(C118,Monsters!$T$4:$AH$15,10,FALSE),0)*IFERROR(VLOOKUP(C118,Monsters!$T$4:$AH$15,9,FALSE),0))*'Rules &amp; Formulas'!B6)*IF(D118="",0,D118),0))/MAX(1,IFERROR(VLOOKUP(C118,Monsters!$T$4:$AH$15,6,FALSE),0)),1)))*(IFERROR(VLOOKUP(C118,Monsters!$T$4:$AH$15,7,FALSE),0))*0.5*(1+0.1*AH117),0)+IF(AND((E118="OK"),B118="Go AFK"),(IF(B118="Go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AFK",IF(D118="",0,D118),0),Z117/60)*60)),0))*(IFERROR(VLOOKUP(C118,Monsters!$T$4:$AH$15,3,FALSE),0))*(1+0.1*AH117)+(IF(OR(B118&lt;&gt;"Go AFK",IFERROR(VLOOKUP(C118,Monsters!$T$4:$AH$15,6,FALSE),0)=0),0,FLOOR((IF(B118="Go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AFK",IF(D118="",0,D118),0),Z117/60)*60)),0))/MAX(1,IFERROR(VLOOKUP(C118,Monsters!$T$4:$AH$15,6,FALSE),0)),1)))*(IFERROR(VLOOKUP(C118,Monsters!$T$4:$AH$15,7,FALSE),0))*0.5*(1+0.1*AH117),0)+IF(AND((E118="OK"),B118="Fight boss",(IF((((105/'Rules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Formulas'!B12)),IFERROR(VLOOKUP(C118,Monsters!$T$4:$AH$15,3,FALSE),0),0)-IF(AND((E118="OK"),OR(B118="Buy upgrade",B118="Forge/Scrapwork buy"),IFERROR(VLOOKUP(C118,Upgrades!$N$4:$T$47,2,FALSE),0)="gold"),IFERROR(FLOOR(IFERROR(VLOOKUP(C118,Upgrades!$N$4:$T$47,3,FALSE),0)*(IFERROR(VLOOKUP(C118,Upgrades!$N$4:$T$47,4,FALSE),0)^(COUNTIFS($B$3:$B117,"Buy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buy",$C$3:$C117,C118))),1),0),0)-IF(AND((E118="OK"),B118="Hire hunter"),IF(C118="Briar",140,IF(C118="Quill",3650,IF(C118="Moss",4850,IF(C118="Ember",12200,0)))),0))</f>
        <v/>
      </c>
      <c r="I118" s="7">
        <f>IF(AND((E118="OK"),B118="Fight boss",(IF((((105/'Rules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Formulas'!B12)),0,MIN(IF(G117&lt;=1,120,IF(G117=2,280,600)),I117+IF(AND((E118="OK"),B118="Hunt"),((IF(B118="Hunt",(('Rules &amp; Formulas'!B4*N117*('Rules &amp; Formulas'!B5+O117)*IFERROR(VLOOKUP(C118,Monsters!$T$4:$AH$15,10,FALSE),0)*IFERROR(VLOOKUP(C118,Monsters!$T$4:$AH$15,9,FALSE),0))*'Rules &amp; Formulas'!B6)*IF(D118="",0,D118),0))*(IFERROR(VLOOKUP(C118,Monsters!$T$4:$AH$15,4,FALSE),0))+(IF(OR(B118&lt;&gt;"Hunt",IFERROR(VLOOKUP(C118,Monsters!$T$4:$AH$15,6,FALSE),0)=0),0,FLOOR((IF(B118="Hunt",(('Rules &amp; Formulas'!B4*N117*('Rules &amp; Formulas'!B5+O117)*IFERROR(VLOOKUP(C118,Monsters!$T$4:$AH$15,10,FALSE),0)*IFERROR(VLOOKUP(C118,Monsters!$T$4:$AH$15,9,FALSE),0))*'Rules &amp; Formulas'!B6)*IF(D118="",0,D118),0))/MAX(1,IFERROR(VLOOKUP(C118,Monsters!$T$4:$AH$15,6,FALSE),0)),1)))*(IFERROR(VLOOKUP(C118,Monsters!$T$4:$AH$15,7,FALSE),0))),0)+IF(AND((E118="OK"),B118="Go AFK"),((IF(B118="Go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AFK",IF(D118="",0,D118),0),Z117/60)*60)),0))*(IFERROR(VLOOKUP(C118,Monsters!$T$4:$AH$15,4,FALSE),0))+(IF(OR(B118&lt;&gt;"Go AFK",IFERROR(VLOOKUP(C118,Monsters!$T$4:$AH$15,6,FALSE),0)=0),0,FLOOR((IF(B118="Go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AFK",IF(D118="",0,D118),0),Z117/60)*60)),0))/MAX(1,IFERROR(VLOOKUP(C118,Monsters!$T$4:$AH$15,6,FALSE),0)),1)))*(IFERROR(VLOOKUP(C118,Monsters!$T$4:$AH$15,7,FALSE),0))),0)))</f>
        <v/>
      </c>
      <c r="J118" s="7">
        <f>MAX(0,J117+IF(AND((E118="OK"),B118="Hunt"),(IF(B118="Hunt",(('Rules &amp; Formulas'!B4*N117*('Rules &amp; Formulas'!B5+O117)*IFERROR(VLOOKUP(C118,Monsters!$T$4:$AH$15,10,FALSE),0)*IFERROR(VLOOKUP(C118,Monsters!$T$4:$AH$15,9,FALSE),0))*'Rules &amp; Formulas'!B6)*IF(D118="",0,D118),0))*(IFERROR(VLOOKUP(C118,Monsters!$T$4:$AH$15,5,FALSE),0)),0)+IF(AND((E118="OK"),B118="Go AFK"),(IF(B118="Go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AFK",IF(D118="",0,D118),0),Z117/60)*60)),0))*(IFERROR(VLOOKUP(C118,Monsters!$T$4:$AH$15,5,FALSE),0)),0)-IF(AND((E118="OK"),OR(B118="Buy upgrade",B118="Forge/Scrapwork buy"),IFERROR(VLOOKUP(C118,Upgrades!$N$4:$T$47,2,FALSE),0)="scraps"),IFERROR(FLOOR(IFERROR(VLOOKUP(C118,Upgrades!$N$4:$T$47,3,FALSE),0)*(IFERROR(VLOOKUP(C118,Upgrades!$N$4:$T$47,4,FALSE),0)^(COUNTIFS($B$3:$B117,"Buy upgrade",$C$3:$C117,C118)+COUNTIFS($B$3:$B117,"Hire hunter",$C$3:$C117,C118)+COUNTIFS($B$3:$B117,"Forge/Scrapwork buy",$C$3:$C117,C118))),1),0),0))</f>
        <v/>
      </c>
      <c r="K118" s="7">
        <f>MAX(0,K117+IF(AND((E118="OK"),B118="Hunt"),IF(C118="Thornpelt Bear",(IF(B118="Hunt",(('Rules &amp; Formulas'!B4*N117*('Rules &amp; Formulas'!B5+O117)*IFERROR(VLOOKUP(C118,Monsters!$T$4:$AH$15,10,FALSE),0)*IFERROR(VLOOKUP(C118,Monsters!$T$4:$AH$15,9,FALSE),0))*'Rules &amp; Formulas'!B6)*IF(D118="",0,D118),0))*0.12,0),0)+IF(AND((E118="OK"),B118="Go AFK"),IF(C118="Thornpelt Bear",(IF(B118="Go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AFK",IF(D118="",0,D118),0),Z117/60)*60)),0))*0.12,0),0))</f>
        <v/>
      </c>
      <c r="L118" s="7">
        <f>MAX(0,L117+IF(AND((E118="OK"),B118="Hunt"),IF(C118="Dire Thornpelt",(IF(B118="Hunt",(('Rules &amp; Formulas'!B4*N117*('Rules &amp; Formulas'!B5+O117)*IFERROR(VLOOKUP(C118,Monsters!$T$4:$AH$15,10,FALSE),0)*IFERROR(VLOOKUP(C118,Monsters!$T$4:$AH$15,9,FALSE),0))*'Rules &amp; Formulas'!B6)*IF(D118="",0,D118),0))*0.1,0),0)+IF(AND((E118="OK"),B118="Go AFK"),IF(C118="Dire Thornpelt",(IF(B118="Go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AFK",IF(D118="",0,D118),0),Z117/60)*60)),0))*0.1,0),0))</f>
        <v/>
      </c>
      <c r="M118" s="7">
        <f>IF(AND((E118="OK"),B118="Go AFK"),MAX(0,MIN(('Rules &amp; Formulas'!B15+25*AJ117),M117+('Rules &amp; Formulas'!B14+0.4*AJ117)*(MIN(IF(B118="Go AFK",IF(D118="",0,D118),0),Z117/60)*60))-(IF(B118="Go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AFK",IF(D118="",0,D118),0),Z117/60)*60)),0))*(IF((IFERROR(VLOOKUP(C118,Monsters!$T$4:$AH$15,8,FALSE),0))=0,0.35,IFERROR(VLOOKUP(C118,Monsters!$T$4:$AH$15,8,FALSE),0))/(1+0.08*AK117))),MIN(('Rules &amp; Formulas'!B15+25*AJ118),M117))</f>
        <v/>
      </c>
      <c r="N118" s="7">
        <f>(1+0.08+0.12*AA118+0.12*AB118+0.16*AC118)</f>
        <v/>
      </c>
      <c r="O118" s="7">
        <f>((AD118&gt;=1)*1*(1+0.3*AE118))</f>
        <v/>
      </c>
      <c r="P118" s="7">
        <f>IF(OR(B118="Hunt",B118="Go AFK"),(('Rules &amp; Formulas'!B4*N117*('Rules &amp; Formulas'!B5+O117)*IFERROR(VLOOKUP(C118,Monsters!$T$4:$AH$15,10,FALSE),0)*IFERROR(VLOOKUP(C118,Monsters!$T$4:$AH$15,9,FALSE),0))*'Rules &amp; Formulas'!B6),"")</f>
        <v/>
      </c>
      <c r="Q118" s="7">
        <f>IF(OR(B118="Hunt",B118="Go AFK"),('Rules &amp; Formulas'!B4*N117*('Rules &amp; Formulas'!B5+O117)*IFERROR(VLOOKUP(C118,Monsters!$T$4:$AH$15,10,FALSE),0)*IFERROR(VLOOKUP(C118,Monsters!$T$4:$AH$15,9,FALSE),0)),"")</f>
        <v/>
      </c>
      <c r="R118" s="7">
        <f>IF(AND((E118="OK"),B118="Hunt"),IF(B118="Hunt",(('Rules &amp; Formulas'!B4*N117*('Rules &amp; Formulas'!B5+O117)*IFERROR(VLOOKUP(C118,Monsters!$T$4:$AH$15,10,FALSE),0)*IFERROR(VLOOKUP(C118,Monsters!$T$4:$AH$15,9,FALSE),0))*'Rules &amp; Formulas'!B6)*IF(D118="",0,D118),0),IF(AND((E118="OK"),B118="Go AFK"),IF(B118="Go AFK",MIN(IF((IF((IFERROR(VLOOKUP(C118,Monsters!$T$4:$AH$15,8,FALSE),0))=0,0.35,IFERROR(VLOOKUP(C118,Monsters!$T$4:$AH$15,8,FALSE),0))/(1+0.08*AK117))&lt;=0,999999,FLOOR(MIN(('Rules &amp; Formulas'!B15+25*AJ117),M117+('Rules &amp; Formulas'!B14+0.4*AJ117)*(MIN(IF(B118="Go AFK",IF(D118="",0,D118),0),Z117/60)*60))/(IF((IFERROR(VLOOKUP(C118,Monsters!$T$4:$AH$15,8,FALSE),0))=0,0.35,IFERROR(VLOOKUP(C118,Monsters!$T$4:$AH$15,8,FALSE),0))/(1+0.08*AK117)),1)),('Rules &amp; Formulas'!B4*N117*('Rules &amp; Formulas'!B5+O117)*IFERROR(VLOOKUP(C118,Monsters!$T$4:$AH$15,10,FALSE),0)*IFERROR(VLOOKUP(C118,Monsters!$T$4:$AH$15,9,FALSE),0))*(MIN(IF(B118="Go AFK",IF(D118="",0,D118),0),Z117/60)*60)),0),0))</f>
        <v/>
      </c>
      <c r="S118" s="7">
        <f>(105/'Rules &amp; Formulas'!B10)*'Rules &amp; Formulas'!B11</f>
        <v/>
      </c>
      <c r="T118" s="7">
        <f>IF(AD117&gt;=1,(MAX(1,ROUND('Rules &amp; Formulas'!B18*(1+0.3*AE117)*(1+0.4*AF117),0)))*(1000/'Rules &amp; Formulas'!B19)*MIN(0.95,'Rules &amp; Formulas'!B20*SQRT(1+0.55*(AG117&gt;=1))),0)</f>
        <v/>
      </c>
      <c r="U118" s="7">
        <f>S118+T118</f>
        <v/>
      </c>
      <c r="V118" s="7">
        <f>IF(I117&gt;=IF((IFERROR(VLOOKUP(C118,Monsters!$T$4:$AH$15,15,FALSE),0))=0,120,IFERROR(VLOOKUP(C118,Monsters!$T$4:$AH$15,15,FALSE),0)),"YES","no")</f>
        <v/>
      </c>
      <c r="W118" s="7">
        <f>IF(AND(B118="Fight boss",E118="OK"),IF((((105/'Rules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Formulas'!B20*SQRT(1+0.55*(AG117&gt;=1))),0)))),"")</f>
        <v/>
      </c>
      <c r="X118" s="7">
        <f>IF(AND(B118="Fight boss",E118="OK"),IF((IF((((105/'Rules &amp; Formulas'!B10)*'Rules &amp; Formulas'!B11+IF(AD117&gt;=1,(MAX(1,ROUND('Rules &amp; Formulas'!B18*(1+0.3*AE117)*(1+0.4*AF117),0)))*(1000/'Rules &amp; Formulas'!B19)*MIN(0.95,'Rules &amp; Formulas'!B20*SQRT(1+0.55*(AG117&gt;=1))),0)))&lt;=0,9999,(IFERROR(VLOOKUP(C118,Monsters!$T$4:$AH$15,2,FALSE),0))/(((105/'Rules &amp; Formulas'!B10)*'Rules &amp; Formulas'!B11+IF(AD117&gt;=1,(MAX(1,ROUND('Rules &amp; Formulas'!B18*(1+0.3*AE117)*(1+0.4*AF117),0)))*(1000/'Rules &amp; Formulas'!B19)*MIN(0.95,'Rules &amp; Formulas'!B20*SQRT(1+0.55*(AG117&gt;=1))),0))))&lt;='Rules &amp; Formulas'!B12),"WIN","LOSE"),"")</f>
        <v/>
      </c>
      <c r="Y118" s="7">
        <f>IF(B118="Go AFK",MIN(IF(B118="Go AFK",IF(D118="",0,D118),0),Z117/60),"")</f>
        <v/>
      </c>
      <c r="Z118" s="7">
        <f>('Rules &amp; Formulas'!B13+30*AI118)</f>
        <v/>
      </c>
      <c r="AA118">
        <f>COUNTIFS($B$3:$B118,"Buy upgrade",$C$3:$C118,"Idle Power")</f>
        <v/>
      </c>
      <c r="AB118">
        <f>COUNTIFS($B$3:$B118,"Buy upgrade",$C$3:$C118,"Iron Blade")</f>
        <v/>
      </c>
      <c r="AC118">
        <f>COUNTIFS($B$3:$B118,"Buy upgrade",$C$3:$C118,"Steel Blade")</f>
        <v/>
      </c>
      <c r="AD118">
        <f>COUNTIFS($B$3:$B118,"Hire hunter",$C$3:$C118,"Briar")+COUNTIFS($B$3:$B118,"Buy upgrade",$C$3:$C118,"Hire Briar")</f>
        <v/>
      </c>
      <c r="AE118">
        <f>COUNTIFS($B$3:$B118,"Buy upgrade",$C$3:$C118,"Hunter Power")</f>
        <v/>
      </c>
      <c r="AF118">
        <f>COUNTIFS($B$3:$B118,"Buy upgrade",$C$3:$C118,"Bigger Hits")</f>
        <v/>
      </c>
      <c r="AG118">
        <f>COUNTIFS($B$3:$B118,"Buy upgrade",$C$3:$C118,"Swift Walk")</f>
        <v/>
      </c>
      <c r="AH118">
        <f>COUNTIFS($B$3:$B118,"Buy upgrade",$C$3:$C118,"Loot Luck")</f>
        <v/>
      </c>
      <c r="AI118">
        <f>COUNTIFS($B$3:$B118,"Buy upgrade",$C$3:$C118,"Offline Cap")</f>
        <v/>
      </c>
      <c r="AJ118">
        <f>COUNTIFS($B$3:$B118,"Buy upgrade",$C$3:$C118,"Bigger Food Stock")</f>
        <v/>
      </c>
      <c r="AK118">
        <f>COUNTIFS($B$3:$B118,"Buy upgrade",$C$3:$C118,"Food Efficiency")</f>
        <v/>
      </c>
    </row>
    <row r="119">
      <c r="A119" t="n">
        <v>117</v>
      </c>
      <c r="B119" s="6" t="n"/>
      <c r="C119" s="6" t="n"/>
      <c r="D119" s="6" t="n"/>
      <c r="E119" s="7">
        <f>IF(B119="","",IF(OR(B119="Hunt",B119="Go AFK"),IF(C119="","Can't","OK"),IF(B119="Fight boss",IF(I118&lt;IF((IFERROR(VLOOKUP(C119,Monsters!$T$4:$AH$15,15,FALSE),0))=0,120,IFERROR(VLOOKUP(C119,Monsters!$T$4:$AH$15,15,FALSE),0)),"Can't","OK"),IF(B119="Hire hunter",IF(AND(C119="Briar",AD118&gt;=1),"Can't",IF(H118&lt;IF(C119="Briar",140,IF(C119="Quill",3650,IF(C119="Moss",4850,IF(C119="Ember",12200,0)))),"Can't","OK")),IF(OR(B119="Buy upgrade",B119="Forge/Scrapwork buy"),IF(IFERROR(VLOOKUP(C119,Upgrades!$N$4:$T$47,2,FALSE),0)="points","Can't",IF(IFERROR(VLOOKUP(C119,Upgrades!$N$4:$T$47,2,FALSE),0)="gold",IF(H118&lt;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buy",$C$3:$C118,C119))),1),0),"Can't","OK"),IF(IFERROR(VLOOKUP(C119,Upgrades!$N$4:$T$47,2,FALSE),0)="scraps",IF(J118&lt;IFERROR(FLOOR(IFERROR(VLOOKUP(C119,Upgrades!$N$4:$T$47,3,FALSE),0)*(IFERROR(VLOOKUP(C119,Upgrades!$N$4:$T$47,4,FALSE),0)^(COUNTIFS($B$3:$B118,"Buy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buy",$C$3:$C118,C119))),1),0),"Can't","OK"),IF(IFERROR(VLOOKUP(C119,Upgrades!$N$4:$T$47,2,FALSE),0)="mats","Can't","OK")))),"Check")))))</f>
        <v/>
      </c>
      <c r="F119" s="7">
        <f>IF(B119="","",IF(AND(B119="Fight boss",I118&lt;IF((IFERROR(VLOOKUP(C119,Monsters!$T$4:$AH$15,15,FALSE),0))=0,120,IFERROR(VLOOKUP(C119,Monsters!$T$4:$AH$15,15,FALSE),0))),"Can't — need "&amp;TEXT(IF((IFERROR(VLOOKUP(C119,Monsters!$T$4:$AH$15,15,FALSE),0))=0,120,IFERROR(VLOOKUP(C119,Monsters!$T$4:$AH$15,15,FALSE),0))-I118,"0.0")&amp;" more Slayer points on the meter",IF(AND(B119="Hire hunter",C119="Briar",AD118&gt;=1),"Can't — already hired",IF(AND(B119="Hire hunter",H118&lt;IF(C119="Briar",140,IF(C119="Quill",3650,IF(C119="Moss",4850,IF(C119="Ember",12200,0))))),"Can't — need "&amp;TEXT(IF(C119="Briar",140,IF(C119="Quill",3650,IF(C119="Moss",4850,IF(C119="Ember",12200,0))))-H118,"0")&amp;" more gold",IF(AND(OR(B119="Buy upgrade",B119="Forge/Scrapwork buy"),IFERROR(VLOOKUP(C119,Upgrades!$N$4:$T$47,2,FALSE),0)="points"),"Can't — Sp-wallet spends not tracked here",IF(AND(OR(B119="Buy upgrade",B119="Forge/Scrapwork buy"),IFERROR(VLOOKUP(C119,Upgrades!$N$4:$T$47,2,FALSE),0)="gold",H118&lt;IFERROR(FLOOR(IFERROR(VLOOKUP(C119,Upgrades!$N$4:$T$47,3,FALSE),0)*(IFERROR(VLOOKUP(C119,Upgrades!$N$4:$T$47,4,FALSE),0)^(COUNTIFS($B$3:$B118,"Buy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buy",$C$3:$C118,C119))),1),0)),"Can't — need "&amp;TEXT(IFERROR(FLOOR(IFERROR(VLOOKUP(C119,Upgrades!$N$4:$T$47,3,FALSE),0)*(IFERROR(VLOOKUP(C119,Upgrades!$N$4:$T$47,4,FALSE),0)^(COUNTIFS($B$3:$B118,"Buy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buy",$C$3:$C118,C119))),1),0)-H118,"0")&amp;" more gold",IF(AND(OR(B119="Buy upgrade",B119="Forge/Scrapwork buy"),IFERROR(VLOOKUP(C119,Upgrades!$N$4:$T$47,2,FALSE),0)="scraps",J118&lt;IFERROR(FLOOR(IFERROR(VLOOKUP(C119,Upgrades!$N$4:$T$47,3,FALSE),0)*(IFERROR(VLOOKUP(C119,Upgrades!$N$4:$T$47,4,FALSE),0)^(COUNTIFS($B$3:$B118,"Buy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buy",$C$3:$C118,C119))),1),0)),"Can't — need "&amp;TEXT(IFERROR(FLOOR(IFERROR(VLOOKUP(C119,Upgrades!$N$4:$T$47,3,FALSE),0)*(IFERROR(VLOOKUP(C119,Upgrades!$N$4:$T$47,4,FALSE),0)^(COUNTIFS($B$3:$B118,"Buy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buy",$C$3:$C118,C119))),1),0)-J118,"0")&amp;" more scraps",IF(AND(B119="Fight boss",E119="OK",(IF((((105/'Rules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Formulas'!B12)),"WIN — boss down, next Level unlocks",IF(AND(B119="Fight boss",E119="OK"),"LOSE — TTK "&amp;TEXT(IF((((105/'Rules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Formulas'!B20*SQRT(1+0.55*(AG118&gt;=1))),0)))),"0")&amp;"s &gt; patience "&amp;TEXT('Rules &amp; Formulas'!B12,"0")&amp;"s (leave resets HP)",IF(B119="Go AFK","AFK resolved (see AFK counted h)","Applied")))))))))</f>
        <v/>
      </c>
      <c r="G119" s="7">
        <f>IF(AND((E119="OK"),B119="Fight boss",(IF((((105/'Rules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Formulas'!B12),C119="Elder Thornpelt"),2,IF(AND((E119="OK"),B119="Fight boss",(IF((((105/'Rules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Formulas'!B12),C119="Ashfang Alpha"),3,G118))</f>
        <v/>
      </c>
      <c r="H119" s="7">
        <f>MAX(0,H118+IF(AND((E119="OK"),B119="Hunt"),(IF(B119="Hunt",(('Rules &amp; Formulas'!B4*N118*('Rules &amp; Formulas'!B5+O118)*IFERROR(VLOOKUP(C119,Monsters!$T$4:$AH$15,10,FALSE),0)*IFERROR(VLOOKUP(C119,Monsters!$T$4:$AH$15,9,FALSE),0))*'Rules &amp; Formulas'!B6)*IF(D119="",0,D119),0))*(IFERROR(VLOOKUP(C119,Monsters!$T$4:$AH$15,3,FALSE),0))*(1+0.1*AH118)+(IF(OR(B119&lt;&gt;"Hunt",IFERROR(VLOOKUP(C119,Monsters!$T$4:$AH$15,6,FALSE),0)=0),0,FLOOR((IF(B119="Hunt",(('Rules &amp; Formulas'!B4*N118*('Rules &amp; Formulas'!B5+O118)*IFERROR(VLOOKUP(C119,Monsters!$T$4:$AH$15,10,FALSE),0)*IFERROR(VLOOKUP(C119,Monsters!$T$4:$AH$15,9,FALSE),0))*'Rules &amp; Formulas'!B6)*IF(D119="",0,D119),0))/MAX(1,IFERROR(VLOOKUP(C119,Monsters!$T$4:$AH$15,6,FALSE),0)),1)))*(IFERROR(VLOOKUP(C119,Monsters!$T$4:$AH$15,7,FALSE),0))*0.5*(1+0.1*AH118),0)+IF(AND((E119="OK"),B119="Go AFK"),(IF(B119="Go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AFK",IF(D119="",0,D119),0),Z118/60)*60)),0))*(IFERROR(VLOOKUP(C119,Monsters!$T$4:$AH$15,3,FALSE),0))*(1+0.1*AH118)+(IF(OR(B119&lt;&gt;"Go AFK",IFERROR(VLOOKUP(C119,Monsters!$T$4:$AH$15,6,FALSE),0)=0),0,FLOOR((IF(B119="Go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AFK",IF(D119="",0,D119),0),Z118/60)*60)),0))/MAX(1,IFERROR(VLOOKUP(C119,Monsters!$T$4:$AH$15,6,FALSE),0)),1)))*(IFERROR(VLOOKUP(C119,Monsters!$T$4:$AH$15,7,FALSE),0))*0.5*(1+0.1*AH118),0)+IF(AND((E119="OK"),B119="Fight boss",(IF((((105/'Rules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Formulas'!B12)),IFERROR(VLOOKUP(C119,Monsters!$T$4:$AH$15,3,FALSE),0),0)-IF(AND((E119="OK"),OR(B119="Buy upgrade",B119="Forge/Scrapwork buy"),IFERROR(VLOOKUP(C119,Upgrades!$N$4:$T$47,2,FALSE),0)="gold"),IFERROR(FLOOR(IFERROR(VLOOKUP(C119,Upgrades!$N$4:$T$47,3,FALSE),0)*(IFERROR(VLOOKUP(C119,Upgrades!$N$4:$T$47,4,FALSE),0)^(COUNTIFS($B$3:$B118,"Buy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buy",$C$3:$C118,C119))),1),0),0)-IF(AND((E119="OK"),B119="Hire hunter"),IF(C119="Briar",140,IF(C119="Quill",3650,IF(C119="Moss",4850,IF(C119="Ember",12200,0)))),0))</f>
        <v/>
      </c>
      <c r="I119" s="7">
        <f>IF(AND((E119="OK"),B119="Fight boss",(IF((((105/'Rules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Formulas'!B12)),0,MIN(IF(G118&lt;=1,120,IF(G118=2,280,600)),I118+IF(AND((E119="OK"),B119="Hunt"),((IF(B119="Hunt",(('Rules &amp; Formulas'!B4*N118*('Rules &amp; Formulas'!B5+O118)*IFERROR(VLOOKUP(C119,Monsters!$T$4:$AH$15,10,FALSE),0)*IFERROR(VLOOKUP(C119,Monsters!$T$4:$AH$15,9,FALSE),0))*'Rules &amp; Formulas'!B6)*IF(D119="",0,D119),0))*(IFERROR(VLOOKUP(C119,Monsters!$T$4:$AH$15,4,FALSE),0))+(IF(OR(B119&lt;&gt;"Hunt",IFERROR(VLOOKUP(C119,Monsters!$T$4:$AH$15,6,FALSE),0)=0),0,FLOOR((IF(B119="Hunt",(('Rules &amp; Formulas'!B4*N118*('Rules &amp; Formulas'!B5+O118)*IFERROR(VLOOKUP(C119,Monsters!$T$4:$AH$15,10,FALSE),0)*IFERROR(VLOOKUP(C119,Monsters!$T$4:$AH$15,9,FALSE),0))*'Rules &amp; Formulas'!B6)*IF(D119="",0,D119),0))/MAX(1,IFERROR(VLOOKUP(C119,Monsters!$T$4:$AH$15,6,FALSE),0)),1)))*(IFERROR(VLOOKUP(C119,Monsters!$T$4:$AH$15,7,FALSE),0))),0)+IF(AND((E119="OK"),B119="Go AFK"),((IF(B119="Go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AFK",IF(D119="",0,D119),0),Z118/60)*60)),0))*(IFERROR(VLOOKUP(C119,Monsters!$T$4:$AH$15,4,FALSE),0))+(IF(OR(B119&lt;&gt;"Go AFK",IFERROR(VLOOKUP(C119,Monsters!$T$4:$AH$15,6,FALSE),0)=0),0,FLOOR((IF(B119="Go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AFK",IF(D119="",0,D119),0),Z118/60)*60)),0))/MAX(1,IFERROR(VLOOKUP(C119,Monsters!$T$4:$AH$15,6,FALSE),0)),1)))*(IFERROR(VLOOKUP(C119,Monsters!$T$4:$AH$15,7,FALSE),0))),0)))</f>
        <v/>
      </c>
      <c r="J119" s="7">
        <f>MAX(0,J118+IF(AND((E119="OK"),B119="Hunt"),(IF(B119="Hunt",(('Rules &amp; Formulas'!B4*N118*('Rules &amp; Formulas'!B5+O118)*IFERROR(VLOOKUP(C119,Monsters!$T$4:$AH$15,10,FALSE),0)*IFERROR(VLOOKUP(C119,Monsters!$T$4:$AH$15,9,FALSE),0))*'Rules &amp; Formulas'!B6)*IF(D119="",0,D119),0))*(IFERROR(VLOOKUP(C119,Monsters!$T$4:$AH$15,5,FALSE),0)),0)+IF(AND((E119="OK"),B119="Go AFK"),(IF(B119="Go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AFK",IF(D119="",0,D119),0),Z118/60)*60)),0))*(IFERROR(VLOOKUP(C119,Monsters!$T$4:$AH$15,5,FALSE),0)),0)-IF(AND((E119="OK"),OR(B119="Buy upgrade",B119="Forge/Scrapwork buy"),IFERROR(VLOOKUP(C119,Upgrades!$N$4:$T$47,2,FALSE),0)="scraps"),IFERROR(FLOOR(IFERROR(VLOOKUP(C119,Upgrades!$N$4:$T$47,3,FALSE),0)*(IFERROR(VLOOKUP(C119,Upgrades!$N$4:$T$47,4,FALSE),0)^(COUNTIFS($B$3:$B118,"Buy upgrade",$C$3:$C118,C119)+COUNTIFS($B$3:$B118,"Hire hunter",$C$3:$C118,C119)+COUNTIFS($B$3:$B118,"Forge/Scrapwork buy",$C$3:$C118,C119))),1),0),0))</f>
        <v/>
      </c>
      <c r="K119" s="7">
        <f>MAX(0,K118+IF(AND((E119="OK"),B119="Hunt"),IF(C119="Thornpelt Bear",(IF(B119="Hunt",(('Rules &amp; Formulas'!B4*N118*('Rules &amp; Formulas'!B5+O118)*IFERROR(VLOOKUP(C119,Monsters!$T$4:$AH$15,10,FALSE),0)*IFERROR(VLOOKUP(C119,Monsters!$T$4:$AH$15,9,FALSE),0))*'Rules &amp; Formulas'!B6)*IF(D119="",0,D119),0))*0.12,0),0)+IF(AND((E119="OK"),B119="Go AFK"),IF(C119="Thornpelt Bear",(IF(B119="Go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AFK",IF(D119="",0,D119),0),Z118/60)*60)),0))*0.12,0),0))</f>
        <v/>
      </c>
      <c r="L119" s="7">
        <f>MAX(0,L118+IF(AND((E119="OK"),B119="Hunt"),IF(C119="Dire Thornpelt",(IF(B119="Hunt",(('Rules &amp; Formulas'!B4*N118*('Rules &amp; Formulas'!B5+O118)*IFERROR(VLOOKUP(C119,Monsters!$T$4:$AH$15,10,FALSE),0)*IFERROR(VLOOKUP(C119,Monsters!$T$4:$AH$15,9,FALSE),0))*'Rules &amp; Formulas'!B6)*IF(D119="",0,D119),0))*0.1,0),0)+IF(AND((E119="OK"),B119="Go AFK"),IF(C119="Dire Thornpelt",(IF(B119="Go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AFK",IF(D119="",0,D119),0),Z118/60)*60)),0))*0.1,0),0))</f>
        <v/>
      </c>
      <c r="M119" s="7">
        <f>IF(AND((E119="OK"),B119="Go AFK"),MAX(0,MIN(('Rules &amp; Formulas'!B15+25*AJ118),M118+('Rules &amp; Formulas'!B14+0.4*AJ118)*(MIN(IF(B119="Go AFK",IF(D119="",0,D119),0),Z118/60)*60))-(IF(B119="Go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AFK",IF(D119="",0,D119),0),Z118/60)*60)),0))*(IF((IFERROR(VLOOKUP(C119,Monsters!$T$4:$AH$15,8,FALSE),0))=0,0.35,IFERROR(VLOOKUP(C119,Monsters!$T$4:$AH$15,8,FALSE),0))/(1+0.08*AK118))),MIN(('Rules &amp; Formulas'!B15+25*AJ119),M118))</f>
        <v/>
      </c>
      <c r="N119" s="7">
        <f>(1+0.08+0.12*AA119+0.12*AB119+0.16*AC119)</f>
        <v/>
      </c>
      <c r="O119" s="7">
        <f>((AD119&gt;=1)*1*(1+0.3*AE119))</f>
        <v/>
      </c>
      <c r="P119" s="7">
        <f>IF(OR(B119="Hunt",B119="Go AFK"),(('Rules &amp; Formulas'!B4*N118*('Rules &amp; Formulas'!B5+O118)*IFERROR(VLOOKUP(C119,Monsters!$T$4:$AH$15,10,FALSE),0)*IFERROR(VLOOKUP(C119,Monsters!$T$4:$AH$15,9,FALSE),0))*'Rules &amp; Formulas'!B6),"")</f>
        <v/>
      </c>
      <c r="Q119" s="7">
        <f>IF(OR(B119="Hunt",B119="Go AFK"),('Rules &amp; Formulas'!B4*N118*('Rules &amp; Formulas'!B5+O118)*IFERROR(VLOOKUP(C119,Monsters!$T$4:$AH$15,10,FALSE),0)*IFERROR(VLOOKUP(C119,Monsters!$T$4:$AH$15,9,FALSE),0)),"")</f>
        <v/>
      </c>
      <c r="R119" s="7">
        <f>IF(AND((E119="OK"),B119="Hunt"),IF(B119="Hunt",(('Rules &amp; Formulas'!B4*N118*('Rules &amp; Formulas'!B5+O118)*IFERROR(VLOOKUP(C119,Monsters!$T$4:$AH$15,10,FALSE),0)*IFERROR(VLOOKUP(C119,Monsters!$T$4:$AH$15,9,FALSE),0))*'Rules &amp; Formulas'!B6)*IF(D119="",0,D119),0),IF(AND((E119="OK"),B119="Go AFK"),IF(B119="Go AFK",MIN(IF((IF((IFERROR(VLOOKUP(C119,Monsters!$T$4:$AH$15,8,FALSE),0))=0,0.35,IFERROR(VLOOKUP(C119,Monsters!$T$4:$AH$15,8,FALSE),0))/(1+0.08*AK118))&lt;=0,999999,FLOOR(MIN(('Rules &amp; Formulas'!B15+25*AJ118),M118+('Rules &amp; Formulas'!B14+0.4*AJ118)*(MIN(IF(B119="Go AFK",IF(D119="",0,D119),0),Z118/60)*60))/(IF((IFERROR(VLOOKUP(C119,Monsters!$T$4:$AH$15,8,FALSE),0))=0,0.35,IFERROR(VLOOKUP(C119,Monsters!$T$4:$AH$15,8,FALSE),0))/(1+0.08*AK118)),1)),('Rules &amp; Formulas'!B4*N118*('Rules &amp; Formulas'!B5+O118)*IFERROR(VLOOKUP(C119,Monsters!$T$4:$AH$15,10,FALSE),0)*IFERROR(VLOOKUP(C119,Monsters!$T$4:$AH$15,9,FALSE),0))*(MIN(IF(B119="Go AFK",IF(D119="",0,D119),0),Z118/60)*60)),0),0))</f>
        <v/>
      </c>
      <c r="S119" s="7">
        <f>(105/'Rules &amp; Formulas'!B10)*'Rules &amp; Formulas'!B11</f>
        <v/>
      </c>
      <c r="T119" s="7">
        <f>IF(AD118&gt;=1,(MAX(1,ROUND('Rules &amp; Formulas'!B18*(1+0.3*AE118)*(1+0.4*AF118),0)))*(1000/'Rules &amp; Formulas'!B19)*MIN(0.95,'Rules &amp; Formulas'!B20*SQRT(1+0.55*(AG118&gt;=1))),0)</f>
        <v/>
      </c>
      <c r="U119" s="7">
        <f>S119+T119</f>
        <v/>
      </c>
      <c r="V119" s="7">
        <f>IF(I118&gt;=IF((IFERROR(VLOOKUP(C119,Monsters!$T$4:$AH$15,15,FALSE),0))=0,120,IFERROR(VLOOKUP(C119,Monsters!$T$4:$AH$15,15,FALSE),0)),"YES","no")</f>
        <v/>
      </c>
      <c r="W119" s="7">
        <f>IF(AND(B119="Fight boss",E119="OK"),IF((((105/'Rules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Formulas'!B20*SQRT(1+0.55*(AG118&gt;=1))),0)))),"")</f>
        <v/>
      </c>
      <c r="X119" s="7">
        <f>IF(AND(B119="Fight boss",E119="OK"),IF((IF((((105/'Rules &amp; Formulas'!B10)*'Rules &amp; Formulas'!B11+IF(AD118&gt;=1,(MAX(1,ROUND('Rules &amp; Formulas'!B18*(1+0.3*AE118)*(1+0.4*AF118),0)))*(1000/'Rules &amp; Formulas'!B19)*MIN(0.95,'Rules &amp; Formulas'!B20*SQRT(1+0.55*(AG118&gt;=1))),0)))&lt;=0,9999,(IFERROR(VLOOKUP(C119,Monsters!$T$4:$AH$15,2,FALSE),0))/(((105/'Rules &amp; Formulas'!B10)*'Rules &amp; Formulas'!B11+IF(AD118&gt;=1,(MAX(1,ROUND('Rules &amp; Formulas'!B18*(1+0.3*AE118)*(1+0.4*AF118),0)))*(1000/'Rules &amp; Formulas'!B19)*MIN(0.95,'Rules &amp; Formulas'!B20*SQRT(1+0.55*(AG118&gt;=1))),0))))&lt;='Rules &amp; Formulas'!B12),"WIN","LOSE"),"")</f>
        <v/>
      </c>
      <c r="Y119" s="7">
        <f>IF(B119="Go AFK",MIN(IF(B119="Go AFK",IF(D119="",0,D119),0),Z118/60),"")</f>
        <v/>
      </c>
      <c r="Z119" s="7">
        <f>('Rules &amp; Formulas'!B13+30*AI119)</f>
        <v/>
      </c>
      <c r="AA119">
        <f>COUNTIFS($B$3:$B119,"Buy upgrade",$C$3:$C119,"Idle Power")</f>
        <v/>
      </c>
      <c r="AB119">
        <f>COUNTIFS($B$3:$B119,"Buy upgrade",$C$3:$C119,"Iron Blade")</f>
        <v/>
      </c>
      <c r="AC119">
        <f>COUNTIFS($B$3:$B119,"Buy upgrade",$C$3:$C119,"Steel Blade")</f>
        <v/>
      </c>
      <c r="AD119">
        <f>COUNTIFS($B$3:$B119,"Hire hunter",$C$3:$C119,"Briar")+COUNTIFS($B$3:$B119,"Buy upgrade",$C$3:$C119,"Hire Briar")</f>
        <v/>
      </c>
      <c r="AE119">
        <f>COUNTIFS($B$3:$B119,"Buy upgrade",$C$3:$C119,"Hunter Power")</f>
        <v/>
      </c>
      <c r="AF119">
        <f>COUNTIFS($B$3:$B119,"Buy upgrade",$C$3:$C119,"Bigger Hits")</f>
        <v/>
      </c>
      <c r="AG119">
        <f>COUNTIFS($B$3:$B119,"Buy upgrade",$C$3:$C119,"Swift Walk")</f>
        <v/>
      </c>
      <c r="AH119">
        <f>COUNTIFS($B$3:$B119,"Buy upgrade",$C$3:$C119,"Loot Luck")</f>
        <v/>
      </c>
      <c r="AI119">
        <f>COUNTIFS($B$3:$B119,"Buy upgrade",$C$3:$C119,"Offline Cap")</f>
        <v/>
      </c>
      <c r="AJ119">
        <f>COUNTIFS($B$3:$B119,"Buy upgrade",$C$3:$C119,"Bigger Food Stock")</f>
        <v/>
      </c>
      <c r="AK119">
        <f>COUNTIFS($B$3:$B119,"Buy upgrade",$C$3:$C119,"Food Efficiency")</f>
        <v/>
      </c>
    </row>
    <row r="120">
      <c r="A120" t="n">
        <v>118</v>
      </c>
      <c r="B120" s="6" t="n"/>
      <c r="C120" s="6" t="n"/>
      <c r="D120" s="6" t="n"/>
      <c r="E120" s="7">
        <f>IF(B120="","",IF(OR(B120="Hunt",B120="Go AFK"),IF(C120="","Can't","OK"),IF(B120="Fight boss",IF(I119&lt;IF((IFERROR(VLOOKUP(C120,Monsters!$T$4:$AH$15,15,FALSE),0))=0,120,IFERROR(VLOOKUP(C120,Monsters!$T$4:$AH$15,15,FALSE),0)),"Can't","OK"),IF(B120="Hire hunter",IF(AND(C120="Briar",AD119&gt;=1),"Can't",IF(H119&lt;IF(C120="Briar",140,IF(C120="Quill",3650,IF(C120="Moss",4850,IF(C120="Ember",12200,0)))),"Can't","OK")),IF(OR(B120="Buy upgrade",B120="Forge/Scrapwork buy"),IF(IFERROR(VLOOKUP(C120,Upgrades!$N$4:$T$47,2,FALSE),0)="points","Can't",IF(IFERROR(VLOOKUP(C120,Upgrades!$N$4:$T$47,2,FALSE),0)="gold",IF(H119&lt;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buy",$C$3:$C119,C120))),1),0),"Can't","OK"),IF(IFERROR(VLOOKUP(C120,Upgrades!$N$4:$T$47,2,FALSE),0)="scraps",IF(J119&lt;IFERROR(FLOOR(IFERROR(VLOOKUP(C120,Upgrades!$N$4:$T$47,3,FALSE),0)*(IFERROR(VLOOKUP(C120,Upgrades!$N$4:$T$47,4,FALSE),0)^(COUNTIFS($B$3:$B119,"Buy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buy",$C$3:$C119,C120))),1),0),"Can't","OK"),IF(IFERROR(VLOOKUP(C120,Upgrades!$N$4:$T$47,2,FALSE),0)="mats","Can't","OK")))),"Check")))))</f>
        <v/>
      </c>
      <c r="F120" s="7">
        <f>IF(B120="","",IF(AND(B120="Fight boss",I119&lt;IF((IFERROR(VLOOKUP(C120,Monsters!$T$4:$AH$15,15,FALSE),0))=0,120,IFERROR(VLOOKUP(C120,Monsters!$T$4:$AH$15,15,FALSE),0))),"Can't — need "&amp;TEXT(IF((IFERROR(VLOOKUP(C120,Monsters!$T$4:$AH$15,15,FALSE),0))=0,120,IFERROR(VLOOKUP(C120,Monsters!$T$4:$AH$15,15,FALSE),0))-I119,"0.0")&amp;" more Slayer points on the meter",IF(AND(B120="Hire hunter",C120="Briar",AD119&gt;=1),"Can't — already hired",IF(AND(B120="Hire hunter",H119&lt;IF(C120="Briar",140,IF(C120="Quill",3650,IF(C120="Moss",4850,IF(C120="Ember",12200,0))))),"Can't — need "&amp;TEXT(IF(C120="Briar",140,IF(C120="Quill",3650,IF(C120="Moss",4850,IF(C120="Ember",12200,0))))-H119,"0")&amp;" more gold",IF(AND(OR(B120="Buy upgrade",B120="Forge/Scrapwork buy"),IFERROR(VLOOKUP(C120,Upgrades!$N$4:$T$47,2,FALSE),0)="points"),"Can't — Sp-wallet spends not tracked here",IF(AND(OR(B120="Buy upgrade",B120="Forge/Scrapwork buy"),IFERROR(VLOOKUP(C120,Upgrades!$N$4:$T$47,2,FALSE),0)="gold",H119&lt;IFERROR(FLOOR(IFERROR(VLOOKUP(C120,Upgrades!$N$4:$T$47,3,FALSE),0)*(IFERROR(VLOOKUP(C120,Upgrades!$N$4:$T$47,4,FALSE),0)^(COUNTIFS($B$3:$B119,"Buy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buy",$C$3:$C119,C120))),1),0)),"Can't — need "&amp;TEXT(IFERROR(FLOOR(IFERROR(VLOOKUP(C120,Upgrades!$N$4:$T$47,3,FALSE),0)*(IFERROR(VLOOKUP(C120,Upgrades!$N$4:$T$47,4,FALSE),0)^(COUNTIFS($B$3:$B119,"Buy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buy",$C$3:$C119,C120))),1),0)-H119,"0")&amp;" more gold",IF(AND(OR(B120="Buy upgrade",B120="Forge/Scrapwork buy"),IFERROR(VLOOKUP(C120,Upgrades!$N$4:$T$47,2,FALSE),0)="scraps",J119&lt;IFERROR(FLOOR(IFERROR(VLOOKUP(C120,Upgrades!$N$4:$T$47,3,FALSE),0)*(IFERROR(VLOOKUP(C120,Upgrades!$N$4:$T$47,4,FALSE),0)^(COUNTIFS($B$3:$B119,"Buy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buy",$C$3:$C119,C120))),1),0)),"Can't — need "&amp;TEXT(IFERROR(FLOOR(IFERROR(VLOOKUP(C120,Upgrades!$N$4:$T$47,3,FALSE),0)*(IFERROR(VLOOKUP(C120,Upgrades!$N$4:$T$47,4,FALSE),0)^(COUNTIFS($B$3:$B119,"Buy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buy",$C$3:$C119,C120))),1),0)-J119,"0")&amp;" more scraps",IF(AND(B120="Fight boss",E120="OK",(IF((((105/'Rules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Formulas'!B12)),"WIN — boss down, next Level unlocks",IF(AND(B120="Fight boss",E120="OK"),"LOSE — TTK "&amp;TEXT(IF((((105/'Rules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Formulas'!B20*SQRT(1+0.55*(AG119&gt;=1))),0)))),"0")&amp;"s &gt; patience "&amp;TEXT('Rules &amp; Formulas'!B12,"0")&amp;"s (leave resets HP)",IF(B120="Go AFK","AFK resolved (see AFK counted h)","Applied")))))))))</f>
        <v/>
      </c>
      <c r="G120" s="7">
        <f>IF(AND((E120="OK"),B120="Fight boss",(IF((((105/'Rules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Formulas'!B12),C120="Elder Thornpelt"),2,IF(AND((E120="OK"),B120="Fight boss",(IF((((105/'Rules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Formulas'!B12),C120="Ashfang Alpha"),3,G119))</f>
        <v/>
      </c>
      <c r="H120" s="7">
        <f>MAX(0,H119+IF(AND((E120="OK"),B120="Hunt"),(IF(B120="Hunt",(('Rules &amp; Formulas'!B4*N119*('Rules &amp; Formulas'!B5+O119)*IFERROR(VLOOKUP(C120,Monsters!$T$4:$AH$15,10,FALSE),0)*IFERROR(VLOOKUP(C120,Monsters!$T$4:$AH$15,9,FALSE),0))*'Rules &amp; Formulas'!B6)*IF(D120="",0,D120),0))*(IFERROR(VLOOKUP(C120,Monsters!$T$4:$AH$15,3,FALSE),0))*(1+0.1*AH119)+(IF(OR(B120&lt;&gt;"Hunt",IFERROR(VLOOKUP(C120,Monsters!$T$4:$AH$15,6,FALSE),0)=0),0,FLOOR((IF(B120="Hunt",(('Rules &amp; Formulas'!B4*N119*('Rules &amp; Formulas'!B5+O119)*IFERROR(VLOOKUP(C120,Monsters!$T$4:$AH$15,10,FALSE),0)*IFERROR(VLOOKUP(C120,Monsters!$T$4:$AH$15,9,FALSE),0))*'Rules &amp; Formulas'!B6)*IF(D120="",0,D120),0))/MAX(1,IFERROR(VLOOKUP(C120,Monsters!$T$4:$AH$15,6,FALSE),0)),1)))*(IFERROR(VLOOKUP(C120,Monsters!$T$4:$AH$15,7,FALSE),0))*0.5*(1+0.1*AH119),0)+IF(AND((E120="OK"),B120="Go AFK"),(IF(B120="Go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AFK",IF(D120="",0,D120),0),Z119/60)*60)),0))*(IFERROR(VLOOKUP(C120,Monsters!$T$4:$AH$15,3,FALSE),0))*(1+0.1*AH119)+(IF(OR(B120&lt;&gt;"Go AFK",IFERROR(VLOOKUP(C120,Monsters!$T$4:$AH$15,6,FALSE),0)=0),0,FLOOR((IF(B120="Go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AFK",IF(D120="",0,D120),0),Z119/60)*60)),0))/MAX(1,IFERROR(VLOOKUP(C120,Monsters!$T$4:$AH$15,6,FALSE),0)),1)))*(IFERROR(VLOOKUP(C120,Monsters!$T$4:$AH$15,7,FALSE),0))*0.5*(1+0.1*AH119),0)+IF(AND((E120="OK"),B120="Fight boss",(IF((((105/'Rules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Formulas'!B12)),IFERROR(VLOOKUP(C120,Monsters!$T$4:$AH$15,3,FALSE),0),0)-IF(AND((E120="OK"),OR(B120="Buy upgrade",B120="Forge/Scrapwork buy"),IFERROR(VLOOKUP(C120,Upgrades!$N$4:$T$47,2,FALSE),0)="gold"),IFERROR(FLOOR(IFERROR(VLOOKUP(C120,Upgrades!$N$4:$T$47,3,FALSE),0)*(IFERROR(VLOOKUP(C120,Upgrades!$N$4:$T$47,4,FALSE),0)^(COUNTIFS($B$3:$B119,"Buy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buy",$C$3:$C119,C120))),1),0),0)-IF(AND((E120="OK"),B120="Hire hunter"),IF(C120="Briar",140,IF(C120="Quill",3650,IF(C120="Moss",4850,IF(C120="Ember",12200,0)))),0))</f>
        <v/>
      </c>
      <c r="I120" s="7">
        <f>IF(AND((E120="OK"),B120="Fight boss",(IF((((105/'Rules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Formulas'!B12)),0,MIN(IF(G119&lt;=1,120,IF(G119=2,280,600)),I119+IF(AND((E120="OK"),B120="Hunt"),((IF(B120="Hunt",(('Rules &amp; Formulas'!B4*N119*('Rules &amp; Formulas'!B5+O119)*IFERROR(VLOOKUP(C120,Monsters!$T$4:$AH$15,10,FALSE),0)*IFERROR(VLOOKUP(C120,Monsters!$T$4:$AH$15,9,FALSE),0))*'Rules &amp; Formulas'!B6)*IF(D120="",0,D120),0))*(IFERROR(VLOOKUP(C120,Monsters!$T$4:$AH$15,4,FALSE),0))+(IF(OR(B120&lt;&gt;"Hunt",IFERROR(VLOOKUP(C120,Monsters!$T$4:$AH$15,6,FALSE),0)=0),0,FLOOR((IF(B120="Hunt",(('Rules &amp; Formulas'!B4*N119*('Rules &amp; Formulas'!B5+O119)*IFERROR(VLOOKUP(C120,Monsters!$T$4:$AH$15,10,FALSE),0)*IFERROR(VLOOKUP(C120,Monsters!$T$4:$AH$15,9,FALSE),0))*'Rules &amp; Formulas'!B6)*IF(D120="",0,D120),0))/MAX(1,IFERROR(VLOOKUP(C120,Monsters!$T$4:$AH$15,6,FALSE),0)),1)))*(IFERROR(VLOOKUP(C120,Monsters!$T$4:$AH$15,7,FALSE),0))),0)+IF(AND((E120="OK"),B120="Go AFK"),((IF(B120="Go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AFK",IF(D120="",0,D120),0),Z119/60)*60)),0))*(IFERROR(VLOOKUP(C120,Monsters!$T$4:$AH$15,4,FALSE),0))+(IF(OR(B120&lt;&gt;"Go AFK",IFERROR(VLOOKUP(C120,Monsters!$T$4:$AH$15,6,FALSE),0)=0),0,FLOOR((IF(B120="Go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AFK",IF(D120="",0,D120),0),Z119/60)*60)),0))/MAX(1,IFERROR(VLOOKUP(C120,Monsters!$T$4:$AH$15,6,FALSE),0)),1)))*(IFERROR(VLOOKUP(C120,Monsters!$T$4:$AH$15,7,FALSE),0))),0)))</f>
        <v/>
      </c>
      <c r="J120" s="7">
        <f>MAX(0,J119+IF(AND((E120="OK"),B120="Hunt"),(IF(B120="Hunt",(('Rules &amp; Formulas'!B4*N119*('Rules &amp; Formulas'!B5+O119)*IFERROR(VLOOKUP(C120,Monsters!$T$4:$AH$15,10,FALSE),0)*IFERROR(VLOOKUP(C120,Monsters!$T$4:$AH$15,9,FALSE),0))*'Rules &amp; Formulas'!B6)*IF(D120="",0,D120),0))*(IFERROR(VLOOKUP(C120,Monsters!$T$4:$AH$15,5,FALSE),0)),0)+IF(AND((E120="OK"),B120="Go AFK"),(IF(B120="Go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AFK",IF(D120="",0,D120),0),Z119/60)*60)),0))*(IFERROR(VLOOKUP(C120,Monsters!$T$4:$AH$15,5,FALSE),0)),0)-IF(AND((E120="OK"),OR(B120="Buy upgrade",B120="Forge/Scrapwork buy"),IFERROR(VLOOKUP(C120,Upgrades!$N$4:$T$47,2,FALSE),0)="scraps"),IFERROR(FLOOR(IFERROR(VLOOKUP(C120,Upgrades!$N$4:$T$47,3,FALSE),0)*(IFERROR(VLOOKUP(C120,Upgrades!$N$4:$T$47,4,FALSE),0)^(COUNTIFS($B$3:$B119,"Buy upgrade",$C$3:$C119,C120)+COUNTIFS($B$3:$B119,"Hire hunter",$C$3:$C119,C120)+COUNTIFS($B$3:$B119,"Forge/Scrapwork buy",$C$3:$C119,C120))),1),0),0))</f>
        <v/>
      </c>
      <c r="K120" s="7">
        <f>MAX(0,K119+IF(AND((E120="OK"),B120="Hunt"),IF(C120="Thornpelt Bear",(IF(B120="Hunt",(('Rules &amp; Formulas'!B4*N119*('Rules &amp; Formulas'!B5+O119)*IFERROR(VLOOKUP(C120,Monsters!$T$4:$AH$15,10,FALSE),0)*IFERROR(VLOOKUP(C120,Monsters!$T$4:$AH$15,9,FALSE),0))*'Rules &amp; Formulas'!B6)*IF(D120="",0,D120),0))*0.12,0),0)+IF(AND((E120="OK"),B120="Go AFK"),IF(C120="Thornpelt Bear",(IF(B120="Go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AFK",IF(D120="",0,D120),0),Z119/60)*60)),0))*0.12,0),0))</f>
        <v/>
      </c>
      <c r="L120" s="7">
        <f>MAX(0,L119+IF(AND((E120="OK"),B120="Hunt"),IF(C120="Dire Thornpelt",(IF(B120="Hunt",(('Rules &amp; Formulas'!B4*N119*('Rules &amp; Formulas'!B5+O119)*IFERROR(VLOOKUP(C120,Monsters!$T$4:$AH$15,10,FALSE),0)*IFERROR(VLOOKUP(C120,Monsters!$T$4:$AH$15,9,FALSE),0))*'Rules &amp; Formulas'!B6)*IF(D120="",0,D120),0))*0.1,0),0)+IF(AND((E120="OK"),B120="Go AFK"),IF(C120="Dire Thornpelt",(IF(B120="Go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AFK",IF(D120="",0,D120),0),Z119/60)*60)),0))*0.1,0),0))</f>
        <v/>
      </c>
      <c r="M120" s="7">
        <f>IF(AND((E120="OK"),B120="Go AFK"),MAX(0,MIN(('Rules &amp; Formulas'!B15+25*AJ119),M119+('Rules &amp; Formulas'!B14+0.4*AJ119)*(MIN(IF(B120="Go AFK",IF(D120="",0,D120),0),Z119/60)*60))-(IF(B120="Go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AFK",IF(D120="",0,D120),0),Z119/60)*60)),0))*(IF((IFERROR(VLOOKUP(C120,Monsters!$T$4:$AH$15,8,FALSE),0))=0,0.35,IFERROR(VLOOKUP(C120,Monsters!$T$4:$AH$15,8,FALSE),0))/(1+0.08*AK119))),MIN(('Rules &amp; Formulas'!B15+25*AJ120),M119))</f>
        <v/>
      </c>
      <c r="N120" s="7">
        <f>(1+0.08+0.12*AA120+0.12*AB120+0.16*AC120)</f>
        <v/>
      </c>
      <c r="O120" s="7">
        <f>((AD120&gt;=1)*1*(1+0.3*AE120))</f>
        <v/>
      </c>
      <c r="P120" s="7">
        <f>IF(OR(B120="Hunt",B120="Go AFK"),(('Rules &amp; Formulas'!B4*N119*('Rules &amp; Formulas'!B5+O119)*IFERROR(VLOOKUP(C120,Monsters!$T$4:$AH$15,10,FALSE),0)*IFERROR(VLOOKUP(C120,Monsters!$T$4:$AH$15,9,FALSE),0))*'Rules &amp; Formulas'!B6),"")</f>
        <v/>
      </c>
      <c r="Q120" s="7">
        <f>IF(OR(B120="Hunt",B120="Go AFK"),('Rules &amp; Formulas'!B4*N119*('Rules &amp; Formulas'!B5+O119)*IFERROR(VLOOKUP(C120,Monsters!$T$4:$AH$15,10,FALSE),0)*IFERROR(VLOOKUP(C120,Monsters!$T$4:$AH$15,9,FALSE),0)),"")</f>
        <v/>
      </c>
      <c r="R120" s="7">
        <f>IF(AND((E120="OK"),B120="Hunt"),IF(B120="Hunt",(('Rules &amp; Formulas'!B4*N119*('Rules &amp; Formulas'!B5+O119)*IFERROR(VLOOKUP(C120,Monsters!$T$4:$AH$15,10,FALSE),0)*IFERROR(VLOOKUP(C120,Monsters!$T$4:$AH$15,9,FALSE),0))*'Rules &amp; Formulas'!B6)*IF(D120="",0,D120),0),IF(AND((E120="OK"),B120="Go AFK"),IF(B120="Go AFK",MIN(IF((IF((IFERROR(VLOOKUP(C120,Monsters!$T$4:$AH$15,8,FALSE),0))=0,0.35,IFERROR(VLOOKUP(C120,Monsters!$T$4:$AH$15,8,FALSE),0))/(1+0.08*AK119))&lt;=0,999999,FLOOR(MIN(('Rules &amp; Formulas'!B15+25*AJ119),M119+('Rules &amp; Formulas'!B14+0.4*AJ119)*(MIN(IF(B120="Go AFK",IF(D120="",0,D120),0),Z119/60)*60))/(IF((IFERROR(VLOOKUP(C120,Monsters!$T$4:$AH$15,8,FALSE),0))=0,0.35,IFERROR(VLOOKUP(C120,Monsters!$T$4:$AH$15,8,FALSE),0))/(1+0.08*AK119)),1)),('Rules &amp; Formulas'!B4*N119*('Rules &amp; Formulas'!B5+O119)*IFERROR(VLOOKUP(C120,Monsters!$T$4:$AH$15,10,FALSE),0)*IFERROR(VLOOKUP(C120,Monsters!$T$4:$AH$15,9,FALSE),0))*(MIN(IF(B120="Go AFK",IF(D120="",0,D120),0),Z119/60)*60)),0),0))</f>
        <v/>
      </c>
      <c r="S120" s="7">
        <f>(105/'Rules &amp; Formulas'!B10)*'Rules &amp; Formulas'!B11</f>
        <v/>
      </c>
      <c r="T120" s="7">
        <f>IF(AD119&gt;=1,(MAX(1,ROUND('Rules &amp; Formulas'!B18*(1+0.3*AE119)*(1+0.4*AF119),0)))*(1000/'Rules &amp; Formulas'!B19)*MIN(0.95,'Rules &amp; Formulas'!B20*SQRT(1+0.55*(AG119&gt;=1))),0)</f>
        <v/>
      </c>
      <c r="U120" s="7">
        <f>S120+T120</f>
        <v/>
      </c>
      <c r="V120" s="7">
        <f>IF(I119&gt;=IF((IFERROR(VLOOKUP(C120,Monsters!$T$4:$AH$15,15,FALSE),0))=0,120,IFERROR(VLOOKUP(C120,Monsters!$T$4:$AH$15,15,FALSE),0)),"YES","no")</f>
        <v/>
      </c>
      <c r="W120" s="7">
        <f>IF(AND(B120="Fight boss",E120="OK"),IF((((105/'Rules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Formulas'!B20*SQRT(1+0.55*(AG119&gt;=1))),0)))),"")</f>
        <v/>
      </c>
      <c r="X120" s="7">
        <f>IF(AND(B120="Fight boss",E120="OK"),IF((IF((((105/'Rules &amp; Formulas'!B10)*'Rules &amp; Formulas'!B11+IF(AD119&gt;=1,(MAX(1,ROUND('Rules &amp; Formulas'!B18*(1+0.3*AE119)*(1+0.4*AF119),0)))*(1000/'Rules &amp; Formulas'!B19)*MIN(0.95,'Rules &amp; Formulas'!B20*SQRT(1+0.55*(AG119&gt;=1))),0)))&lt;=0,9999,(IFERROR(VLOOKUP(C120,Monsters!$T$4:$AH$15,2,FALSE),0))/(((105/'Rules &amp; Formulas'!B10)*'Rules &amp; Formulas'!B11+IF(AD119&gt;=1,(MAX(1,ROUND('Rules &amp; Formulas'!B18*(1+0.3*AE119)*(1+0.4*AF119),0)))*(1000/'Rules &amp; Formulas'!B19)*MIN(0.95,'Rules &amp; Formulas'!B20*SQRT(1+0.55*(AG119&gt;=1))),0))))&lt;='Rules &amp; Formulas'!B12),"WIN","LOSE"),"")</f>
        <v/>
      </c>
      <c r="Y120" s="7">
        <f>IF(B120="Go AFK",MIN(IF(B120="Go AFK",IF(D120="",0,D120),0),Z119/60),"")</f>
        <v/>
      </c>
      <c r="Z120" s="7">
        <f>('Rules &amp; Formulas'!B13+30*AI120)</f>
        <v/>
      </c>
      <c r="AA120">
        <f>COUNTIFS($B$3:$B120,"Buy upgrade",$C$3:$C120,"Idle Power")</f>
        <v/>
      </c>
      <c r="AB120">
        <f>COUNTIFS($B$3:$B120,"Buy upgrade",$C$3:$C120,"Iron Blade")</f>
        <v/>
      </c>
      <c r="AC120">
        <f>COUNTIFS($B$3:$B120,"Buy upgrade",$C$3:$C120,"Steel Blade")</f>
        <v/>
      </c>
      <c r="AD120">
        <f>COUNTIFS($B$3:$B120,"Hire hunter",$C$3:$C120,"Briar")+COUNTIFS($B$3:$B120,"Buy upgrade",$C$3:$C120,"Hire Briar")</f>
        <v/>
      </c>
      <c r="AE120">
        <f>COUNTIFS($B$3:$B120,"Buy upgrade",$C$3:$C120,"Hunter Power")</f>
        <v/>
      </c>
      <c r="AF120">
        <f>COUNTIFS($B$3:$B120,"Buy upgrade",$C$3:$C120,"Bigger Hits")</f>
        <v/>
      </c>
      <c r="AG120">
        <f>COUNTIFS($B$3:$B120,"Buy upgrade",$C$3:$C120,"Swift Walk")</f>
        <v/>
      </c>
      <c r="AH120">
        <f>COUNTIFS($B$3:$B120,"Buy upgrade",$C$3:$C120,"Loot Luck")</f>
        <v/>
      </c>
      <c r="AI120">
        <f>COUNTIFS($B$3:$B120,"Buy upgrade",$C$3:$C120,"Offline Cap")</f>
        <v/>
      </c>
      <c r="AJ120">
        <f>COUNTIFS($B$3:$B120,"Buy upgrade",$C$3:$C120,"Bigger Food Stock")</f>
        <v/>
      </c>
      <c r="AK120">
        <f>COUNTIFS($B$3:$B120,"Buy upgrade",$C$3:$C120,"Food Efficiency")</f>
        <v/>
      </c>
    </row>
    <row r="121">
      <c r="A121" t="n">
        <v>119</v>
      </c>
      <c r="B121" s="6" t="n"/>
      <c r="C121" s="6" t="n"/>
      <c r="D121" s="6" t="n"/>
      <c r="E121" s="7">
        <f>IF(B121="","",IF(OR(B121="Hunt",B121="Go AFK"),IF(C121="","Can't","OK"),IF(B121="Fight boss",IF(I120&lt;IF((IFERROR(VLOOKUP(C121,Monsters!$T$4:$AH$15,15,FALSE),0))=0,120,IFERROR(VLOOKUP(C121,Monsters!$T$4:$AH$15,15,FALSE),0)),"Can't","OK"),IF(B121="Hire hunter",IF(AND(C121="Briar",AD120&gt;=1),"Can't",IF(H120&lt;IF(C121="Briar",140,IF(C121="Quill",3650,IF(C121="Moss",4850,IF(C121="Ember",12200,0)))),"Can't","OK")),IF(OR(B121="Buy upgrade",B121="Forge/Scrapwork buy"),IF(IFERROR(VLOOKUP(C121,Upgrades!$N$4:$T$47,2,FALSE),0)="points","Can't",IF(IFERROR(VLOOKUP(C121,Upgrades!$N$4:$T$47,2,FALSE),0)="gold",IF(H120&lt;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buy",$C$3:$C120,C121))),1),0),"Can't","OK"),IF(IFERROR(VLOOKUP(C121,Upgrades!$N$4:$T$47,2,FALSE),0)="scraps",IF(J120&lt;IFERROR(FLOOR(IFERROR(VLOOKUP(C121,Upgrades!$N$4:$T$47,3,FALSE),0)*(IFERROR(VLOOKUP(C121,Upgrades!$N$4:$T$47,4,FALSE),0)^(COUNTIFS($B$3:$B120,"Buy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buy",$C$3:$C120,C121))),1),0),"Can't","OK"),IF(IFERROR(VLOOKUP(C121,Upgrades!$N$4:$T$47,2,FALSE),0)="mats","Can't","OK")))),"Check")))))</f>
        <v/>
      </c>
      <c r="F121" s="7">
        <f>IF(B121="","",IF(AND(B121="Fight boss",I120&lt;IF((IFERROR(VLOOKUP(C121,Monsters!$T$4:$AH$15,15,FALSE),0))=0,120,IFERROR(VLOOKUP(C121,Monsters!$T$4:$AH$15,15,FALSE),0))),"Can't — need "&amp;TEXT(IF((IFERROR(VLOOKUP(C121,Monsters!$T$4:$AH$15,15,FALSE),0))=0,120,IFERROR(VLOOKUP(C121,Monsters!$T$4:$AH$15,15,FALSE),0))-I120,"0.0")&amp;" more Slayer points on the meter",IF(AND(B121="Hire hunter",C121="Briar",AD120&gt;=1),"Can't — already hired",IF(AND(B121="Hire hunter",H120&lt;IF(C121="Briar",140,IF(C121="Quill",3650,IF(C121="Moss",4850,IF(C121="Ember",12200,0))))),"Can't — need "&amp;TEXT(IF(C121="Briar",140,IF(C121="Quill",3650,IF(C121="Moss",4850,IF(C121="Ember",12200,0))))-H120,"0")&amp;" more gold",IF(AND(OR(B121="Buy upgrade",B121="Forge/Scrapwork buy"),IFERROR(VLOOKUP(C121,Upgrades!$N$4:$T$47,2,FALSE),0)="points"),"Can't — Sp-wallet spends not tracked here",IF(AND(OR(B121="Buy upgrade",B121="Forge/Scrapwork buy"),IFERROR(VLOOKUP(C121,Upgrades!$N$4:$T$47,2,FALSE),0)="gold",H120&lt;IFERROR(FLOOR(IFERROR(VLOOKUP(C121,Upgrades!$N$4:$T$47,3,FALSE),0)*(IFERROR(VLOOKUP(C121,Upgrades!$N$4:$T$47,4,FALSE),0)^(COUNTIFS($B$3:$B120,"Buy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buy",$C$3:$C120,C121))),1),0)),"Can't — need "&amp;TEXT(IFERROR(FLOOR(IFERROR(VLOOKUP(C121,Upgrades!$N$4:$T$47,3,FALSE),0)*(IFERROR(VLOOKUP(C121,Upgrades!$N$4:$T$47,4,FALSE),0)^(COUNTIFS($B$3:$B120,"Buy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buy",$C$3:$C120,C121))),1),0)-H120,"0")&amp;" more gold",IF(AND(OR(B121="Buy upgrade",B121="Forge/Scrapwork buy"),IFERROR(VLOOKUP(C121,Upgrades!$N$4:$T$47,2,FALSE),0)="scraps",J120&lt;IFERROR(FLOOR(IFERROR(VLOOKUP(C121,Upgrades!$N$4:$T$47,3,FALSE),0)*(IFERROR(VLOOKUP(C121,Upgrades!$N$4:$T$47,4,FALSE),0)^(COUNTIFS($B$3:$B120,"Buy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buy",$C$3:$C120,C121))),1),0)),"Can't — need "&amp;TEXT(IFERROR(FLOOR(IFERROR(VLOOKUP(C121,Upgrades!$N$4:$T$47,3,FALSE),0)*(IFERROR(VLOOKUP(C121,Upgrades!$N$4:$T$47,4,FALSE),0)^(COUNTIFS($B$3:$B120,"Buy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buy",$C$3:$C120,C121))),1),0)-J120,"0")&amp;" more scraps",IF(AND(B121="Fight boss",E121="OK",(IF((((105/'Rules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Formulas'!B12)),"WIN — boss down, next Level unlocks",IF(AND(B121="Fight boss",E121="OK"),"LOSE — TTK "&amp;TEXT(IF((((105/'Rules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Formulas'!B20*SQRT(1+0.55*(AG120&gt;=1))),0)))),"0")&amp;"s &gt; patience "&amp;TEXT('Rules &amp; Formulas'!B12,"0")&amp;"s (leave resets HP)",IF(B121="Go AFK","AFK resolved (see AFK counted h)","Applied")))))))))</f>
        <v/>
      </c>
      <c r="G121" s="7">
        <f>IF(AND((E121="OK"),B121="Fight boss",(IF((((105/'Rules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Formulas'!B12),C121="Elder Thornpelt"),2,IF(AND((E121="OK"),B121="Fight boss",(IF((((105/'Rules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Formulas'!B12),C121="Ashfang Alpha"),3,G120))</f>
        <v/>
      </c>
      <c r="H121" s="7">
        <f>MAX(0,H120+IF(AND((E121="OK"),B121="Hunt"),(IF(B121="Hunt",(('Rules &amp; Formulas'!B4*N120*('Rules &amp; Formulas'!B5+O120)*IFERROR(VLOOKUP(C121,Monsters!$T$4:$AH$15,10,FALSE),0)*IFERROR(VLOOKUP(C121,Monsters!$T$4:$AH$15,9,FALSE),0))*'Rules &amp; Formulas'!B6)*IF(D121="",0,D121),0))*(IFERROR(VLOOKUP(C121,Monsters!$T$4:$AH$15,3,FALSE),0))*(1+0.1*AH120)+(IF(OR(B121&lt;&gt;"Hunt",IFERROR(VLOOKUP(C121,Monsters!$T$4:$AH$15,6,FALSE),0)=0),0,FLOOR((IF(B121="Hunt",(('Rules &amp; Formulas'!B4*N120*('Rules &amp; Formulas'!B5+O120)*IFERROR(VLOOKUP(C121,Monsters!$T$4:$AH$15,10,FALSE),0)*IFERROR(VLOOKUP(C121,Monsters!$T$4:$AH$15,9,FALSE),0))*'Rules &amp; Formulas'!B6)*IF(D121="",0,D121),0))/MAX(1,IFERROR(VLOOKUP(C121,Monsters!$T$4:$AH$15,6,FALSE),0)),1)))*(IFERROR(VLOOKUP(C121,Monsters!$T$4:$AH$15,7,FALSE),0))*0.5*(1+0.1*AH120),0)+IF(AND((E121="OK"),B121="Go AFK"),(IF(B121="Go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AFK",IF(D121="",0,D121),0),Z120/60)*60)),0))*(IFERROR(VLOOKUP(C121,Monsters!$T$4:$AH$15,3,FALSE),0))*(1+0.1*AH120)+(IF(OR(B121&lt;&gt;"Go AFK",IFERROR(VLOOKUP(C121,Monsters!$T$4:$AH$15,6,FALSE),0)=0),0,FLOOR((IF(B121="Go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AFK",IF(D121="",0,D121),0),Z120/60)*60)),0))/MAX(1,IFERROR(VLOOKUP(C121,Monsters!$T$4:$AH$15,6,FALSE),0)),1)))*(IFERROR(VLOOKUP(C121,Monsters!$T$4:$AH$15,7,FALSE),0))*0.5*(1+0.1*AH120),0)+IF(AND((E121="OK"),B121="Fight boss",(IF((((105/'Rules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Formulas'!B12)),IFERROR(VLOOKUP(C121,Monsters!$T$4:$AH$15,3,FALSE),0),0)-IF(AND((E121="OK"),OR(B121="Buy upgrade",B121="Forge/Scrapwork buy"),IFERROR(VLOOKUP(C121,Upgrades!$N$4:$T$47,2,FALSE),0)="gold"),IFERROR(FLOOR(IFERROR(VLOOKUP(C121,Upgrades!$N$4:$T$47,3,FALSE),0)*(IFERROR(VLOOKUP(C121,Upgrades!$N$4:$T$47,4,FALSE),0)^(COUNTIFS($B$3:$B120,"Buy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buy",$C$3:$C120,C121))),1),0),0)-IF(AND((E121="OK"),B121="Hire hunter"),IF(C121="Briar",140,IF(C121="Quill",3650,IF(C121="Moss",4850,IF(C121="Ember",12200,0)))),0))</f>
        <v/>
      </c>
      <c r="I121" s="7">
        <f>IF(AND((E121="OK"),B121="Fight boss",(IF((((105/'Rules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Formulas'!B12)),0,MIN(IF(G120&lt;=1,120,IF(G120=2,280,600)),I120+IF(AND((E121="OK"),B121="Hunt"),((IF(B121="Hunt",(('Rules &amp; Formulas'!B4*N120*('Rules &amp; Formulas'!B5+O120)*IFERROR(VLOOKUP(C121,Monsters!$T$4:$AH$15,10,FALSE),0)*IFERROR(VLOOKUP(C121,Monsters!$T$4:$AH$15,9,FALSE),0))*'Rules &amp; Formulas'!B6)*IF(D121="",0,D121),0))*(IFERROR(VLOOKUP(C121,Monsters!$T$4:$AH$15,4,FALSE),0))+(IF(OR(B121&lt;&gt;"Hunt",IFERROR(VLOOKUP(C121,Monsters!$T$4:$AH$15,6,FALSE),0)=0),0,FLOOR((IF(B121="Hunt",(('Rules &amp; Formulas'!B4*N120*('Rules &amp; Formulas'!B5+O120)*IFERROR(VLOOKUP(C121,Monsters!$T$4:$AH$15,10,FALSE),0)*IFERROR(VLOOKUP(C121,Monsters!$T$4:$AH$15,9,FALSE),0))*'Rules &amp; Formulas'!B6)*IF(D121="",0,D121),0))/MAX(1,IFERROR(VLOOKUP(C121,Monsters!$T$4:$AH$15,6,FALSE),0)),1)))*(IFERROR(VLOOKUP(C121,Monsters!$T$4:$AH$15,7,FALSE),0))),0)+IF(AND((E121="OK"),B121="Go AFK"),((IF(B121="Go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AFK",IF(D121="",0,D121),0),Z120/60)*60)),0))*(IFERROR(VLOOKUP(C121,Monsters!$T$4:$AH$15,4,FALSE),0))+(IF(OR(B121&lt;&gt;"Go AFK",IFERROR(VLOOKUP(C121,Monsters!$T$4:$AH$15,6,FALSE),0)=0),0,FLOOR((IF(B121="Go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AFK",IF(D121="",0,D121),0),Z120/60)*60)),0))/MAX(1,IFERROR(VLOOKUP(C121,Monsters!$T$4:$AH$15,6,FALSE),0)),1)))*(IFERROR(VLOOKUP(C121,Monsters!$T$4:$AH$15,7,FALSE),0))),0)))</f>
        <v/>
      </c>
      <c r="J121" s="7">
        <f>MAX(0,J120+IF(AND((E121="OK"),B121="Hunt"),(IF(B121="Hunt",(('Rules &amp; Formulas'!B4*N120*('Rules &amp; Formulas'!B5+O120)*IFERROR(VLOOKUP(C121,Monsters!$T$4:$AH$15,10,FALSE),0)*IFERROR(VLOOKUP(C121,Monsters!$T$4:$AH$15,9,FALSE),0))*'Rules &amp; Formulas'!B6)*IF(D121="",0,D121),0))*(IFERROR(VLOOKUP(C121,Monsters!$T$4:$AH$15,5,FALSE),0)),0)+IF(AND((E121="OK"),B121="Go AFK"),(IF(B121="Go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AFK",IF(D121="",0,D121),0),Z120/60)*60)),0))*(IFERROR(VLOOKUP(C121,Monsters!$T$4:$AH$15,5,FALSE),0)),0)-IF(AND((E121="OK"),OR(B121="Buy upgrade",B121="Forge/Scrapwork buy"),IFERROR(VLOOKUP(C121,Upgrades!$N$4:$T$47,2,FALSE),0)="scraps"),IFERROR(FLOOR(IFERROR(VLOOKUP(C121,Upgrades!$N$4:$T$47,3,FALSE),0)*(IFERROR(VLOOKUP(C121,Upgrades!$N$4:$T$47,4,FALSE),0)^(COUNTIFS($B$3:$B120,"Buy upgrade",$C$3:$C120,C121)+COUNTIFS($B$3:$B120,"Hire hunter",$C$3:$C120,C121)+COUNTIFS($B$3:$B120,"Forge/Scrapwork buy",$C$3:$C120,C121))),1),0),0))</f>
        <v/>
      </c>
      <c r="K121" s="7">
        <f>MAX(0,K120+IF(AND((E121="OK"),B121="Hunt"),IF(C121="Thornpelt Bear",(IF(B121="Hunt",(('Rules &amp; Formulas'!B4*N120*('Rules &amp; Formulas'!B5+O120)*IFERROR(VLOOKUP(C121,Monsters!$T$4:$AH$15,10,FALSE),0)*IFERROR(VLOOKUP(C121,Monsters!$T$4:$AH$15,9,FALSE),0))*'Rules &amp; Formulas'!B6)*IF(D121="",0,D121),0))*0.12,0),0)+IF(AND((E121="OK"),B121="Go AFK"),IF(C121="Thornpelt Bear",(IF(B121="Go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AFK",IF(D121="",0,D121),0),Z120/60)*60)),0))*0.12,0),0))</f>
        <v/>
      </c>
      <c r="L121" s="7">
        <f>MAX(0,L120+IF(AND((E121="OK"),B121="Hunt"),IF(C121="Dire Thornpelt",(IF(B121="Hunt",(('Rules &amp; Formulas'!B4*N120*('Rules &amp; Formulas'!B5+O120)*IFERROR(VLOOKUP(C121,Monsters!$T$4:$AH$15,10,FALSE),0)*IFERROR(VLOOKUP(C121,Monsters!$T$4:$AH$15,9,FALSE),0))*'Rules &amp; Formulas'!B6)*IF(D121="",0,D121),0))*0.1,0),0)+IF(AND((E121="OK"),B121="Go AFK"),IF(C121="Dire Thornpelt",(IF(B121="Go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AFK",IF(D121="",0,D121),0),Z120/60)*60)),0))*0.1,0),0))</f>
        <v/>
      </c>
      <c r="M121" s="7">
        <f>IF(AND((E121="OK"),B121="Go AFK"),MAX(0,MIN(('Rules &amp; Formulas'!B15+25*AJ120),M120+('Rules &amp; Formulas'!B14+0.4*AJ120)*(MIN(IF(B121="Go AFK",IF(D121="",0,D121),0),Z120/60)*60))-(IF(B121="Go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AFK",IF(D121="",0,D121),0),Z120/60)*60)),0))*(IF((IFERROR(VLOOKUP(C121,Monsters!$T$4:$AH$15,8,FALSE),0))=0,0.35,IFERROR(VLOOKUP(C121,Monsters!$T$4:$AH$15,8,FALSE),0))/(1+0.08*AK120))),MIN(('Rules &amp; Formulas'!B15+25*AJ121),M120))</f>
        <v/>
      </c>
      <c r="N121" s="7">
        <f>(1+0.08+0.12*AA121+0.12*AB121+0.16*AC121)</f>
        <v/>
      </c>
      <c r="O121" s="7">
        <f>((AD121&gt;=1)*1*(1+0.3*AE121))</f>
        <v/>
      </c>
      <c r="P121" s="7">
        <f>IF(OR(B121="Hunt",B121="Go AFK"),(('Rules &amp; Formulas'!B4*N120*('Rules &amp; Formulas'!B5+O120)*IFERROR(VLOOKUP(C121,Monsters!$T$4:$AH$15,10,FALSE),0)*IFERROR(VLOOKUP(C121,Monsters!$T$4:$AH$15,9,FALSE),0))*'Rules &amp; Formulas'!B6),"")</f>
        <v/>
      </c>
      <c r="Q121" s="7">
        <f>IF(OR(B121="Hunt",B121="Go AFK"),('Rules &amp; Formulas'!B4*N120*('Rules &amp; Formulas'!B5+O120)*IFERROR(VLOOKUP(C121,Monsters!$T$4:$AH$15,10,FALSE),0)*IFERROR(VLOOKUP(C121,Monsters!$T$4:$AH$15,9,FALSE),0)),"")</f>
        <v/>
      </c>
      <c r="R121" s="7">
        <f>IF(AND((E121="OK"),B121="Hunt"),IF(B121="Hunt",(('Rules &amp; Formulas'!B4*N120*('Rules &amp; Formulas'!B5+O120)*IFERROR(VLOOKUP(C121,Monsters!$T$4:$AH$15,10,FALSE),0)*IFERROR(VLOOKUP(C121,Monsters!$T$4:$AH$15,9,FALSE),0))*'Rules &amp; Formulas'!B6)*IF(D121="",0,D121),0),IF(AND((E121="OK"),B121="Go AFK"),IF(B121="Go AFK",MIN(IF((IF((IFERROR(VLOOKUP(C121,Monsters!$T$4:$AH$15,8,FALSE),0))=0,0.35,IFERROR(VLOOKUP(C121,Monsters!$T$4:$AH$15,8,FALSE),0))/(1+0.08*AK120))&lt;=0,999999,FLOOR(MIN(('Rules &amp; Formulas'!B15+25*AJ120),M120+('Rules &amp; Formulas'!B14+0.4*AJ120)*(MIN(IF(B121="Go AFK",IF(D121="",0,D121),0),Z120/60)*60))/(IF((IFERROR(VLOOKUP(C121,Monsters!$T$4:$AH$15,8,FALSE),0))=0,0.35,IFERROR(VLOOKUP(C121,Monsters!$T$4:$AH$15,8,FALSE),0))/(1+0.08*AK120)),1)),('Rules &amp; Formulas'!B4*N120*('Rules &amp; Formulas'!B5+O120)*IFERROR(VLOOKUP(C121,Monsters!$T$4:$AH$15,10,FALSE),0)*IFERROR(VLOOKUP(C121,Monsters!$T$4:$AH$15,9,FALSE),0))*(MIN(IF(B121="Go AFK",IF(D121="",0,D121),0),Z120/60)*60)),0),0))</f>
        <v/>
      </c>
      <c r="S121" s="7">
        <f>(105/'Rules &amp; Formulas'!B10)*'Rules &amp; Formulas'!B11</f>
        <v/>
      </c>
      <c r="T121" s="7">
        <f>IF(AD120&gt;=1,(MAX(1,ROUND('Rules &amp; Formulas'!B18*(1+0.3*AE120)*(1+0.4*AF120),0)))*(1000/'Rules &amp; Formulas'!B19)*MIN(0.95,'Rules &amp; Formulas'!B20*SQRT(1+0.55*(AG120&gt;=1))),0)</f>
        <v/>
      </c>
      <c r="U121" s="7">
        <f>S121+T121</f>
        <v/>
      </c>
      <c r="V121" s="7">
        <f>IF(I120&gt;=IF((IFERROR(VLOOKUP(C121,Monsters!$T$4:$AH$15,15,FALSE),0))=0,120,IFERROR(VLOOKUP(C121,Monsters!$T$4:$AH$15,15,FALSE),0)),"YES","no")</f>
        <v/>
      </c>
      <c r="W121" s="7">
        <f>IF(AND(B121="Fight boss",E121="OK"),IF((((105/'Rules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Formulas'!B20*SQRT(1+0.55*(AG120&gt;=1))),0)))),"")</f>
        <v/>
      </c>
      <c r="X121" s="7">
        <f>IF(AND(B121="Fight boss",E121="OK"),IF((IF((((105/'Rules &amp; Formulas'!B10)*'Rules &amp; Formulas'!B11+IF(AD120&gt;=1,(MAX(1,ROUND('Rules &amp; Formulas'!B18*(1+0.3*AE120)*(1+0.4*AF120),0)))*(1000/'Rules &amp; Formulas'!B19)*MIN(0.95,'Rules &amp; Formulas'!B20*SQRT(1+0.55*(AG120&gt;=1))),0)))&lt;=0,9999,(IFERROR(VLOOKUP(C121,Monsters!$T$4:$AH$15,2,FALSE),0))/(((105/'Rules &amp; Formulas'!B10)*'Rules &amp; Formulas'!B11+IF(AD120&gt;=1,(MAX(1,ROUND('Rules &amp; Formulas'!B18*(1+0.3*AE120)*(1+0.4*AF120),0)))*(1000/'Rules &amp; Formulas'!B19)*MIN(0.95,'Rules &amp; Formulas'!B20*SQRT(1+0.55*(AG120&gt;=1))),0))))&lt;='Rules &amp; Formulas'!B12),"WIN","LOSE"),"")</f>
        <v/>
      </c>
      <c r="Y121" s="7">
        <f>IF(B121="Go AFK",MIN(IF(B121="Go AFK",IF(D121="",0,D121),0),Z120/60),"")</f>
        <v/>
      </c>
      <c r="Z121" s="7">
        <f>('Rules &amp; Formulas'!B13+30*AI121)</f>
        <v/>
      </c>
      <c r="AA121">
        <f>COUNTIFS($B$3:$B121,"Buy upgrade",$C$3:$C121,"Idle Power")</f>
        <v/>
      </c>
      <c r="AB121">
        <f>COUNTIFS($B$3:$B121,"Buy upgrade",$C$3:$C121,"Iron Blade")</f>
        <v/>
      </c>
      <c r="AC121">
        <f>COUNTIFS($B$3:$B121,"Buy upgrade",$C$3:$C121,"Steel Blade")</f>
        <v/>
      </c>
      <c r="AD121">
        <f>COUNTIFS($B$3:$B121,"Hire hunter",$C$3:$C121,"Briar")+COUNTIFS($B$3:$B121,"Buy upgrade",$C$3:$C121,"Hire Briar")</f>
        <v/>
      </c>
      <c r="AE121">
        <f>COUNTIFS($B$3:$B121,"Buy upgrade",$C$3:$C121,"Hunter Power")</f>
        <v/>
      </c>
      <c r="AF121">
        <f>COUNTIFS($B$3:$B121,"Buy upgrade",$C$3:$C121,"Bigger Hits")</f>
        <v/>
      </c>
      <c r="AG121">
        <f>COUNTIFS($B$3:$B121,"Buy upgrade",$C$3:$C121,"Swift Walk")</f>
        <v/>
      </c>
      <c r="AH121">
        <f>COUNTIFS($B$3:$B121,"Buy upgrade",$C$3:$C121,"Loot Luck")</f>
        <v/>
      </c>
      <c r="AI121">
        <f>COUNTIFS($B$3:$B121,"Buy upgrade",$C$3:$C121,"Offline Cap")</f>
        <v/>
      </c>
      <c r="AJ121">
        <f>COUNTIFS($B$3:$B121,"Buy upgrade",$C$3:$C121,"Bigger Food Stock")</f>
        <v/>
      </c>
      <c r="AK121">
        <f>COUNTIFS($B$3:$B121,"Buy upgrade",$C$3:$C121,"Food Efficiency")</f>
        <v/>
      </c>
    </row>
    <row r="122">
      <c r="A122" t="n">
        <v>120</v>
      </c>
      <c r="B122" s="6" t="n"/>
      <c r="C122" s="6" t="n"/>
      <c r="D122" s="6" t="n"/>
      <c r="E122" s="7">
        <f>IF(B122="","",IF(OR(B122="Hunt",B122="Go AFK"),IF(C122="","Can't","OK"),IF(B122="Fight boss",IF(I121&lt;IF((IFERROR(VLOOKUP(C122,Monsters!$T$4:$AH$15,15,FALSE),0))=0,120,IFERROR(VLOOKUP(C122,Monsters!$T$4:$AH$15,15,FALSE),0)),"Can't","OK"),IF(B122="Hire hunter",IF(AND(C122="Briar",AD121&gt;=1),"Can't",IF(H121&lt;IF(C122="Briar",140,IF(C122="Quill",3650,IF(C122="Moss",4850,IF(C122="Ember",12200,0)))),"Can't","OK")),IF(OR(B122="Buy upgrade",B122="Forge/Scrapwork buy"),IF(IFERROR(VLOOKUP(C122,Upgrades!$N$4:$T$47,2,FALSE),0)="points","Can't",IF(IFERROR(VLOOKUP(C122,Upgrades!$N$4:$T$47,2,FALSE),0)="gold",IF(H121&lt;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buy",$C$3:$C121,C122))),1),0),"Can't","OK"),IF(IFERROR(VLOOKUP(C122,Upgrades!$N$4:$T$47,2,FALSE),0)="scraps",IF(J121&lt;IFERROR(FLOOR(IFERROR(VLOOKUP(C122,Upgrades!$N$4:$T$47,3,FALSE),0)*(IFERROR(VLOOKUP(C122,Upgrades!$N$4:$T$47,4,FALSE),0)^(COUNTIFS($B$3:$B121,"Buy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buy",$C$3:$C121,C122))),1),0),"Can't","OK"),IF(IFERROR(VLOOKUP(C122,Upgrades!$N$4:$T$47,2,FALSE),0)="mats","Can't","OK")))),"Check")))))</f>
        <v/>
      </c>
      <c r="F122" s="7">
        <f>IF(B122="","",IF(AND(B122="Fight boss",I121&lt;IF((IFERROR(VLOOKUP(C122,Monsters!$T$4:$AH$15,15,FALSE),0))=0,120,IFERROR(VLOOKUP(C122,Monsters!$T$4:$AH$15,15,FALSE),0))),"Can't — need "&amp;TEXT(IF((IFERROR(VLOOKUP(C122,Monsters!$T$4:$AH$15,15,FALSE),0))=0,120,IFERROR(VLOOKUP(C122,Monsters!$T$4:$AH$15,15,FALSE),0))-I121,"0.0")&amp;" more Slayer points on the meter",IF(AND(B122="Hire hunter",C122="Briar",AD121&gt;=1),"Can't — already hired",IF(AND(B122="Hire hunter",H121&lt;IF(C122="Briar",140,IF(C122="Quill",3650,IF(C122="Moss",4850,IF(C122="Ember",12200,0))))),"Can't — need "&amp;TEXT(IF(C122="Briar",140,IF(C122="Quill",3650,IF(C122="Moss",4850,IF(C122="Ember",12200,0))))-H121,"0")&amp;" more gold",IF(AND(OR(B122="Buy upgrade",B122="Forge/Scrapwork buy"),IFERROR(VLOOKUP(C122,Upgrades!$N$4:$T$47,2,FALSE),0)="points"),"Can't — Sp-wallet spends not tracked here",IF(AND(OR(B122="Buy upgrade",B122="Forge/Scrapwork buy"),IFERROR(VLOOKUP(C122,Upgrades!$N$4:$T$47,2,FALSE),0)="gold",H121&lt;IFERROR(FLOOR(IFERROR(VLOOKUP(C122,Upgrades!$N$4:$T$47,3,FALSE),0)*(IFERROR(VLOOKUP(C122,Upgrades!$N$4:$T$47,4,FALSE),0)^(COUNTIFS($B$3:$B121,"Buy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buy",$C$3:$C121,C122))),1),0)),"Can't — need "&amp;TEXT(IFERROR(FLOOR(IFERROR(VLOOKUP(C122,Upgrades!$N$4:$T$47,3,FALSE),0)*(IFERROR(VLOOKUP(C122,Upgrades!$N$4:$T$47,4,FALSE),0)^(COUNTIFS($B$3:$B121,"Buy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buy",$C$3:$C121,C122))),1),0)-H121,"0")&amp;" more gold",IF(AND(OR(B122="Buy upgrade",B122="Forge/Scrapwork buy"),IFERROR(VLOOKUP(C122,Upgrades!$N$4:$T$47,2,FALSE),0)="scraps",J121&lt;IFERROR(FLOOR(IFERROR(VLOOKUP(C122,Upgrades!$N$4:$T$47,3,FALSE),0)*(IFERROR(VLOOKUP(C122,Upgrades!$N$4:$T$47,4,FALSE),0)^(COUNTIFS($B$3:$B121,"Buy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buy",$C$3:$C121,C122))),1),0)),"Can't — need "&amp;TEXT(IFERROR(FLOOR(IFERROR(VLOOKUP(C122,Upgrades!$N$4:$T$47,3,FALSE),0)*(IFERROR(VLOOKUP(C122,Upgrades!$N$4:$T$47,4,FALSE),0)^(COUNTIFS($B$3:$B121,"Buy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buy",$C$3:$C121,C122))),1),0)-J121,"0")&amp;" more scraps",IF(AND(B122="Fight boss",E122="OK",(IF((((105/'Rules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Formulas'!B12)),"WIN — boss down, next Level unlocks",IF(AND(B122="Fight boss",E122="OK"),"LOSE — TTK "&amp;TEXT(IF((((105/'Rules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Formulas'!B20*SQRT(1+0.55*(AG121&gt;=1))),0)))),"0")&amp;"s &gt; patience "&amp;TEXT('Rules &amp; Formulas'!B12,"0")&amp;"s (leave resets HP)",IF(B122="Go AFK","AFK resolved (see AFK counted h)","Applied")))))))))</f>
        <v/>
      </c>
      <c r="G122" s="7">
        <f>IF(AND((E122="OK"),B122="Fight boss",(IF((((105/'Rules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Formulas'!B12),C122="Elder Thornpelt"),2,IF(AND((E122="OK"),B122="Fight boss",(IF((((105/'Rules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Formulas'!B12),C122="Ashfang Alpha"),3,G121))</f>
        <v/>
      </c>
      <c r="H122" s="7">
        <f>MAX(0,H121+IF(AND((E122="OK"),B122="Hunt"),(IF(B122="Hunt",(('Rules &amp; Formulas'!B4*N121*('Rules &amp; Formulas'!B5+O121)*IFERROR(VLOOKUP(C122,Monsters!$T$4:$AH$15,10,FALSE),0)*IFERROR(VLOOKUP(C122,Monsters!$T$4:$AH$15,9,FALSE),0))*'Rules &amp; Formulas'!B6)*IF(D122="",0,D122),0))*(IFERROR(VLOOKUP(C122,Monsters!$T$4:$AH$15,3,FALSE),0))*(1+0.1*AH121)+(IF(OR(B122&lt;&gt;"Hunt",IFERROR(VLOOKUP(C122,Monsters!$T$4:$AH$15,6,FALSE),0)=0),0,FLOOR((IF(B122="Hunt",(('Rules &amp; Formulas'!B4*N121*('Rules &amp; Formulas'!B5+O121)*IFERROR(VLOOKUP(C122,Monsters!$T$4:$AH$15,10,FALSE),0)*IFERROR(VLOOKUP(C122,Monsters!$T$4:$AH$15,9,FALSE),0))*'Rules &amp; Formulas'!B6)*IF(D122="",0,D122),0))/MAX(1,IFERROR(VLOOKUP(C122,Monsters!$T$4:$AH$15,6,FALSE),0)),1)))*(IFERROR(VLOOKUP(C122,Monsters!$T$4:$AH$15,7,FALSE),0))*0.5*(1+0.1*AH121),0)+IF(AND((E122="OK"),B122="Go AFK"),(IF(B122="Go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AFK",IF(D122="",0,D122),0),Z121/60)*60)),0))*(IFERROR(VLOOKUP(C122,Monsters!$T$4:$AH$15,3,FALSE),0))*(1+0.1*AH121)+(IF(OR(B122&lt;&gt;"Go AFK",IFERROR(VLOOKUP(C122,Monsters!$T$4:$AH$15,6,FALSE),0)=0),0,FLOOR((IF(B122="Go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AFK",IF(D122="",0,D122),0),Z121/60)*60)),0))/MAX(1,IFERROR(VLOOKUP(C122,Monsters!$T$4:$AH$15,6,FALSE),0)),1)))*(IFERROR(VLOOKUP(C122,Monsters!$T$4:$AH$15,7,FALSE),0))*0.5*(1+0.1*AH121),0)+IF(AND((E122="OK"),B122="Fight boss",(IF((((105/'Rules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Formulas'!B12)),IFERROR(VLOOKUP(C122,Monsters!$T$4:$AH$15,3,FALSE),0),0)-IF(AND((E122="OK"),OR(B122="Buy upgrade",B122="Forge/Scrapwork buy"),IFERROR(VLOOKUP(C122,Upgrades!$N$4:$T$47,2,FALSE),0)="gold"),IFERROR(FLOOR(IFERROR(VLOOKUP(C122,Upgrades!$N$4:$T$47,3,FALSE),0)*(IFERROR(VLOOKUP(C122,Upgrades!$N$4:$T$47,4,FALSE),0)^(COUNTIFS($B$3:$B121,"Buy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buy",$C$3:$C121,C122))),1),0),0)-IF(AND((E122="OK"),B122="Hire hunter"),IF(C122="Briar",140,IF(C122="Quill",3650,IF(C122="Moss",4850,IF(C122="Ember",12200,0)))),0))</f>
        <v/>
      </c>
      <c r="I122" s="7">
        <f>IF(AND((E122="OK"),B122="Fight boss",(IF((((105/'Rules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Formulas'!B12)),0,MIN(IF(G121&lt;=1,120,IF(G121=2,280,600)),I121+IF(AND((E122="OK"),B122="Hunt"),((IF(B122="Hunt",(('Rules &amp; Formulas'!B4*N121*('Rules &amp; Formulas'!B5+O121)*IFERROR(VLOOKUP(C122,Monsters!$T$4:$AH$15,10,FALSE),0)*IFERROR(VLOOKUP(C122,Monsters!$T$4:$AH$15,9,FALSE),0))*'Rules &amp; Formulas'!B6)*IF(D122="",0,D122),0))*(IFERROR(VLOOKUP(C122,Monsters!$T$4:$AH$15,4,FALSE),0))+(IF(OR(B122&lt;&gt;"Hunt",IFERROR(VLOOKUP(C122,Monsters!$T$4:$AH$15,6,FALSE),0)=0),0,FLOOR((IF(B122="Hunt",(('Rules &amp; Formulas'!B4*N121*('Rules &amp; Formulas'!B5+O121)*IFERROR(VLOOKUP(C122,Monsters!$T$4:$AH$15,10,FALSE),0)*IFERROR(VLOOKUP(C122,Monsters!$T$4:$AH$15,9,FALSE),0))*'Rules &amp; Formulas'!B6)*IF(D122="",0,D122),0))/MAX(1,IFERROR(VLOOKUP(C122,Monsters!$T$4:$AH$15,6,FALSE),0)),1)))*(IFERROR(VLOOKUP(C122,Monsters!$T$4:$AH$15,7,FALSE),0))),0)+IF(AND((E122="OK"),B122="Go AFK"),((IF(B122="Go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AFK",IF(D122="",0,D122),0),Z121/60)*60)),0))*(IFERROR(VLOOKUP(C122,Monsters!$T$4:$AH$15,4,FALSE),0))+(IF(OR(B122&lt;&gt;"Go AFK",IFERROR(VLOOKUP(C122,Monsters!$T$4:$AH$15,6,FALSE),0)=0),0,FLOOR((IF(B122="Go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AFK",IF(D122="",0,D122),0),Z121/60)*60)),0))/MAX(1,IFERROR(VLOOKUP(C122,Monsters!$T$4:$AH$15,6,FALSE),0)),1)))*(IFERROR(VLOOKUP(C122,Monsters!$T$4:$AH$15,7,FALSE),0))),0)))</f>
        <v/>
      </c>
      <c r="J122" s="7">
        <f>MAX(0,J121+IF(AND((E122="OK"),B122="Hunt"),(IF(B122="Hunt",(('Rules &amp; Formulas'!B4*N121*('Rules &amp; Formulas'!B5+O121)*IFERROR(VLOOKUP(C122,Monsters!$T$4:$AH$15,10,FALSE),0)*IFERROR(VLOOKUP(C122,Monsters!$T$4:$AH$15,9,FALSE),0))*'Rules &amp; Formulas'!B6)*IF(D122="",0,D122),0))*(IFERROR(VLOOKUP(C122,Monsters!$T$4:$AH$15,5,FALSE),0)),0)+IF(AND((E122="OK"),B122="Go AFK"),(IF(B122="Go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AFK",IF(D122="",0,D122),0),Z121/60)*60)),0))*(IFERROR(VLOOKUP(C122,Monsters!$T$4:$AH$15,5,FALSE),0)),0)-IF(AND((E122="OK"),OR(B122="Buy upgrade",B122="Forge/Scrapwork buy"),IFERROR(VLOOKUP(C122,Upgrades!$N$4:$T$47,2,FALSE),0)="scraps"),IFERROR(FLOOR(IFERROR(VLOOKUP(C122,Upgrades!$N$4:$T$47,3,FALSE),0)*(IFERROR(VLOOKUP(C122,Upgrades!$N$4:$T$47,4,FALSE),0)^(COUNTIFS($B$3:$B121,"Buy upgrade",$C$3:$C121,C122)+COUNTIFS($B$3:$B121,"Hire hunter",$C$3:$C121,C122)+COUNTIFS($B$3:$B121,"Forge/Scrapwork buy",$C$3:$C121,C122))),1),0),0))</f>
        <v/>
      </c>
      <c r="K122" s="7">
        <f>MAX(0,K121+IF(AND((E122="OK"),B122="Hunt"),IF(C122="Thornpelt Bear",(IF(B122="Hunt",(('Rules &amp; Formulas'!B4*N121*('Rules &amp; Formulas'!B5+O121)*IFERROR(VLOOKUP(C122,Monsters!$T$4:$AH$15,10,FALSE),0)*IFERROR(VLOOKUP(C122,Monsters!$T$4:$AH$15,9,FALSE),0))*'Rules &amp; Formulas'!B6)*IF(D122="",0,D122),0))*0.12,0),0)+IF(AND((E122="OK"),B122="Go AFK"),IF(C122="Thornpelt Bear",(IF(B122="Go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AFK",IF(D122="",0,D122),0),Z121/60)*60)),0))*0.12,0),0))</f>
        <v/>
      </c>
      <c r="L122" s="7">
        <f>MAX(0,L121+IF(AND((E122="OK"),B122="Hunt"),IF(C122="Dire Thornpelt",(IF(B122="Hunt",(('Rules &amp; Formulas'!B4*N121*('Rules &amp; Formulas'!B5+O121)*IFERROR(VLOOKUP(C122,Monsters!$T$4:$AH$15,10,FALSE),0)*IFERROR(VLOOKUP(C122,Monsters!$T$4:$AH$15,9,FALSE),0))*'Rules &amp; Formulas'!B6)*IF(D122="",0,D122),0))*0.1,0),0)+IF(AND((E122="OK"),B122="Go AFK"),IF(C122="Dire Thornpelt",(IF(B122="Go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AFK",IF(D122="",0,D122),0),Z121/60)*60)),0))*0.1,0),0))</f>
        <v/>
      </c>
      <c r="M122" s="7">
        <f>IF(AND((E122="OK"),B122="Go AFK"),MAX(0,MIN(('Rules &amp; Formulas'!B15+25*AJ121),M121+('Rules &amp; Formulas'!B14+0.4*AJ121)*(MIN(IF(B122="Go AFK",IF(D122="",0,D122),0),Z121/60)*60))-(IF(B122="Go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AFK",IF(D122="",0,D122),0),Z121/60)*60)),0))*(IF((IFERROR(VLOOKUP(C122,Monsters!$T$4:$AH$15,8,FALSE),0))=0,0.35,IFERROR(VLOOKUP(C122,Monsters!$T$4:$AH$15,8,FALSE),0))/(1+0.08*AK121))),MIN(('Rules &amp; Formulas'!B15+25*AJ122),M121))</f>
        <v/>
      </c>
      <c r="N122" s="7">
        <f>(1+0.08+0.12*AA122+0.12*AB122+0.16*AC122)</f>
        <v/>
      </c>
      <c r="O122" s="7">
        <f>((AD122&gt;=1)*1*(1+0.3*AE122))</f>
        <v/>
      </c>
      <c r="P122" s="7">
        <f>IF(OR(B122="Hunt",B122="Go AFK"),(('Rules &amp; Formulas'!B4*N121*('Rules &amp; Formulas'!B5+O121)*IFERROR(VLOOKUP(C122,Monsters!$T$4:$AH$15,10,FALSE),0)*IFERROR(VLOOKUP(C122,Monsters!$T$4:$AH$15,9,FALSE),0))*'Rules &amp; Formulas'!B6),"")</f>
        <v/>
      </c>
      <c r="Q122" s="7">
        <f>IF(OR(B122="Hunt",B122="Go AFK"),('Rules &amp; Formulas'!B4*N121*('Rules &amp; Formulas'!B5+O121)*IFERROR(VLOOKUP(C122,Monsters!$T$4:$AH$15,10,FALSE),0)*IFERROR(VLOOKUP(C122,Monsters!$T$4:$AH$15,9,FALSE),0)),"")</f>
        <v/>
      </c>
      <c r="R122" s="7">
        <f>IF(AND((E122="OK"),B122="Hunt"),IF(B122="Hunt",(('Rules &amp; Formulas'!B4*N121*('Rules &amp; Formulas'!B5+O121)*IFERROR(VLOOKUP(C122,Monsters!$T$4:$AH$15,10,FALSE),0)*IFERROR(VLOOKUP(C122,Monsters!$T$4:$AH$15,9,FALSE),0))*'Rules &amp; Formulas'!B6)*IF(D122="",0,D122),0),IF(AND((E122="OK"),B122="Go AFK"),IF(B122="Go AFK",MIN(IF((IF((IFERROR(VLOOKUP(C122,Monsters!$T$4:$AH$15,8,FALSE),0))=0,0.35,IFERROR(VLOOKUP(C122,Monsters!$T$4:$AH$15,8,FALSE),0))/(1+0.08*AK121))&lt;=0,999999,FLOOR(MIN(('Rules &amp; Formulas'!B15+25*AJ121),M121+('Rules &amp; Formulas'!B14+0.4*AJ121)*(MIN(IF(B122="Go AFK",IF(D122="",0,D122),0),Z121/60)*60))/(IF((IFERROR(VLOOKUP(C122,Monsters!$T$4:$AH$15,8,FALSE),0))=0,0.35,IFERROR(VLOOKUP(C122,Monsters!$T$4:$AH$15,8,FALSE),0))/(1+0.08*AK121)),1)),('Rules &amp; Formulas'!B4*N121*('Rules &amp; Formulas'!B5+O121)*IFERROR(VLOOKUP(C122,Monsters!$T$4:$AH$15,10,FALSE),0)*IFERROR(VLOOKUP(C122,Monsters!$T$4:$AH$15,9,FALSE),0))*(MIN(IF(B122="Go AFK",IF(D122="",0,D122),0),Z121/60)*60)),0),0))</f>
        <v/>
      </c>
      <c r="S122" s="7">
        <f>(105/'Rules &amp; Formulas'!B10)*'Rules &amp; Formulas'!B11</f>
        <v/>
      </c>
      <c r="T122" s="7">
        <f>IF(AD121&gt;=1,(MAX(1,ROUND('Rules &amp; Formulas'!B18*(1+0.3*AE121)*(1+0.4*AF121),0)))*(1000/'Rules &amp; Formulas'!B19)*MIN(0.95,'Rules &amp; Formulas'!B20*SQRT(1+0.55*(AG121&gt;=1))),0)</f>
        <v/>
      </c>
      <c r="U122" s="7">
        <f>S122+T122</f>
        <v/>
      </c>
      <c r="V122" s="7">
        <f>IF(I121&gt;=IF((IFERROR(VLOOKUP(C122,Monsters!$T$4:$AH$15,15,FALSE),0))=0,120,IFERROR(VLOOKUP(C122,Monsters!$T$4:$AH$15,15,FALSE),0)),"YES","no")</f>
        <v/>
      </c>
      <c r="W122" s="7">
        <f>IF(AND(B122="Fight boss",E122="OK"),IF((((105/'Rules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Formulas'!B20*SQRT(1+0.55*(AG121&gt;=1))),0)))),"")</f>
        <v/>
      </c>
      <c r="X122" s="7">
        <f>IF(AND(B122="Fight boss",E122="OK"),IF((IF((((105/'Rules &amp; Formulas'!B10)*'Rules &amp; Formulas'!B11+IF(AD121&gt;=1,(MAX(1,ROUND('Rules &amp; Formulas'!B18*(1+0.3*AE121)*(1+0.4*AF121),0)))*(1000/'Rules &amp; Formulas'!B19)*MIN(0.95,'Rules &amp; Formulas'!B20*SQRT(1+0.55*(AG121&gt;=1))),0)))&lt;=0,9999,(IFERROR(VLOOKUP(C122,Monsters!$T$4:$AH$15,2,FALSE),0))/(((105/'Rules &amp; Formulas'!B10)*'Rules &amp; Formulas'!B11+IF(AD121&gt;=1,(MAX(1,ROUND('Rules &amp; Formulas'!B18*(1+0.3*AE121)*(1+0.4*AF121),0)))*(1000/'Rules &amp; Formulas'!B19)*MIN(0.95,'Rules &amp; Formulas'!B20*SQRT(1+0.55*(AG121&gt;=1))),0))))&lt;='Rules &amp; Formulas'!B12),"WIN","LOSE"),"")</f>
        <v/>
      </c>
      <c r="Y122" s="7">
        <f>IF(B122="Go AFK",MIN(IF(B122="Go AFK",IF(D122="",0,D122),0),Z121/60),"")</f>
        <v/>
      </c>
      <c r="Z122" s="7">
        <f>('Rules &amp; Formulas'!B13+30*AI122)</f>
        <v/>
      </c>
      <c r="AA122">
        <f>COUNTIFS($B$3:$B122,"Buy upgrade",$C$3:$C122,"Idle Power")</f>
        <v/>
      </c>
      <c r="AB122">
        <f>COUNTIFS($B$3:$B122,"Buy upgrade",$C$3:$C122,"Iron Blade")</f>
        <v/>
      </c>
      <c r="AC122">
        <f>COUNTIFS($B$3:$B122,"Buy upgrade",$C$3:$C122,"Steel Blade")</f>
        <v/>
      </c>
      <c r="AD122">
        <f>COUNTIFS($B$3:$B122,"Hire hunter",$C$3:$C122,"Briar")+COUNTIFS($B$3:$B122,"Buy upgrade",$C$3:$C122,"Hire Briar")</f>
        <v/>
      </c>
      <c r="AE122">
        <f>COUNTIFS($B$3:$B122,"Buy upgrade",$C$3:$C122,"Hunter Power")</f>
        <v/>
      </c>
      <c r="AF122">
        <f>COUNTIFS($B$3:$B122,"Buy upgrade",$C$3:$C122,"Bigger Hits")</f>
        <v/>
      </c>
      <c r="AG122">
        <f>COUNTIFS($B$3:$B122,"Buy upgrade",$C$3:$C122,"Swift Walk")</f>
        <v/>
      </c>
      <c r="AH122">
        <f>COUNTIFS($B$3:$B122,"Buy upgrade",$C$3:$C122,"Loot Luck")</f>
        <v/>
      </c>
      <c r="AI122">
        <f>COUNTIFS($B$3:$B122,"Buy upgrade",$C$3:$C122,"Offline Cap")</f>
        <v/>
      </c>
      <c r="AJ122">
        <f>COUNTIFS($B$3:$B122,"Buy upgrade",$C$3:$C122,"Bigger Food Stock")</f>
        <v/>
      </c>
      <c r="AK122">
        <f>COUNTIFS($B$3:$B122,"Buy upgrade",$C$3:$C122,"Food Efficiency")</f>
        <v/>
      </c>
    </row>
    <row r="123">
      <c r="A123" t="n">
        <v>121</v>
      </c>
      <c r="B123" s="6" t="n"/>
      <c r="C123" s="6" t="n"/>
      <c r="D123" s="6" t="n"/>
      <c r="E123" s="7">
        <f>IF(B123="","",IF(OR(B123="Hunt",B123="Go AFK"),IF(C123="","Can't","OK"),IF(B123="Fight boss",IF(I122&lt;IF((IFERROR(VLOOKUP(C123,Monsters!$T$4:$AH$15,15,FALSE),0))=0,120,IFERROR(VLOOKUP(C123,Monsters!$T$4:$AH$15,15,FALSE),0)),"Can't","OK"),IF(B123="Hire hunter",IF(AND(C123="Briar",AD122&gt;=1),"Can't",IF(H122&lt;IF(C123="Briar",140,IF(C123="Quill",3650,IF(C123="Moss",4850,IF(C123="Ember",12200,0)))),"Can't","OK")),IF(OR(B123="Buy upgrade",B123="Forge/Scrapwork buy"),IF(IFERROR(VLOOKUP(C123,Upgrades!$N$4:$T$47,2,FALSE),0)="points","Can't",IF(IFERROR(VLOOKUP(C123,Upgrades!$N$4:$T$47,2,FALSE),0)="gold",IF(H122&lt;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buy",$C$3:$C122,C123))),1),0),"Can't","OK"),IF(IFERROR(VLOOKUP(C123,Upgrades!$N$4:$T$47,2,FALSE),0)="scraps",IF(J122&lt;IFERROR(FLOOR(IFERROR(VLOOKUP(C123,Upgrades!$N$4:$T$47,3,FALSE),0)*(IFERROR(VLOOKUP(C123,Upgrades!$N$4:$T$47,4,FALSE),0)^(COUNTIFS($B$3:$B122,"Buy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buy",$C$3:$C122,C123))),1),0),"Can't","OK"),IF(IFERROR(VLOOKUP(C123,Upgrades!$N$4:$T$47,2,FALSE),0)="mats","Can't","OK")))),"Check")))))</f>
        <v/>
      </c>
      <c r="F123" s="7">
        <f>IF(B123="","",IF(AND(B123="Fight boss",I122&lt;IF((IFERROR(VLOOKUP(C123,Monsters!$T$4:$AH$15,15,FALSE),0))=0,120,IFERROR(VLOOKUP(C123,Monsters!$T$4:$AH$15,15,FALSE),0))),"Can't — need "&amp;TEXT(IF((IFERROR(VLOOKUP(C123,Monsters!$T$4:$AH$15,15,FALSE),0))=0,120,IFERROR(VLOOKUP(C123,Monsters!$T$4:$AH$15,15,FALSE),0))-I122,"0.0")&amp;" more Slayer points on the meter",IF(AND(B123="Hire hunter",C123="Briar",AD122&gt;=1),"Can't — already hired",IF(AND(B123="Hire hunter",H122&lt;IF(C123="Briar",140,IF(C123="Quill",3650,IF(C123="Moss",4850,IF(C123="Ember",12200,0))))),"Can't — need "&amp;TEXT(IF(C123="Briar",140,IF(C123="Quill",3650,IF(C123="Moss",4850,IF(C123="Ember",12200,0))))-H122,"0")&amp;" more gold",IF(AND(OR(B123="Buy upgrade",B123="Forge/Scrapwork buy"),IFERROR(VLOOKUP(C123,Upgrades!$N$4:$T$47,2,FALSE),0)="points"),"Can't — Sp-wallet spends not tracked here",IF(AND(OR(B123="Buy upgrade",B123="Forge/Scrapwork buy"),IFERROR(VLOOKUP(C123,Upgrades!$N$4:$T$47,2,FALSE),0)="gold",H122&lt;IFERROR(FLOOR(IFERROR(VLOOKUP(C123,Upgrades!$N$4:$T$47,3,FALSE),0)*(IFERROR(VLOOKUP(C123,Upgrades!$N$4:$T$47,4,FALSE),0)^(COUNTIFS($B$3:$B122,"Buy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buy",$C$3:$C122,C123))),1),0)),"Can't — need "&amp;TEXT(IFERROR(FLOOR(IFERROR(VLOOKUP(C123,Upgrades!$N$4:$T$47,3,FALSE),0)*(IFERROR(VLOOKUP(C123,Upgrades!$N$4:$T$47,4,FALSE),0)^(COUNTIFS($B$3:$B122,"Buy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buy",$C$3:$C122,C123))),1),0)-H122,"0")&amp;" more gold",IF(AND(OR(B123="Buy upgrade",B123="Forge/Scrapwork buy"),IFERROR(VLOOKUP(C123,Upgrades!$N$4:$T$47,2,FALSE),0)="scraps",J122&lt;IFERROR(FLOOR(IFERROR(VLOOKUP(C123,Upgrades!$N$4:$T$47,3,FALSE),0)*(IFERROR(VLOOKUP(C123,Upgrades!$N$4:$T$47,4,FALSE),0)^(COUNTIFS($B$3:$B122,"Buy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buy",$C$3:$C122,C123))),1),0)),"Can't — need "&amp;TEXT(IFERROR(FLOOR(IFERROR(VLOOKUP(C123,Upgrades!$N$4:$T$47,3,FALSE),0)*(IFERROR(VLOOKUP(C123,Upgrades!$N$4:$T$47,4,FALSE),0)^(COUNTIFS($B$3:$B122,"Buy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buy",$C$3:$C122,C123))),1),0)-J122,"0")&amp;" more scraps",IF(AND(B123="Fight boss",E123="OK",(IF((((105/'Rules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Formulas'!B12)),"WIN — boss down, next Level unlocks",IF(AND(B123="Fight boss",E123="OK"),"LOSE — TTK "&amp;TEXT(IF((((105/'Rules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Formulas'!B20*SQRT(1+0.55*(AG122&gt;=1))),0)))),"0")&amp;"s &gt; patience "&amp;TEXT('Rules &amp; Formulas'!B12,"0")&amp;"s (leave resets HP)",IF(B123="Go AFK","AFK resolved (see AFK counted h)","Applied")))))))))</f>
        <v/>
      </c>
      <c r="G123" s="7">
        <f>IF(AND((E123="OK"),B123="Fight boss",(IF((((105/'Rules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Formulas'!B12),C123="Elder Thornpelt"),2,IF(AND((E123="OK"),B123="Fight boss",(IF((((105/'Rules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Formulas'!B12),C123="Ashfang Alpha"),3,G122))</f>
        <v/>
      </c>
      <c r="H123" s="7">
        <f>MAX(0,H122+IF(AND((E123="OK"),B123="Hunt"),(IF(B123="Hunt",(('Rules &amp; Formulas'!B4*N122*('Rules &amp; Formulas'!B5+O122)*IFERROR(VLOOKUP(C123,Monsters!$T$4:$AH$15,10,FALSE),0)*IFERROR(VLOOKUP(C123,Monsters!$T$4:$AH$15,9,FALSE),0))*'Rules &amp; Formulas'!B6)*IF(D123="",0,D123),0))*(IFERROR(VLOOKUP(C123,Monsters!$T$4:$AH$15,3,FALSE),0))*(1+0.1*AH122)+(IF(OR(B123&lt;&gt;"Hunt",IFERROR(VLOOKUP(C123,Monsters!$T$4:$AH$15,6,FALSE),0)=0),0,FLOOR((IF(B123="Hunt",(('Rules &amp; Formulas'!B4*N122*('Rules &amp; Formulas'!B5+O122)*IFERROR(VLOOKUP(C123,Monsters!$T$4:$AH$15,10,FALSE),0)*IFERROR(VLOOKUP(C123,Monsters!$T$4:$AH$15,9,FALSE),0))*'Rules &amp; Formulas'!B6)*IF(D123="",0,D123),0))/MAX(1,IFERROR(VLOOKUP(C123,Monsters!$T$4:$AH$15,6,FALSE),0)),1)))*(IFERROR(VLOOKUP(C123,Monsters!$T$4:$AH$15,7,FALSE),0))*0.5*(1+0.1*AH122),0)+IF(AND((E123="OK"),B123="Go AFK"),(IF(B123="Go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AFK",IF(D123="",0,D123),0),Z122/60)*60)),0))*(IFERROR(VLOOKUP(C123,Monsters!$T$4:$AH$15,3,FALSE),0))*(1+0.1*AH122)+(IF(OR(B123&lt;&gt;"Go AFK",IFERROR(VLOOKUP(C123,Monsters!$T$4:$AH$15,6,FALSE),0)=0),0,FLOOR((IF(B123="Go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AFK",IF(D123="",0,D123),0),Z122/60)*60)),0))/MAX(1,IFERROR(VLOOKUP(C123,Monsters!$T$4:$AH$15,6,FALSE),0)),1)))*(IFERROR(VLOOKUP(C123,Monsters!$T$4:$AH$15,7,FALSE),0))*0.5*(1+0.1*AH122),0)+IF(AND((E123="OK"),B123="Fight boss",(IF((((105/'Rules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Formulas'!B12)),IFERROR(VLOOKUP(C123,Monsters!$T$4:$AH$15,3,FALSE),0),0)-IF(AND((E123="OK"),OR(B123="Buy upgrade",B123="Forge/Scrapwork buy"),IFERROR(VLOOKUP(C123,Upgrades!$N$4:$T$47,2,FALSE),0)="gold"),IFERROR(FLOOR(IFERROR(VLOOKUP(C123,Upgrades!$N$4:$T$47,3,FALSE),0)*(IFERROR(VLOOKUP(C123,Upgrades!$N$4:$T$47,4,FALSE),0)^(COUNTIFS($B$3:$B122,"Buy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buy",$C$3:$C122,C123))),1),0),0)-IF(AND((E123="OK"),B123="Hire hunter"),IF(C123="Briar",140,IF(C123="Quill",3650,IF(C123="Moss",4850,IF(C123="Ember",12200,0)))),0))</f>
        <v/>
      </c>
      <c r="I123" s="7">
        <f>IF(AND((E123="OK"),B123="Fight boss",(IF((((105/'Rules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Formulas'!B12)),0,MIN(IF(G122&lt;=1,120,IF(G122=2,280,600)),I122+IF(AND((E123="OK"),B123="Hunt"),((IF(B123="Hunt",(('Rules &amp; Formulas'!B4*N122*('Rules &amp; Formulas'!B5+O122)*IFERROR(VLOOKUP(C123,Monsters!$T$4:$AH$15,10,FALSE),0)*IFERROR(VLOOKUP(C123,Monsters!$T$4:$AH$15,9,FALSE),0))*'Rules &amp; Formulas'!B6)*IF(D123="",0,D123),0))*(IFERROR(VLOOKUP(C123,Monsters!$T$4:$AH$15,4,FALSE),0))+(IF(OR(B123&lt;&gt;"Hunt",IFERROR(VLOOKUP(C123,Monsters!$T$4:$AH$15,6,FALSE),0)=0),0,FLOOR((IF(B123="Hunt",(('Rules &amp; Formulas'!B4*N122*('Rules &amp; Formulas'!B5+O122)*IFERROR(VLOOKUP(C123,Monsters!$T$4:$AH$15,10,FALSE),0)*IFERROR(VLOOKUP(C123,Monsters!$T$4:$AH$15,9,FALSE),0))*'Rules &amp; Formulas'!B6)*IF(D123="",0,D123),0))/MAX(1,IFERROR(VLOOKUP(C123,Monsters!$T$4:$AH$15,6,FALSE),0)),1)))*(IFERROR(VLOOKUP(C123,Monsters!$T$4:$AH$15,7,FALSE),0))),0)+IF(AND((E123="OK"),B123="Go AFK"),((IF(B123="Go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AFK",IF(D123="",0,D123),0),Z122/60)*60)),0))*(IFERROR(VLOOKUP(C123,Monsters!$T$4:$AH$15,4,FALSE),0))+(IF(OR(B123&lt;&gt;"Go AFK",IFERROR(VLOOKUP(C123,Monsters!$T$4:$AH$15,6,FALSE),0)=0),0,FLOOR((IF(B123="Go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AFK",IF(D123="",0,D123),0),Z122/60)*60)),0))/MAX(1,IFERROR(VLOOKUP(C123,Monsters!$T$4:$AH$15,6,FALSE),0)),1)))*(IFERROR(VLOOKUP(C123,Monsters!$T$4:$AH$15,7,FALSE),0))),0)))</f>
        <v/>
      </c>
      <c r="J123" s="7">
        <f>MAX(0,J122+IF(AND((E123="OK"),B123="Hunt"),(IF(B123="Hunt",(('Rules &amp; Formulas'!B4*N122*('Rules &amp; Formulas'!B5+O122)*IFERROR(VLOOKUP(C123,Monsters!$T$4:$AH$15,10,FALSE),0)*IFERROR(VLOOKUP(C123,Monsters!$T$4:$AH$15,9,FALSE),0))*'Rules &amp; Formulas'!B6)*IF(D123="",0,D123),0))*(IFERROR(VLOOKUP(C123,Monsters!$T$4:$AH$15,5,FALSE),0)),0)+IF(AND((E123="OK"),B123="Go AFK"),(IF(B123="Go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AFK",IF(D123="",0,D123),0),Z122/60)*60)),0))*(IFERROR(VLOOKUP(C123,Monsters!$T$4:$AH$15,5,FALSE),0)),0)-IF(AND((E123="OK"),OR(B123="Buy upgrade",B123="Forge/Scrapwork buy"),IFERROR(VLOOKUP(C123,Upgrades!$N$4:$T$47,2,FALSE),0)="scraps"),IFERROR(FLOOR(IFERROR(VLOOKUP(C123,Upgrades!$N$4:$T$47,3,FALSE),0)*(IFERROR(VLOOKUP(C123,Upgrades!$N$4:$T$47,4,FALSE),0)^(COUNTIFS($B$3:$B122,"Buy upgrade",$C$3:$C122,C123)+COUNTIFS($B$3:$B122,"Hire hunter",$C$3:$C122,C123)+COUNTIFS($B$3:$B122,"Forge/Scrapwork buy",$C$3:$C122,C123))),1),0),0))</f>
        <v/>
      </c>
      <c r="K123" s="7">
        <f>MAX(0,K122+IF(AND((E123="OK"),B123="Hunt"),IF(C123="Thornpelt Bear",(IF(B123="Hunt",(('Rules &amp; Formulas'!B4*N122*('Rules &amp; Formulas'!B5+O122)*IFERROR(VLOOKUP(C123,Monsters!$T$4:$AH$15,10,FALSE),0)*IFERROR(VLOOKUP(C123,Monsters!$T$4:$AH$15,9,FALSE),0))*'Rules &amp; Formulas'!B6)*IF(D123="",0,D123),0))*0.12,0),0)+IF(AND((E123="OK"),B123="Go AFK"),IF(C123="Thornpelt Bear",(IF(B123="Go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AFK",IF(D123="",0,D123),0),Z122/60)*60)),0))*0.12,0),0))</f>
        <v/>
      </c>
      <c r="L123" s="7">
        <f>MAX(0,L122+IF(AND((E123="OK"),B123="Hunt"),IF(C123="Dire Thornpelt",(IF(B123="Hunt",(('Rules &amp; Formulas'!B4*N122*('Rules &amp; Formulas'!B5+O122)*IFERROR(VLOOKUP(C123,Monsters!$T$4:$AH$15,10,FALSE),0)*IFERROR(VLOOKUP(C123,Monsters!$T$4:$AH$15,9,FALSE),0))*'Rules &amp; Formulas'!B6)*IF(D123="",0,D123),0))*0.1,0),0)+IF(AND((E123="OK"),B123="Go AFK"),IF(C123="Dire Thornpelt",(IF(B123="Go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AFK",IF(D123="",0,D123),0),Z122/60)*60)),0))*0.1,0),0))</f>
        <v/>
      </c>
      <c r="M123" s="7">
        <f>IF(AND((E123="OK"),B123="Go AFK"),MAX(0,MIN(('Rules &amp; Formulas'!B15+25*AJ122),M122+('Rules &amp; Formulas'!B14+0.4*AJ122)*(MIN(IF(B123="Go AFK",IF(D123="",0,D123),0),Z122/60)*60))-(IF(B123="Go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AFK",IF(D123="",0,D123),0),Z122/60)*60)),0))*(IF((IFERROR(VLOOKUP(C123,Monsters!$T$4:$AH$15,8,FALSE),0))=0,0.35,IFERROR(VLOOKUP(C123,Monsters!$T$4:$AH$15,8,FALSE),0))/(1+0.08*AK122))),MIN(('Rules &amp; Formulas'!B15+25*AJ123),M122))</f>
        <v/>
      </c>
      <c r="N123" s="7">
        <f>(1+0.08+0.12*AA123+0.12*AB123+0.16*AC123)</f>
        <v/>
      </c>
      <c r="O123" s="7">
        <f>((AD123&gt;=1)*1*(1+0.3*AE123))</f>
        <v/>
      </c>
      <c r="P123" s="7">
        <f>IF(OR(B123="Hunt",B123="Go AFK"),(('Rules &amp; Formulas'!B4*N122*('Rules &amp; Formulas'!B5+O122)*IFERROR(VLOOKUP(C123,Monsters!$T$4:$AH$15,10,FALSE),0)*IFERROR(VLOOKUP(C123,Monsters!$T$4:$AH$15,9,FALSE),0))*'Rules &amp; Formulas'!B6),"")</f>
        <v/>
      </c>
      <c r="Q123" s="7">
        <f>IF(OR(B123="Hunt",B123="Go AFK"),('Rules &amp; Formulas'!B4*N122*('Rules &amp; Formulas'!B5+O122)*IFERROR(VLOOKUP(C123,Monsters!$T$4:$AH$15,10,FALSE),0)*IFERROR(VLOOKUP(C123,Monsters!$T$4:$AH$15,9,FALSE),0)),"")</f>
        <v/>
      </c>
      <c r="R123" s="7">
        <f>IF(AND((E123="OK"),B123="Hunt"),IF(B123="Hunt",(('Rules &amp; Formulas'!B4*N122*('Rules &amp; Formulas'!B5+O122)*IFERROR(VLOOKUP(C123,Monsters!$T$4:$AH$15,10,FALSE),0)*IFERROR(VLOOKUP(C123,Monsters!$T$4:$AH$15,9,FALSE),0))*'Rules &amp; Formulas'!B6)*IF(D123="",0,D123),0),IF(AND((E123="OK"),B123="Go AFK"),IF(B123="Go AFK",MIN(IF((IF((IFERROR(VLOOKUP(C123,Monsters!$T$4:$AH$15,8,FALSE),0))=0,0.35,IFERROR(VLOOKUP(C123,Monsters!$T$4:$AH$15,8,FALSE),0))/(1+0.08*AK122))&lt;=0,999999,FLOOR(MIN(('Rules &amp; Formulas'!B15+25*AJ122),M122+('Rules &amp; Formulas'!B14+0.4*AJ122)*(MIN(IF(B123="Go AFK",IF(D123="",0,D123),0),Z122/60)*60))/(IF((IFERROR(VLOOKUP(C123,Monsters!$T$4:$AH$15,8,FALSE),0))=0,0.35,IFERROR(VLOOKUP(C123,Monsters!$T$4:$AH$15,8,FALSE),0))/(1+0.08*AK122)),1)),('Rules &amp; Formulas'!B4*N122*('Rules &amp; Formulas'!B5+O122)*IFERROR(VLOOKUP(C123,Monsters!$T$4:$AH$15,10,FALSE),0)*IFERROR(VLOOKUP(C123,Monsters!$T$4:$AH$15,9,FALSE),0))*(MIN(IF(B123="Go AFK",IF(D123="",0,D123),0),Z122/60)*60)),0),0))</f>
        <v/>
      </c>
      <c r="S123" s="7">
        <f>(105/'Rules &amp; Formulas'!B10)*'Rules &amp; Formulas'!B11</f>
        <v/>
      </c>
      <c r="T123" s="7">
        <f>IF(AD122&gt;=1,(MAX(1,ROUND('Rules &amp; Formulas'!B18*(1+0.3*AE122)*(1+0.4*AF122),0)))*(1000/'Rules &amp; Formulas'!B19)*MIN(0.95,'Rules &amp; Formulas'!B20*SQRT(1+0.55*(AG122&gt;=1))),0)</f>
        <v/>
      </c>
      <c r="U123" s="7">
        <f>S123+T123</f>
        <v/>
      </c>
      <c r="V123" s="7">
        <f>IF(I122&gt;=IF((IFERROR(VLOOKUP(C123,Monsters!$T$4:$AH$15,15,FALSE),0))=0,120,IFERROR(VLOOKUP(C123,Monsters!$T$4:$AH$15,15,FALSE),0)),"YES","no")</f>
        <v/>
      </c>
      <c r="W123" s="7">
        <f>IF(AND(B123="Fight boss",E123="OK"),IF((((105/'Rules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Formulas'!B20*SQRT(1+0.55*(AG122&gt;=1))),0)))),"")</f>
        <v/>
      </c>
      <c r="X123" s="7">
        <f>IF(AND(B123="Fight boss",E123="OK"),IF((IF((((105/'Rules &amp; Formulas'!B10)*'Rules &amp; Formulas'!B11+IF(AD122&gt;=1,(MAX(1,ROUND('Rules &amp; Formulas'!B18*(1+0.3*AE122)*(1+0.4*AF122),0)))*(1000/'Rules &amp; Formulas'!B19)*MIN(0.95,'Rules &amp; Formulas'!B20*SQRT(1+0.55*(AG122&gt;=1))),0)))&lt;=0,9999,(IFERROR(VLOOKUP(C123,Monsters!$T$4:$AH$15,2,FALSE),0))/(((105/'Rules &amp; Formulas'!B10)*'Rules &amp; Formulas'!B11+IF(AD122&gt;=1,(MAX(1,ROUND('Rules &amp; Formulas'!B18*(1+0.3*AE122)*(1+0.4*AF122),0)))*(1000/'Rules &amp; Formulas'!B19)*MIN(0.95,'Rules &amp; Formulas'!B20*SQRT(1+0.55*(AG122&gt;=1))),0))))&lt;='Rules &amp; Formulas'!B12),"WIN","LOSE"),"")</f>
        <v/>
      </c>
      <c r="Y123" s="7">
        <f>IF(B123="Go AFK",MIN(IF(B123="Go AFK",IF(D123="",0,D123),0),Z122/60),"")</f>
        <v/>
      </c>
      <c r="Z123" s="7">
        <f>('Rules &amp; Formulas'!B13+30*AI123)</f>
        <v/>
      </c>
      <c r="AA123">
        <f>COUNTIFS($B$3:$B123,"Buy upgrade",$C$3:$C123,"Idle Power")</f>
        <v/>
      </c>
      <c r="AB123">
        <f>COUNTIFS($B$3:$B123,"Buy upgrade",$C$3:$C123,"Iron Blade")</f>
        <v/>
      </c>
      <c r="AC123">
        <f>COUNTIFS($B$3:$B123,"Buy upgrade",$C$3:$C123,"Steel Blade")</f>
        <v/>
      </c>
      <c r="AD123">
        <f>COUNTIFS($B$3:$B123,"Hire hunter",$C$3:$C123,"Briar")+COUNTIFS($B$3:$B123,"Buy upgrade",$C$3:$C123,"Hire Briar")</f>
        <v/>
      </c>
      <c r="AE123">
        <f>COUNTIFS($B$3:$B123,"Buy upgrade",$C$3:$C123,"Hunter Power")</f>
        <v/>
      </c>
      <c r="AF123">
        <f>COUNTIFS($B$3:$B123,"Buy upgrade",$C$3:$C123,"Bigger Hits")</f>
        <v/>
      </c>
      <c r="AG123">
        <f>COUNTIFS($B$3:$B123,"Buy upgrade",$C$3:$C123,"Swift Walk")</f>
        <v/>
      </c>
      <c r="AH123">
        <f>COUNTIFS($B$3:$B123,"Buy upgrade",$C$3:$C123,"Loot Luck")</f>
        <v/>
      </c>
      <c r="AI123">
        <f>COUNTIFS($B$3:$B123,"Buy upgrade",$C$3:$C123,"Offline Cap")</f>
        <v/>
      </c>
      <c r="AJ123">
        <f>COUNTIFS($B$3:$B123,"Buy upgrade",$C$3:$C123,"Bigger Food Stock")</f>
        <v/>
      </c>
      <c r="AK123">
        <f>COUNTIFS($B$3:$B123,"Buy upgrade",$C$3:$C123,"Food Efficiency")</f>
        <v/>
      </c>
    </row>
    <row r="124">
      <c r="A124" t="n">
        <v>122</v>
      </c>
      <c r="B124" s="6" t="n"/>
      <c r="C124" s="6" t="n"/>
      <c r="D124" s="6" t="n"/>
      <c r="E124" s="7">
        <f>IF(B124="","",IF(OR(B124="Hunt",B124="Go AFK"),IF(C124="","Can't","OK"),IF(B124="Fight boss",IF(I123&lt;IF((IFERROR(VLOOKUP(C124,Monsters!$T$4:$AH$15,15,FALSE),0))=0,120,IFERROR(VLOOKUP(C124,Monsters!$T$4:$AH$15,15,FALSE),0)),"Can't","OK"),IF(B124="Hire hunter",IF(AND(C124="Briar",AD123&gt;=1),"Can't",IF(H123&lt;IF(C124="Briar",140,IF(C124="Quill",3650,IF(C124="Moss",4850,IF(C124="Ember",12200,0)))),"Can't","OK")),IF(OR(B124="Buy upgrade",B124="Forge/Scrapwork buy"),IF(IFERROR(VLOOKUP(C124,Upgrades!$N$4:$T$47,2,FALSE),0)="points","Can't",IF(IFERROR(VLOOKUP(C124,Upgrades!$N$4:$T$47,2,FALSE),0)="gold",IF(H123&lt;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buy",$C$3:$C123,C124))),1),0),"Can't","OK"),IF(IFERROR(VLOOKUP(C124,Upgrades!$N$4:$T$47,2,FALSE),0)="scraps",IF(J123&lt;IFERROR(FLOOR(IFERROR(VLOOKUP(C124,Upgrades!$N$4:$T$47,3,FALSE),0)*(IFERROR(VLOOKUP(C124,Upgrades!$N$4:$T$47,4,FALSE),0)^(COUNTIFS($B$3:$B123,"Buy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buy",$C$3:$C123,C124))),1),0),"Can't","OK"),IF(IFERROR(VLOOKUP(C124,Upgrades!$N$4:$T$47,2,FALSE),0)="mats","Can't","OK")))),"Check")))))</f>
        <v/>
      </c>
      <c r="F124" s="7">
        <f>IF(B124="","",IF(AND(B124="Fight boss",I123&lt;IF((IFERROR(VLOOKUP(C124,Monsters!$T$4:$AH$15,15,FALSE),0))=0,120,IFERROR(VLOOKUP(C124,Monsters!$T$4:$AH$15,15,FALSE),0))),"Can't — need "&amp;TEXT(IF((IFERROR(VLOOKUP(C124,Monsters!$T$4:$AH$15,15,FALSE),0))=0,120,IFERROR(VLOOKUP(C124,Monsters!$T$4:$AH$15,15,FALSE),0))-I123,"0.0")&amp;" more Slayer points on the meter",IF(AND(B124="Hire hunter",C124="Briar",AD123&gt;=1),"Can't — already hired",IF(AND(B124="Hire hunter",H123&lt;IF(C124="Briar",140,IF(C124="Quill",3650,IF(C124="Moss",4850,IF(C124="Ember",12200,0))))),"Can't — need "&amp;TEXT(IF(C124="Briar",140,IF(C124="Quill",3650,IF(C124="Moss",4850,IF(C124="Ember",12200,0))))-H123,"0")&amp;" more gold",IF(AND(OR(B124="Buy upgrade",B124="Forge/Scrapwork buy"),IFERROR(VLOOKUP(C124,Upgrades!$N$4:$T$47,2,FALSE),0)="points"),"Can't — Sp-wallet spends not tracked here",IF(AND(OR(B124="Buy upgrade",B124="Forge/Scrapwork buy"),IFERROR(VLOOKUP(C124,Upgrades!$N$4:$T$47,2,FALSE),0)="gold",H123&lt;IFERROR(FLOOR(IFERROR(VLOOKUP(C124,Upgrades!$N$4:$T$47,3,FALSE),0)*(IFERROR(VLOOKUP(C124,Upgrades!$N$4:$T$47,4,FALSE),0)^(COUNTIFS($B$3:$B123,"Buy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buy",$C$3:$C123,C124))),1),0)),"Can't — need "&amp;TEXT(IFERROR(FLOOR(IFERROR(VLOOKUP(C124,Upgrades!$N$4:$T$47,3,FALSE),0)*(IFERROR(VLOOKUP(C124,Upgrades!$N$4:$T$47,4,FALSE),0)^(COUNTIFS($B$3:$B123,"Buy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buy",$C$3:$C123,C124))),1),0)-H123,"0")&amp;" more gold",IF(AND(OR(B124="Buy upgrade",B124="Forge/Scrapwork buy"),IFERROR(VLOOKUP(C124,Upgrades!$N$4:$T$47,2,FALSE),0)="scraps",J123&lt;IFERROR(FLOOR(IFERROR(VLOOKUP(C124,Upgrades!$N$4:$T$47,3,FALSE),0)*(IFERROR(VLOOKUP(C124,Upgrades!$N$4:$T$47,4,FALSE),0)^(COUNTIFS($B$3:$B123,"Buy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buy",$C$3:$C123,C124))),1),0)),"Can't — need "&amp;TEXT(IFERROR(FLOOR(IFERROR(VLOOKUP(C124,Upgrades!$N$4:$T$47,3,FALSE),0)*(IFERROR(VLOOKUP(C124,Upgrades!$N$4:$T$47,4,FALSE),0)^(COUNTIFS($B$3:$B123,"Buy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buy",$C$3:$C123,C124))),1),0)-J123,"0")&amp;" more scraps",IF(AND(B124="Fight boss",E124="OK",(IF((((105/'Rules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Formulas'!B12)),"WIN — boss down, next Level unlocks",IF(AND(B124="Fight boss",E124="OK"),"LOSE — TTK "&amp;TEXT(IF((((105/'Rules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Formulas'!B20*SQRT(1+0.55*(AG123&gt;=1))),0)))),"0")&amp;"s &gt; patience "&amp;TEXT('Rules &amp; Formulas'!B12,"0")&amp;"s (leave resets HP)",IF(B124="Go AFK","AFK resolved (see AFK counted h)","Applied")))))))))</f>
        <v/>
      </c>
      <c r="G124" s="7">
        <f>IF(AND((E124="OK"),B124="Fight boss",(IF((((105/'Rules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Formulas'!B12),C124="Elder Thornpelt"),2,IF(AND((E124="OK"),B124="Fight boss",(IF((((105/'Rules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Formulas'!B12),C124="Ashfang Alpha"),3,G123))</f>
        <v/>
      </c>
      <c r="H124" s="7">
        <f>MAX(0,H123+IF(AND((E124="OK"),B124="Hunt"),(IF(B124="Hunt",(('Rules &amp; Formulas'!B4*N123*('Rules &amp; Formulas'!B5+O123)*IFERROR(VLOOKUP(C124,Monsters!$T$4:$AH$15,10,FALSE),0)*IFERROR(VLOOKUP(C124,Monsters!$T$4:$AH$15,9,FALSE),0))*'Rules &amp; Formulas'!B6)*IF(D124="",0,D124),0))*(IFERROR(VLOOKUP(C124,Monsters!$T$4:$AH$15,3,FALSE),0))*(1+0.1*AH123)+(IF(OR(B124&lt;&gt;"Hunt",IFERROR(VLOOKUP(C124,Monsters!$T$4:$AH$15,6,FALSE),0)=0),0,FLOOR((IF(B124="Hunt",(('Rules &amp; Formulas'!B4*N123*('Rules &amp; Formulas'!B5+O123)*IFERROR(VLOOKUP(C124,Monsters!$T$4:$AH$15,10,FALSE),0)*IFERROR(VLOOKUP(C124,Monsters!$T$4:$AH$15,9,FALSE),0))*'Rules &amp; Formulas'!B6)*IF(D124="",0,D124),0))/MAX(1,IFERROR(VLOOKUP(C124,Monsters!$T$4:$AH$15,6,FALSE),0)),1)))*(IFERROR(VLOOKUP(C124,Monsters!$T$4:$AH$15,7,FALSE),0))*0.5*(1+0.1*AH123),0)+IF(AND((E124="OK"),B124="Go AFK"),(IF(B124="Go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AFK",IF(D124="",0,D124),0),Z123/60)*60)),0))*(IFERROR(VLOOKUP(C124,Monsters!$T$4:$AH$15,3,FALSE),0))*(1+0.1*AH123)+(IF(OR(B124&lt;&gt;"Go AFK",IFERROR(VLOOKUP(C124,Monsters!$T$4:$AH$15,6,FALSE),0)=0),0,FLOOR((IF(B124="Go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AFK",IF(D124="",0,D124),0),Z123/60)*60)),0))/MAX(1,IFERROR(VLOOKUP(C124,Monsters!$T$4:$AH$15,6,FALSE),0)),1)))*(IFERROR(VLOOKUP(C124,Monsters!$T$4:$AH$15,7,FALSE),0))*0.5*(1+0.1*AH123),0)+IF(AND((E124="OK"),B124="Fight boss",(IF((((105/'Rules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Formulas'!B12)),IFERROR(VLOOKUP(C124,Monsters!$T$4:$AH$15,3,FALSE),0),0)-IF(AND((E124="OK"),OR(B124="Buy upgrade",B124="Forge/Scrapwork buy"),IFERROR(VLOOKUP(C124,Upgrades!$N$4:$T$47,2,FALSE),0)="gold"),IFERROR(FLOOR(IFERROR(VLOOKUP(C124,Upgrades!$N$4:$T$47,3,FALSE),0)*(IFERROR(VLOOKUP(C124,Upgrades!$N$4:$T$47,4,FALSE),0)^(COUNTIFS($B$3:$B123,"Buy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buy",$C$3:$C123,C124))),1),0),0)-IF(AND((E124="OK"),B124="Hire hunter"),IF(C124="Briar",140,IF(C124="Quill",3650,IF(C124="Moss",4850,IF(C124="Ember",12200,0)))),0))</f>
        <v/>
      </c>
      <c r="I124" s="7">
        <f>IF(AND((E124="OK"),B124="Fight boss",(IF((((105/'Rules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Formulas'!B12)),0,MIN(IF(G123&lt;=1,120,IF(G123=2,280,600)),I123+IF(AND((E124="OK"),B124="Hunt"),((IF(B124="Hunt",(('Rules &amp; Formulas'!B4*N123*('Rules &amp; Formulas'!B5+O123)*IFERROR(VLOOKUP(C124,Monsters!$T$4:$AH$15,10,FALSE),0)*IFERROR(VLOOKUP(C124,Monsters!$T$4:$AH$15,9,FALSE),0))*'Rules &amp; Formulas'!B6)*IF(D124="",0,D124),0))*(IFERROR(VLOOKUP(C124,Monsters!$T$4:$AH$15,4,FALSE),0))+(IF(OR(B124&lt;&gt;"Hunt",IFERROR(VLOOKUP(C124,Monsters!$T$4:$AH$15,6,FALSE),0)=0),0,FLOOR((IF(B124="Hunt",(('Rules &amp; Formulas'!B4*N123*('Rules &amp; Formulas'!B5+O123)*IFERROR(VLOOKUP(C124,Monsters!$T$4:$AH$15,10,FALSE),0)*IFERROR(VLOOKUP(C124,Monsters!$T$4:$AH$15,9,FALSE),0))*'Rules &amp; Formulas'!B6)*IF(D124="",0,D124),0))/MAX(1,IFERROR(VLOOKUP(C124,Monsters!$T$4:$AH$15,6,FALSE),0)),1)))*(IFERROR(VLOOKUP(C124,Monsters!$T$4:$AH$15,7,FALSE),0))),0)+IF(AND((E124="OK"),B124="Go AFK"),((IF(B124="Go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AFK",IF(D124="",0,D124),0),Z123/60)*60)),0))*(IFERROR(VLOOKUP(C124,Monsters!$T$4:$AH$15,4,FALSE),0))+(IF(OR(B124&lt;&gt;"Go AFK",IFERROR(VLOOKUP(C124,Monsters!$T$4:$AH$15,6,FALSE),0)=0),0,FLOOR((IF(B124="Go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AFK",IF(D124="",0,D124),0),Z123/60)*60)),0))/MAX(1,IFERROR(VLOOKUP(C124,Monsters!$T$4:$AH$15,6,FALSE),0)),1)))*(IFERROR(VLOOKUP(C124,Monsters!$T$4:$AH$15,7,FALSE),0))),0)))</f>
        <v/>
      </c>
      <c r="J124" s="7">
        <f>MAX(0,J123+IF(AND((E124="OK"),B124="Hunt"),(IF(B124="Hunt",(('Rules &amp; Formulas'!B4*N123*('Rules &amp; Formulas'!B5+O123)*IFERROR(VLOOKUP(C124,Monsters!$T$4:$AH$15,10,FALSE),0)*IFERROR(VLOOKUP(C124,Monsters!$T$4:$AH$15,9,FALSE),0))*'Rules &amp; Formulas'!B6)*IF(D124="",0,D124),0))*(IFERROR(VLOOKUP(C124,Monsters!$T$4:$AH$15,5,FALSE),0)),0)+IF(AND((E124="OK"),B124="Go AFK"),(IF(B124="Go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AFK",IF(D124="",0,D124),0),Z123/60)*60)),0))*(IFERROR(VLOOKUP(C124,Monsters!$T$4:$AH$15,5,FALSE),0)),0)-IF(AND((E124="OK"),OR(B124="Buy upgrade",B124="Forge/Scrapwork buy"),IFERROR(VLOOKUP(C124,Upgrades!$N$4:$T$47,2,FALSE),0)="scraps"),IFERROR(FLOOR(IFERROR(VLOOKUP(C124,Upgrades!$N$4:$T$47,3,FALSE),0)*(IFERROR(VLOOKUP(C124,Upgrades!$N$4:$T$47,4,FALSE),0)^(COUNTIFS($B$3:$B123,"Buy upgrade",$C$3:$C123,C124)+COUNTIFS($B$3:$B123,"Hire hunter",$C$3:$C123,C124)+COUNTIFS($B$3:$B123,"Forge/Scrapwork buy",$C$3:$C123,C124))),1),0),0))</f>
        <v/>
      </c>
      <c r="K124" s="7">
        <f>MAX(0,K123+IF(AND((E124="OK"),B124="Hunt"),IF(C124="Thornpelt Bear",(IF(B124="Hunt",(('Rules &amp; Formulas'!B4*N123*('Rules &amp; Formulas'!B5+O123)*IFERROR(VLOOKUP(C124,Monsters!$T$4:$AH$15,10,FALSE),0)*IFERROR(VLOOKUP(C124,Monsters!$T$4:$AH$15,9,FALSE),0))*'Rules &amp; Formulas'!B6)*IF(D124="",0,D124),0))*0.12,0),0)+IF(AND((E124="OK"),B124="Go AFK"),IF(C124="Thornpelt Bear",(IF(B124="Go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AFK",IF(D124="",0,D124),0),Z123/60)*60)),0))*0.12,0),0))</f>
        <v/>
      </c>
      <c r="L124" s="7">
        <f>MAX(0,L123+IF(AND((E124="OK"),B124="Hunt"),IF(C124="Dire Thornpelt",(IF(B124="Hunt",(('Rules &amp; Formulas'!B4*N123*('Rules &amp; Formulas'!B5+O123)*IFERROR(VLOOKUP(C124,Monsters!$T$4:$AH$15,10,FALSE),0)*IFERROR(VLOOKUP(C124,Monsters!$T$4:$AH$15,9,FALSE),0))*'Rules &amp; Formulas'!B6)*IF(D124="",0,D124),0))*0.1,0),0)+IF(AND((E124="OK"),B124="Go AFK"),IF(C124="Dire Thornpelt",(IF(B124="Go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AFK",IF(D124="",0,D124),0),Z123/60)*60)),0))*0.1,0),0))</f>
        <v/>
      </c>
      <c r="M124" s="7">
        <f>IF(AND((E124="OK"),B124="Go AFK"),MAX(0,MIN(('Rules &amp; Formulas'!B15+25*AJ123),M123+('Rules &amp; Formulas'!B14+0.4*AJ123)*(MIN(IF(B124="Go AFK",IF(D124="",0,D124),0),Z123/60)*60))-(IF(B124="Go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AFK",IF(D124="",0,D124),0),Z123/60)*60)),0))*(IF((IFERROR(VLOOKUP(C124,Monsters!$T$4:$AH$15,8,FALSE),0))=0,0.35,IFERROR(VLOOKUP(C124,Monsters!$T$4:$AH$15,8,FALSE),0))/(1+0.08*AK123))),MIN(('Rules &amp; Formulas'!B15+25*AJ124),M123))</f>
        <v/>
      </c>
      <c r="N124" s="7">
        <f>(1+0.08+0.12*AA124+0.12*AB124+0.16*AC124)</f>
        <v/>
      </c>
      <c r="O124" s="7">
        <f>((AD124&gt;=1)*1*(1+0.3*AE124))</f>
        <v/>
      </c>
      <c r="P124" s="7">
        <f>IF(OR(B124="Hunt",B124="Go AFK"),(('Rules &amp; Formulas'!B4*N123*('Rules &amp; Formulas'!B5+O123)*IFERROR(VLOOKUP(C124,Monsters!$T$4:$AH$15,10,FALSE),0)*IFERROR(VLOOKUP(C124,Monsters!$T$4:$AH$15,9,FALSE),0))*'Rules &amp; Formulas'!B6),"")</f>
        <v/>
      </c>
      <c r="Q124" s="7">
        <f>IF(OR(B124="Hunt",B124="Go AFK"),('Rules &amp; Formulas'!B4*N123*('Rules &amp; Formulas'!B5+O123)*IFERROR(VLOOKUP(C124,Monsters!$T$4:$AH$15,10,FALSE),0)*IFERROR(VLOOKUP(C124,Monsters!$T$4:$AH$15,9,FALSE),0)),"")</f>
        <v/>
      </c>
      <c r="R124" s="7">
        <f>IF(AND((E124="OK"),B124="Hunt"),IF(B124="Hunt",(('Rules &amp; Formulas'!B4*N123*('Rules &amp; Formulas'!B5+O123)*IFERROR(VLOOKUP(C124,Monsters!$T$4:$AH$15,10,FALSE),0)*IFERROR(VLOOKUP(C124,Monsters!$T$4:$AH$15,9,FALSE),0))*'Rules &amp; Formulas'!B6)*IF(D124="",0,D124),0),IF(AND((E124="OK"),B124="Go AFK"),IF(B124="Go AFK",MIN(IF((IF((IFERROR(VLOOKUP(C124,Monsters!$T$4:$AH$15,8,FALSE),0))=0,0.35,IFERROR(VLOOKUP(C124,Monsters!$T$4:$AH$15,8,FALSE),0))/(1+0.08*AK123))&lt;=0,999999,FLOOR(MIN(('Rules &amp; Formulas'!B15+25*AJ123),M123+('Rules &amp; Formulas'!B14+0.4*AJ123)*(MIN(IF(B124="Go AFK",IF(D124="",0,D124),0),Z123/60)*60))/(IF((IFERROR(VLOOKUP(C124,Monsters!$T$4:$AH$15,8,FALSE),0))=0,0.35,IFERROR(VLOOKUP(C124,Monsters!$T$4:$AH$15,8,FALSE),0))/(1+0.08*AK123)),1)),('Rules &amp; Formulas'!B4*N123*('Rules &amp; Formulas'!B5+O123)*IFERROR(VLOOKUP(C124,Monsters!$T$4:$AH$15,10,FALSE),0)*IFERROR(VLOOKUP(C124,Monsters!$T$4:$AH$15,9,FALSE),0))*(MIN(IF(B124="Go AFK",IF(D124="",0,D124),0),Z123/60)*60)),0),0))</f>
        <v/>
      </c>
      <c r="S124" s="7">
        <f>(105/'Rules &amp; Formulas'!B10)*'Rules &amp; Formulas'!B11</f>
        <v/>
      </c>
      <c r="T124" s="7">
        <f>IF(AD123&gt;=1,(MAX(1,ROUND('Rules &amp; Formulas'!B18*(1+0.3*AE123)*(1+0.4*AF123),0)))*(1000/'Rules &amp; Formulas'!B19)*MIN(0.95,'Rules &amp; Formulas'!B20*SQRT(1+0.55*(AG123&gt;=1))),0)</f>
        <v/>
      </c>
      <c r="U124" s="7">
        <f>S124+T124</f>
        <v/>
      </c>
      <c r="V124" s="7">
        <f>IF(I123&gt;=IF((IFERROR(VLOOKUP(C124,Monsters!$T$4:$AH$15,15,FALSE),0))=0,120,IFERROR(VLOOKUP(C124,Monsters!$T$4:$AH$15,15,FALSE),0)),"YES","no")</f>
        <v/>
      </c>
      <c r="W124" s="7">
        <f>IF(AND(B124="Fight boss",E124="OK"),IF((((105/'Rules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Formulas'!B20*SQRT(1+0.55*(AG123&gt;=1))),0)))),"")</f>
        <v/>
      </c>
      <c r="X124" s="7">
        <f>IF(AND(B124="Fight boss",E124="OK"),IF((IF((((105/'Rules &amp; Formulas'!B10)*'Rules &amp; Formulas'!B11+IF(AD123&gt;=1,(MAX(1,ROUND('Rules &amp; Formulas'!B18*(1+0.3*AE123)*(1+0.4*AF123),0)))*(1000/'Rules &amp; Formulas'!B19)*MIN(0.95,'Rules &amp; Formulas'!B20*SQRT(1+0.55*(AG123&gt;=1))),0)))&lt;=0,9999,(IFERROR(VLOOKUP(C124,Monsters!$T$4:$AH$15,2,FALSE),0))/(((105/'Rules &amp; Formulas'!B10)*'Rules &amp; Formulas'!B11+IF(AD123&gt;=1,(MAX(1,ROUND('Rules &amp; Formulas'!B18*(1+0.3*AE123)*(1+0.4*AF123),0)))*(1000/'Rules &amp; Formulas'!B19)*MIN(0.95,'Rules &amp; Formulas'!B20*SQRT(1+0.55*(AG123&gt;=1))),0))))&lt;='Rules &amp; Formulas'!B12),"WIN","LOSE"),"")</f>
        <v/>
      </c>
      <c r="Y124" s="7">
        <f>IF(B124="Go AFK",MIN(IF(B124="Go AFK",IF(D124="",0,D124),0),Z123/60),"")</f>
        <v/>
      </c>
      <c r="Z124" s="7">
        <f>('Rules &amp; Formulas'!B13+30*AI124)</f>
        <v/>
      </c>
      <c r="AA124">
        <f>COUNTIFS($B$3:$B124,"Buy upgrade",$C$3:$C124,"Idle Power")</f>
        <v/>
      </c>
      <c r="AB124">
        <f>COUNTIFS($B$3:$B124,"Buy upgrade",$C$3:$C124,"Iron Blade")</f>
        <v/>
      </c>
      <c r="AC124">
        <f>COUNTIFS($B$3:$B124,"Buy upgrade",$C$3:$C124,"Steel Blade")</f>
        <v/>
      </c>
      <c r="AD124">
        <f>COUNTIFS($B$3:$B124,"Hire hunter",$C$3:$C124,"Briar")+COUNTIFS($B$3:$B124,"Buy upgrade",$C$3:$C124,"Hire Briar")</f>
        <v/>
      </c>
      <c r="AE124">
        <f>COUNTIFS($B$3:$B124,"Buy upgrade",$C$3:$C124,"Hunter Power")</f>
        <v/>
      </c>
      <c r="AF124">
        <f>COUNTIFS($B$3:$B124,"Buy upgrade",$C$3:$C124,"Bigger Hits")</f>
        <v/>
      </c>
      <c r="AG124">
        <f>COUNTIFS($B$3:$B124,"Buy upgrade",$C$3:$C124,"Swift Walk")</f>
        <v/>
      </c>
      <c r="AH124">
        <f>COUNTIFS($B$3:$B124,"Buy upgrade",$C$3:$C124,"Loot Luck")</f>
        <v/>
      </c>
      <c r="AI124">
        <f>COUNTIFS($B$3:$B124,"Buy upgrade",$C$3:$C124,"Offline Cap")</f>
        <v/>
      </c>
      <c r="AJ124">
        <f>COUNTIFS($B$3:$B124,"Buy upgrade",$C$3:$C124,"Bigger Food Stock")</f>
        <v/>
      </c>
      <c r="AK124">
        <f>COUNTIFS($B$3:$B124,"Buy upgrade",$C$3:$C124,"Food Efficiency")</f>
        <v/>
      </c>
    </row>
    <row r="125">
      <c r="A125" t="n">
        <v>123</v>
      </c>
      <c r="B125" s="6" t="n"/>
      <c r="C125" s="6" t="n"/>
      <c r="D125" s="6" t="n"/>
      <c r="E125" s="7">
        <f>IF(B125="","",IF(OR(B125="Hunt",B125="Go AFK"),IF(C125="","Can't","OK"),IF(B125="Fight boss",IF(I124&lt;IF((IFERROR(VLOOKUP(C125,Monsters!$T$4:$AH$15,15,FALSE),0))=0,120,IFERROR(VLOOKUP(C125,Monsters!$T$4:$AH$15,15,FALSE),0)),"Can't","OK"),IF(B125="Hire hunter",IF(AND(C125="Briar",AD124&gt;=1),"Can't",IF(H124&lt;IF(C125="Briar",140,IF(C125="Quill",3650,IF(C125="Moss",4850,IF(C125="Ember",12200,0)))),"Can't","OK")),IF(OR(B125="Buy upgrade",B125="Forge/Scrapwork buy"),IF(IFERROR(VLOOKUP(C125,Upgrades!$N$4:$T$47,2,FALSE),0)="points","Can't",IF(IFERROR(VLOOKUP(C125,Upgrades!$N$4:$T$47,2,FALSE),0)="gold",IF(H124&lt;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buy",$C$3:$C124,C125))),1),0),"Can't","OK"),IF(IFERROR(VLOOKUP(C125,Upgrades!$N$4:$T$47,2,FALSE),0)="scraps",IF(J124&lt;IFERROR(FLOOR(IFERROR(VLOOKUP(C125,Upgrades!$N$4:$T$47,3,FALSE),0)*(IFERROR(VLOOKUP(C125,Upgrades!$N$4:$T$47,4,FALSE),0)^(COUNTIFS($B$3:$B124,"Buy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buy",$C$3:$C124,C125))),1),0),"Can't","OK"),IF(IFERROR(VLOOKUP(C125,Upgrades!$N$4:$T$47,2,FALSE),0)="mats","Can't","OK")))),"Check")))))</f>
        <v/>
      </c>
      <c r="F125" s="7">
        <f>IF(B125="","",IF(AND(B125="Fight boss",I124&lt;IF((IFERROR(VLOOKUP(C125,Monsters!$T$4:$AH$15,15,FALSE),0))=0,120,IFERROR(VLOOKUP(C125,Monsters!$T$4:$AH$15,15,FALSE),0))),"Can't — need "&amp;TEXT(IF((IFERROR(VLOOKUP(C125,Monsters!$T$4:$AH$15,15,FALSE),0))=0,120,IFERROR(VLOOKUP(C125,Monsters!$T$4:$AH$15,15,FALSE),0))-I124,"0.0")&amp;" more Slayer points on the meter",IF(AND(B125="Hire hunter",C125="Briar",AD124&gt;=1),"Can't — already hired",IF(AND(B125="Hire hunter",H124&lt;IF(C125="Briar",140,IF(C125="Quill",3650,IF(C125="Moss",4850,IF(C125="Ember",12200,0))))),"Can't — need "&amp;TEXT(IF(C125="Briar",140,IF(C125="Quill",3650,IF(C125="Moss",4850,IF(C125="Ember",12200,0))))-H124,"0")&amp;" more gold",IF(AND(OR(B125="Buy upgrade",B125="Forge/Scrapwork buy"),IFERROR(VLOOKUP(C125,Upgrades!$N$4:$T$47,2,FALSE),0)="points"),"Can't — Sp-wallet spends not tracked here",IF(AND(OR(B125="Buy upgrade",B125="Forge/Scrapwork buy"),IFERROR(VLOOKUP(C125,Upgrades!$N$4:$T$47,2,FALSE),0)="gold",H124&lt;IFERROR(FLOOR(IFERROR(VLOOKUP(C125,Upgrades!$N$4:$T$47,3,FALSE),0)*(IFERROR(VLOOKUP(C125,Upgrades!$N$4:$T$47,4,FALSE),0)^(COUNTIFS($B$3:$B124,"Buy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buy",$C$3:$C124,C125))),1),0)),"Can't — need "&amp;TEXT(IFERROR(FLOOR(IFERROR(VLOOKUP(C125,Upgrades!$N$4:$T$47,3,FALSE),0)*(IFERROR(VLOOKUP(C125,Upgrades!$N$4:$T$47,4,FALSE),0)^(COUNTIFS($B$3:$B124,"Buy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buy",$C$3:$C124,C125))),1),0)-H124,"0")&amp;" more gold",IF(AND(OR(B125="Buy upgrade",B125="Forge/Scrapwork buy"),IFERROR(VLOOKUP(C125,Upgrades!$N$4:$T$47,2,FALSE),0)="scraps",J124&lt;IFERROR(FLOOR(IFERROR(VLOOKUP(C125,Upgrades!$N$4:$T$47,3,FALSE),0)*(IFERROR(VLOOKUP(C125,Upgrades!$N$4:$T$47,4,FALSE),0)^(COUNTIFS($B$3:$B124,"Buy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buy",$C$3:$C124,C125))),1),0)),"Can't — need "&amp;TEXT(IFERROR(FLOOR(IFERROR(VLOOKUP(C125,Upgrades!$N$4:$T$47,3,FALSE),0)*(IFERROR(VLOOKUP(C125,Upgrades!$N$4:$T$47,4,FALSE),0)^(COUNTIFS($B$3:$B124,"Buy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buy",$C$3:$C124,C125))),1),0)-J124,"0")&amp;" more scraps",IF(AND(B125="Fight boss",E125="OK",(IF((((105/'Rules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Formulas'!B12)),"WIN — boss down, next Level unlocks",IF(AND(B125="Fight boss",E125="OK"),"LOSE — TTK "&amp;TEXT(IF((((105/'Rules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Formulas'!B20*SQRT(1+0.55*(AG124&gt;=1))),0)))),"0")&amp;"s &gt; patience "&amp;TEXT('Rules &amp; Formulas'!B12,"0")&amp;"s (leave resets HP)",IF(B125="Go AFK","AFK resolved (see AFK counted h)","Applied")))))))))</f>
        <v/>
      </c>
      <c r="G125" s="7">
        <f>IF(AND((E125="OK"),B125="Fight boss",(IF((((105/'Rules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Formulas'!B12),C125="Elder Thornpelt"),2,IF(AND((E125="OK"),B125="Fight boss",(IF((((105/'Rules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Formulas'!B12),C125="Ashfang Alpha"),3,G124))</f>
        <v/>
      </c>
      <c r="H125" s="7">
        <f>MAX(0,H124+IF(AND((E125="OK"),B125="Hunt"),(IF(B125="Hunt",(('Rules &amp; Formulas'!B4*N124*('Rules &amp; Formulas'!B5+O124)*IFERROR(VLOOKUP(C125,Monsters!$T$4:$AH$15,10,FALSE),0)*IFERROR(VLOOKUP(C125,Monsters!$T$4:$AH$15,9,FALSE),0))*'Rules &amp; Formulas'!B6)*IF(D125="",0,D125),0))*(IFERROR(VLOOKUP(C125,Monsters!$T$4:$AH$15,3,FALSE),0))*(1+0.1*AH124)+(IF(OR(B125&lt;&gt;"Hunt",IFERROR(VLOOKUP(C125,Monsters!$T$4:$AH$15,6,FALSE),0)=0),0,FLOOR((IF(B125="Hunt",(('Rules &amp; Formulas'!B4*N124*('Rules &amp; Formulas'!B5+O124)*IFERROR(VLOOKUP(C125,Monsters!$T$4:$AH$15,10,FALSE),0)*IFERROR(VLOOKUP(C125,Monsters!$T$4:$AH$15,9,FALSE),0))*'Rules &amp; Formulas'!B6)*IF(D125="",0,D125),0))/MAX(1,IFERROR(VLOOKUP(C125,Monsters!$T$4:$AH$15,6,FALSE),0)),1)))*(IFERROR(VLOOKUP(C125,Monsters!$T$4:$AH$15,7,FALSE),0))*0.5*(1+0.1*AH124),0)+IF(AND((E125="OK"),B125="Go AFK"),(IF(B125="Go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AFK",IF(D125="",0,D125),0),Z124/60)*60)),0))*(IFERROR(VLOOKUP(C125,Monsters!$T$4:$AH$15,3,FALSE),0))*(1+0.1*AH124)+(IF(OR(B125&lt;&gt;"Go AFK",IFERROR(VLOOKUP(C125,Monsters!$T$4:$AH$15,6,FALSE),0)=0),0,FLOOR((IF(B125="Go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AFK",IF(D125="",0,D125),0),Z124/60)*60)),0))/MAX(1,IFERROR(VLOOKUP(C125,Monsters!$T$4:$AH$15,6,FALSE),0)),1)))*(IFERROR(VLOOKUP(C125,Monsters!$T$4:$AH$15,7,FALSE),0))*0.5*(1+0.1*AH124),0)+IF(AND((E125="OK"),B125="Fight boss",(IF((((105/'Rules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Formulas'!B12)),IFERROR(VLOOKUP(C125,Monsters!$T$4:$AH$15,3,FALSE),0),0)-IF(AND((E125="OK"),OR(B125="Buy upgrade",B125="Forge/Scrapwork buy"),IFERROR(VLOOKUP(C125,Upgrades!$N$4:$T$47,2,FALSE),0)="gold"),IFERROR(FLOOR(IFERROR(VLOOKUP(C125,Upgrades!$N$4:$T$47,3,FALSE),0)*(IFERROR(VLOOKUP(C125,Upgrades!$N$4:$T$47,4,FALSE),0)^(COUNTIFS($B$3:$B124,"Buy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buy",$C$3:$C124,C125))),1),0),0)-IF(AND((E125="OK"),B125="Hire hunter"),IF(C125="Briar",140,IF(C125="Quill",3650,IF(C125="Moss",4850,IF(C125="Ember",12200,0)))),0))</f>
        <v/>
      </c>
      <c r="I125" s="7">
        <f>IF(AND((E125="OK"),B125="Fight boss",(IF((((105/'Rules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Formulas'!B12)),0,MIN(IF(G124&lt;=1,120,IF(G124=2,280,600)),I124+IF(AND((E125="OK"),B125="Hunt"),((IF(B125="Hunt",(('Rules &amp; Formulas'!B4*N124*('Rules &amp; Formulas'!B5+O124)*IFERROR(VLOOKUP(C125,Monsters!$T$4:$AH$15,10,FALSE),0)*IFERROR(VLOOKUP(C125,Monsters!$T$4:$AH$15,9,FALSE),0))*'Rules &amp; Formulas'!B6)*IF(D125="",0,D125),0))*(IFERROR(VLOOKUP(C125,Monsters!$T$4:$AH$15,4,FALSE),0))+(IF(OR(B125&lt;&gt;"Hunt",IFERROR(VLOOKUP(C125,Monsters!$T$4:$AH$15,6,FALSE),0)=0),0,FLOOR((IF(B125="Hunt",(('Rules &amp; Formulas'!B4*N124*('Rules &amp; Formulas'!B5+O124)*IFERROR(VLOOKUP(C125,Monsters!$T$4:$AH$15,10,FALSE),0)*IFERROR(VLOOKUP(C125,Monsters!$T$4:$AH$15,9,FALSE),0))*'Rules &amp; Formulas'!B6)*IF(D125="",0,D125),0))/MAX(1,IFERROR(VLOOKUP(C125,Monsters!$T$4:$AH$15,6,FALSE),0)),1)))*(IFERROR(VLOOKUP(C125,Monsters!$T$4:$AH$15,7,FALSE),0))),0)+IF(AND((E125="OK"),B125="Go AFK"),((IF(B125="Go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AFK",IF(D125="",0,D125),0),Z124/60)*60)),0))*(IFERROR(VLOOKUP(C125,Monsters!$T$4:$AH$15,4,FALSE),0))+(IF(OR(B125&lt;&gt;"Go AFK",IFERROR(VLOOKUP(C125,Monsters!$T$4:$AH$15,6,FALSE),0)=0),0,FLOOR((IF(B125="Go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AFK",IF(D125="",0,D125),0),Z124/60)*60)),0))/MAX(1,IFERROR(VLOOKUP(C125,Monsters!$T$4:$AH$15,6,FALSE),0)),1)))*(IFERROR(VLOOKUP(C125,Monsters!$T$4:$AH$15,7,FALSE),0))),0)))</f>
        <v/>
      </c>
      <c r="J125" s="7">
        <f>MAX(0,J124+IF(AND((E125="OK"),B125="Hunt"),(IF(B125="Hunt",(('Rules &amp; Formulas'!B4*N124*('Rules &amp; Formulas'!B5+O124)*IFERROR(VLOOKUP(C125,Monsters!$T$4:$AH$15,10,FALSE),0)*IFERROR(VLOOKUP(C125,Monsters!$T$4:$AH$15,9,FALSE),0))*'Rules &amp; Formulas'!B6)*IF(D125="",0,D125),0))*(IFERROR(VLOOKUP(C125,Monsters!$T$4:$AH$15,5,FALSE),0)),0)+IF(AND((E125="OK"),B125="Go AFK"),(IF(B125="Go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AFK",IF(D125="",0,D125),0),Z124/60)*60)),0))*(IFERROR(VLOOKUP(C125,Monsters!$T$4:$AH$15,5,FALSE),0)),0)-IF(AND((E125="OK"),OR(B125="Buy upgrade",B125="Forge/Scrapwork buy"),IFERROR(VLOOKUP(C125,Upgrades!$N$4:$T$47,2,FALSE),0)="scraps"),IFERROR(FLOOR(IFERROR(VLOOKUP(C125,Upgrades!$N$4:$T$47,3,FALSE),0)*(IFERROR(VLOOKUP(C125,Upgrades!$N$4:$T$47,4,FALSE),0)^(COUNTIFS($B$3:$B124,"Buy upgrade",$C$3:$C124,C125)+COUNTIFS($B$3:$B124,"Hire hunter",$C$3:$C124,C125)+COUNTIFS($B$3:$B124,"Forge/Scrapwork buy",$C$3:$C124,C125))),1),0),0))</f>
        <v/>
      </c>
      <c r="K125" s="7">
        <f>MAX(0,K124+IF(AND((E125="OK"),B125="Hunt"),IF(C125="Thornpelt Bear",(IF(B125="Hunt",(('Rules &amp; Formulas'!B4*N124*('Rules &amp; Formulas'!B5+O124)*IFERROR(VLOOKUP(C125,Monsters!$T$4:$AH$15,10,FALSE),0)*IFERROR(VLOOKUP(C125,Monsters!$T$4:$AH$15,9,FALSE),0))*'Rules &amp; Formulas'!B6)*IF(D125="",0,D125),0))*0.12,0),0)+IF(AND((E125="OK"),B125="Go AFK"),IF(C125="Thornpelt Bear",(IF(B125="Go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AFK",IF(D125="",0,D125),0),Z124/60)*60)),0))*0.12,0),0))</f>
        <v/>
      </c>
      <c r="L125" s="7">
        <f>MAX(0,L124+IF(AND((E125="OK"),B125="Hunt"),IF(C125="Dire Thornpelt",(IF(B125="Hunt",(('Rules &amp; Formulas'!B4*N124*('Rules &amp; Formulas'!B5+O124)*IFERROR(VLOOKUP(C125,Monsters!$T$4:$AH$15,10,FALSE),0)*IFERROR(VLOOKUP(C125,Monsters!$T$4:$AH$15,9,FALSE),0))*'Rules &amp; Formulas'!B6)*IF(D125="",0,D125),0))*0.1,0),0)+IF(AND((E125="OK"),B125="Go AFK"),IF(C125="Dire Thornpelt",(IF(B125="Go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AFK",IF(D125="",0,D125),0),Z124/60)*60)),0))*0.1,0),0))</f>
        <v/>
      </c>
      <c r="M125" s="7">
        <f>IF(AND((E125="OK"),B125="Go AFK"),MAX(0,MIN(('Rules &amp; Formulas'!B15+25*AJ124),M124+('Rules &amp; Formulas'!B14+0.4*AJ124)*(MIN(IF(B125="Go AFK",IF(D125="",0,D125),0),Z124/60)*60))-(IF(B125="Go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AFK",IF(D125="",0,D125),0),Z124/60)*60)),0))*(IF((IFERROR(VLOOKUP(C125,Monsters!$T$4:$AH$15,8,FALSE),0))=0,0.35,IFERROR(VLOOKUP(C125,Monsters!$T$4:$AH$15,8,FALSE),0))/(1+0.08*AK124))),MIN(('Rules &amp; Formulas'!B15+25*AJ125),M124))</f>
        <v/>
      </c>
      <c r="N125" s="7">
        <f>(1+0.08+0.12*AA125+0.12*AB125+0.16*AC125)</f>
        <v/>
      </c>
      <c r="O125" s="7">
        <f>((AD125&gt;=1)*1*(1+0.3*AE125))</f>
        <v/>
      </c>
      <c r="P125" s="7">
        <f>IF(OR(B125="Hunt",B125="Go AFK"),(('Rules &amp; Formulas'!B4*N124*('Rules &amp; Formulas'!B5+O124)*IFERROR(VLOOKUP(C125,Monsters!$T$4:$AH$15,10,FALSE),0)*IFERROR(VLOOKUP(C125,Monsters!$T$4:$AH$15,9,FALSE),0))*'Rules &amp; Formulas'!B6),"")</f>
        <v/>
      </c>
      <c r="Q125" s="7">
        <f>IF(OR(B125="Hunt",B125="Go AFK"),('Rules &amp; Formulas'!B4*N124*('Rules &amp; Formulas'!B5+O124)*IFERROR(VLOOKUP(C125,Monsters!$T$4:$AH$15,10,FALSE),0)*IFERROR(VLOOKUP(C125,Monsters!$T$4:$AH$15,9,FALSE),0)),"")</f>
        <v/>
      </c>
      <c r="R125" s="7">
        <f>IF(AND((E125="OK"),B125="Hunt"),IF(B125="Hunt",(('Rules &amp; Formulas'!B4*N124*('Rules &amp; Formulas'!B5+O124)*IFERROR(VLOOKUP(C125,Monsters!$T$4:$AH$15,10,FALSE),0)*IFERROR(VLOOKUP(C125,Monsters!$T$4:$AH$15,9,FALSE),0))*'Rules &amp; Formulas'!B6)*IF(D125="",0,D125),0),IF(AND((E125="OK"),B125="Go AFK"),IF(B125="Go AFK",MIN(IF((IF((IFERROR(VLOOKUP(C125,Monsters!$T$4:$AH$15,8,FALSE),0))=0,0.35,IFERROR(VLOOKUP(C125,Monsters!$T$4:$AH$15,8,FALSE),0))/(1+0.08*AK124))&lt;=0,999999,FLOOR(MIN(('Rules &amp; Formulas'!B15+25*AJ124),M124+('Rules &amp; Formulas'!B14+0.4*AJ124)*(MIN(IF(B125="Go AFK",IF(D125="",0,D125),0),Z124/60)*60))/(IF((IFERROR(VLOOKUP(C125,Monsters!$T$4:$AH$15,8,FALSE),0))=0,0.35,IFERROR(VLOOKUP(C125,Monsters!$T$4:$AH$15,8,FALSE),0))/(1+0.08*AK124)),1)),('Rules &amp; Formulas'!B4*N124*('Rules &amp; Formulas'!B5+O124)*IFERROR(VLOOKUP(C125,Monsters!$T$4:$AH$15,10,FALSE),0)*IFERROR(VLOOKUP(C125,Monsters!$T$4:$AH$15,9,FALSE),0))*(MIN(IF(B125="Go AFK",IF(D125="",0,D125),0),Z124/60)*60)),0),0))</f>
        <v/>
      </c>
      <c r="S125" s="7">
        <f>(105/'Rules &amp; Formulas'!B10)*'Rules &amp; Formulas'!B11</f>
        <v/>
      </c>
      <c r="T125" s="7">
        <f>IF(AD124&gt;=1,(MAX(1,ROUND('Rules &amp; Formulas'!B18*(1+0.3*AE124)*(1+0.4*AF124),0)))*(1000/'Rules &amp; Formulas'!B19)*MIN(0.95,'Rules &amp; Formulas'!B20*SQRT(1+0.55*(AG124&gt;=1))),0)</f>
        <v/>
      </c>
      <c r="U125" s="7">
        <f>S125+T125</f>
        <v/>
      </c>
      <c r="V125" s="7">
        <f>IF(I124&gt;=IF((IFERROR(VLOOKUP(C125,Monsters!$T$4:$AH$15,15,FALSE),0))=0,120,IFERROR(VLOOKUP(C125,Monsters!$T$4:$AH$15,15,FALSE),0)),"YES","no")</f>
        <v/>
      </c>
      <c r="W125" s="7">
        <f>IF(AND(B125="Fight boss",E125="OK"),IF((((105/'Rules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Formulas'!B20*SQRT(1+0.55*(AG124&gt;=1))),0)))),"")</f>
        <v/>
      </c>
      <c r="X125" s="7">
        <f>IF(AND(B125="Fight boss",E125="OK"),IF((IF((((105/'Rules &amp; Formulas'!B10)*'Rules &amp; Formulas'!B11+IF(AD124&gt;=1,(MAX(1,ROUND('Rules &amp; Formulas'!B18*(1+0.3*AE124)*(1+0.4*AF124),0)))*(1000/'Rules &amp; Formulas'!B19)*MIN(0.95,'Rules &amp; Formulas'!B20*SQRT(1+0.55*(AG124&gt;=1))),0)))&lt;=0,9999,(IFERROR(VLOOKUP(C125,Monsters!$T$4:$AH$15,2,FALSE),0))/(((105/'Rules &amp; Formulas'!B10)*'Rules &amp; Formulas'!B11+IF(AD124&gt;=1,(MAX(1,ROUND('Rules &amp; Formulas'!B18*(1+0.3*AE124)*(1+0.4*AF124),0)))*(1000/'Rules &amp; Formulas'!B19)*MIN(0.95,'Rules &amp; Formulas'!B20*SQRT(1+0.55*(AG124&gt;=1))),0))))&lt;='Rules &amp; Formulas'!B12),"WIN","LOSE"),"")</f>
        <v/>
      </c>
      <c r="Y125" s="7">
        <f>IF(B125="Go AFK",MIN(IF(B125="Go AFK",IF(D125="",0,D125),0),Z124/60),"")</f>
        <v/>
      </c>
      <c r="Z125" s="7">
        <f>('Rules &amp; Formulas'!B13+30*AI125)</f>
        <v/>
      </c>
      <c r="AA125">
        <f>COUNTIFS($B$3:$B125,"Buy upgrade",$C$3:$C125,"Idle Power")</f>
        <v/>
      </c>
      <c r="AB125">
        <f>COUNTIFS($B$3:$B125,"Buy upgrade",$C$3:$C125,"Iron Blade")</f>
        <v/>
      </c>
      <c r="AC125">
        <f>COUNTIFS($B$3:$B125,"Buy upgrade",$C$3:$C125,"Steel Blade")</f>
        <v/>
      </c>
      <c r="AD125">
        <f>COUNTIFS($B$3:$B125,"Hire hunter",$C$3:$C125,"Briar")+COUNTIFS($B$3:$B125,"Buy upgrade",$C$3:$C125,"Hire Briar")</f>
        <v/>
      </c>
      <c r="AE125">
        <f>COUNTIFS($B$3:$B125,"Buy upgrade",$C$3:$C125,"Hunter Power")</f>
        <v/>
      </c>
      <c r="AF125">
        <f>COUNTIFS($B$3:$B125,"Buy upgrade",$C$3:$C125,"Bigger Hits")</f>
        <v/>
      </c>
      <c r="AG125">
        <f>COUNTIFS($B$3:$B125,"Buy upgrade",$C$3:$C125,"Swift Walk")</f>
        <v/>
      </c>
      <c r="AH125">
        <f>COUNTIFS($B$3:$B125,"Buy upgrade",$C$3:$C125,"Loot Luck")</f>
        <v/>
      </c>
      <c r="AI125">
        <f>COUNTIFS($B$3:$B125,"Buy upgrade",$C$3:$C125,"Offline Cap")</f>
        <v/>
      </c>
      <c r="AJ125">
        <f>COUNTIFS($B$3:$B125,"Buy upgrade",$C$3:$C125,"Bigger Food Stock")</f>
        <v/>
      </c>
      <c r="AK125">
        <f>COUNTIFS($B$3:$B125,"Buy upgrade",$C$3:$C125,"Food Efficiency")</f>
        <v/>
      </c>
    </row>
    <row r="126">
      <c r="A126" t="n">
        <v>124</v>
      </c>
      <c r="B126" s="6" t="n"/>
      <c r="C126" s="6" t="n"/>
      <c r="D126" s="6" t="n"/>
      <c r="E126" s="7">
        <f>IF(B126="","",IF(OR(B126="Hunt",B126="Go AFK"),IF(C126="","Can't","OK"),IF(B126="Fight boss",IF(I125&lt;IF((IFERROR(VLOOKUP(C126,Monsters!$T$4:$AH$15,15,FALSE),0))=0,120,IFERROR(VLOOKUP(C126,Monsters!$T$4:$AH$15,15,FALSE),0)),"Can't","OK"),IF(B126="Hire hunter",IF(AND(C126="Briar",AD125&gt;=1),"Can't",IF(H125&lt;IF(C126="Briar",140,IF(C126="Quill",3650,IF(C126="Moss",4850,IF(C126="Ember",12200,0)))),"Can't","OK")),IF(OR(B126="Buy upgrade",B126="Forge/Scrapwork buy"),IF(IFERROR(VLOOKUP(C126,Upgrades!$N$4:$T$47,2,FALSE),0)="points","Can't",IF(IFERROR(VLOOKUP(C126,Upgrades!$N$4:$T$47,2,FALSE),0)="gold",IF(H125&lt;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buy",$C$3:$C125,C126))),1),0),"Can't","OK"),IF(IFERROR(VLOOKUP(C126,Upgrades!$N$4:$T$47,2,FALSE),0)="scraps",IF(J125&lt;IFERROR(FLOOR(IFERROR(VLOOKUP(C126,Upgrades!$N$4:$T$47,3,FALSE),0)*(IFERROR(VLOOKUP(C126,Upgrades!$N$4:$T$47,4,FALSE),0)^(COUNTIFS($B$3:$B125,"Buy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buy",$C$3:$C125,C126))),1),0),"Can't","OK"),IF(IFERROR(VLOOKUP(C126,Upgrades!$N$4:$T$47,2,FALSE),0)="mats","Can't","OK")))),"Check")))))</f>
        <v/>
      </c>
      <c r="F126" s="7">
        <f>IF(B126="","",IF(AND(B126="Fight boss",I125&lt;IF((IFERROR(VLOOKUP(C126,Monsters!$T$4:$AH$15,15,FALSE),0))=0,120,IFERROR(VLOOKUP(C126,Monsters!$T$4:$AH$15,15,FALSE),0))),"Can't — need "&amp;TEXT(IF((IFERROR(VLOOKUP(C126,Monsters!$T$4:$AH$15,15,FALSE),0))=0,120,IFERROR(VLOOKUP(C126,Monsters!$T$4:$AH$15,15,FALSE),0))-I125,"0.0")&amp;" more Slayer points on the meter",IF(AND(B126="Hire hunter",C126="Briar",AD125&gt;=1),"Can't — already hired",IF(AND(B126="Hire hunter",H125&lt;IF(C126="Briar",140,IF(C126="Quill",3650,IF(C126="Moss",4850,IF(C126="Ember",12200,0))))),"Can't — need "&amp;TEXT(IF(C126="Briar",140,IF(C126="Quill",3650,IF(C126="Moss",4850,IF(C126="Ember",12200,0))))-H125,"0")&amp;" more gold",IF(AND(OR(B126="Buy upgrade",B126="Forge/Scrapwork buy"),IFERROR(VLOOKUP(C126,Upgrades!$N$4:$T$47,2,FALSE),0)="points"),"Can't — Sp-wallet spends not tracked here",IF(AND(OR(B126="Buy upgrade",B126="Forge/Scrapwork buy"),IFERROR(VLOOKUP(C126,Upgrades!$N$4:$T$47,2,FALSE),0)="gold",H125&lt;IFERROR(FLOOR(IFERROR(VLOOKUP(C126,Upgrades!$N$4:$T$47,3,FALSE),0)*(IFERROR(VLOOKUP(C126,Upgrades!$N$4:$T$47,4,FALSE),0)^(COUNTIFS($B$3:$B125,"Buy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buy",$C$3:$C125,C126))),1),0)),"Can't — need "&amp;TEXT(IFERROR(FLOOR(IFERROR(VLOOKUP(C126,Upgrades!$N$4:$T$47,3,FALSE),0)*(IFERROR(VLOOKUP(C126,Upgrades!$N$4:$T$47,4,FALSE),0)^(COUNTIFS($B$3:$B125,"Buy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buy",$C$3:$C125,C126))),1),0)-H125,"0")&amp;" more gold",IF(AND(OR(B126="Buy upgrade",B126="Forge/Scrapwork buy"),IFERROR(VLOOKUP(C126,Upgrades!$N$4:$T$47,2,FALSE),0)="scraps",J125&lt;IFERROR(FLOOR(IFERROR(VLOOKUP(C126,Upgrades!$N$4:$T$47,3,FALSE),0)*(IFERROR(VLOOKUP(C126,Upgrades!$N$4:$T$47,4,FALSE),0)^(COUNTIFS($B$3:$B125,"Buy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buy",$C$3:$C125,C126))),1),0)),"Can't — need "&amp;TEXT(IFERROR(FLOOR(IFERROR(VLOOKUP(C126,Upgrades!$N$4:$T$47,3,FALSE),0)*(IFERROR(VLOOKUP(C126,Upgrades!$N$4:$T$47,4,FALSE),0)^(COUNTIFS($B$3:$B125,"Buy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buy",$C$3:$C125,C126))),1),0)-J125,"0")&amp;" more scraps",IF(AND(B126="Fight boss",E126="OK",(IF((((105/'Rules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Formulas'!B12)),"WIN — boss down, next Level unlocks",IF(AND(B126="Fight boss",E126="OK"),"LOSE — TTK "&amp;TEXT(IF((((105/'Rules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Formulas'!B20*SQRT(1+0.55*(AG125&gt;=1))),0)))),"0")&amp;"s &gt; patience "&amp;TEXT('Rules &amp; Formulas'!B12,"0")&amp;"s (leave resets HP)",IF(B126="Go AFK","AFK resolved (see AFK counted h)","Applied")))))))))</f>
        <v/>
      </c>
      <c r="G126" s="7">
        <f>IF(AND((E126="OK"),B126="Fight boss",(IF((((105/'Rules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Formulas'!B12),C126="Elder Thornpelt"),2,IF(AND((E126="OK"),B126="Fight boss",(IF((((105/'Rules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Formulas'!B12),C126="Ashfang Alpha"),3,G125))</f>
        <v/>
      </c>
      <c r="H126" s="7">
        <f>MAX(0,H125+IF(AND((E126="OK"),B126="Hunt"),(IF(B126="Hunt",(('Rules &amp; Formulas'!B4*N125*('Rules &amp; Formulas'!B5+O125)*IFERROR(VLOOKUP(C126,Monsters!$T$4:$AH$15,10,FALSE),0)*IFERROR(VLOOKUP(C126,Monsters!$T$4:$AH$15,9,FALSE),0))*'Rules &amp; Formulas'!B6)*IF(D126="",0,D126),0))*(IFERROR(VLOOKUP(C126,Monsters!$T$4:$AH$15,3,FALSE),0))*(1+0.1*AH125)+(IF(OR(B126&lt;&gt;"Hunt",IFERROR(VLOOKUP(C126,Monsters!$T$4:$AH$15,6,FALSE),0)=0),0,FLOOR((IF(B126="Hunt",(('Rules &amp; Formulas'!B4*N125*('Rules &amp; Formulas'!B5+O125)*IFERROR(VLOOKUP(C126,Monsters!$T$4:$AH$15,10,FALSE),0)*IFERROR(VLOOKUP(C126,Monsters!$T$4:$AH$15,9,FALSE),0))*'Rules &amp; Formulas'!B6)*IF(D126="",0,D126),0))/MAX(1,IFERROR(VLOOKUP(C126,Monsters!$T$4:$AH$15,6,FALSE),0)),1)))*(IFERROR(VLOOKUP(C126,Monsters!$T$4:$AH$15,7,FALSE),0))*0.5*(1+0.1*AH125),0)+IF(AND((E126="OK"),B126="Go AFK"),(IF(B126="Go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AFK",IF(D126="",0,D126),0),Z125/60)*60)),0))*(IFERROR(VLOOKUP(C126,Monsters!$T$4:$AH$15,3,FALSE),0))*(1+0.1*AH125)+(IF(OR(B126&lt;&gt;"Go AFK",IFERROR(VLOOKUP(C126,Monsters!$T$4:$AH$15,6,FALSE),0)=0),0,FLOOR((IF(B126="Go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AFK",IF(D126="",0,D126),0),Z125/60)*60)),0))/MAX(1,IFERROR(VLOOKUP(C126,Monsters!$T$4:$AH$15,6,FALSE),0)),1)))*(IFERROR(VLOOKUP(C126,Monsters!$T$4:$AH$15,7,FALSE),0))*0.5*(1+0.1*AH125),0)+IF(AND((E126="OK"),B126="Fight boss",(IF((((105/'Rules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Formulas'!B12)),IFERROR(VLOOKUP(C126,Monsters!$T$4:$AH$15,3,FALSE),0),0)-IF(AND((E126="OK"),OR(B126="Buy upgrade",B126="Forge/Scrapwork buy"),IFERROR(VLOOKUP(C126,Upgrades!$N$4:$T$47,2,FALSE),0)="gold"),IFERROR(FLOOR(IFERROR(VLOOKUP(C126,Upgrades!$N$4:$T$47,3,FALSE),0)*(IFERROR(VLOOKUP(C126,Upgrades!$N$4:$T$47,4,FALSE),0)^(COUNTIFS($B$3:$B125,"Buy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buy",$C$3:$C125,C126))),1),0),0)-IF(AND((E126="OK"),B126="Hire hunter"),IF(C126="Briar",140,IF(C126="Quill",3650,IF(C126="Moss",4850,IF(C126="Ember",12200,0)))),0))</f>
        <v/>
      </c>
      <c r="I126" s="7">
        <f>IF(AND((E126="OK"),B126="Fight boss",(IF((((105/'Rules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Formulas'!B12)),0,MIN(IF(G125&lt;=1,120,IF(G125=2,280,600)),I125+IF(AND((E126="OK"),B126="Hunt"),((IF(B126="Hunt",(('Rules &amp; Formulas'!B4*N125*('Rules &amp; Formulas'!B5+O125)*IFERROR(VLOOKUP(C126,Monsters!$T$4:$AH$15,10,FALSE),0)*IFERROR(VLOOKUP(C126,Monsters!$T$4:$AH$15,9,FALSE),0))*'Rules &amp; Formulas'!B6)*IF(D126="",0,D126),0))*(IFERROR(VLOOKUP(C126,Monsters!$T$4:$AH$15,4,FALSE),0))+(IF(OR(B126&lt;&gt;"Hunt",IFERROR(VLOOKUP(C126,Monsters!$T$4:$AH$15,6,FALSE),0)=0),0,FLOOR((IF(B126="Hunt",(('Rules &amp; Formulas'!B4*N125*('Rules &amp; Formulas'!B5+O125)*IFERROR(VLOOKUP(C126,Monsters!$T$4:$AH$15,10,FALSE),0)*IFERROR(VLOOKUP(C126,Monsters!$T$4:$AH$15,9,FALSE),0))*'Rules &amp; Formulas'!B6)*IF(D126="",0,D126),0))/MAX(1,IFERROR(VLOOKUP(C126,Monsters!$T$4:$AH$15,6,FALSE),0)),1)))*(IFERROR(VLOOKUP(C126,Monsters!$T$4:$AH$15,7,FALSE),0))),0)+IF(AND((E126="OK"),B126="Go AFK"),((IF(B126="Go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AFK",IF(D126="",0,D126),0),Z125/60)*60)),0))*(IFERROR(VLOOKUP(C126,Monsters!$T$4:$AH$15,4,FALSE),0))+(IF(OR(B126&lt;&gt;"Go AFK",IFERROR(VLOOKUP(C126,Monsters!$T$4:$AH$15,6,FALSE),0)=0),0,FLOOR((IF(B126="Go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AFK",IF(D126="",0,D126),0),Z125/60)*60)),0))/MAX(1,IFERROR(VLOOKUP(C126,Monsters!$T$4:$AH$15,6,FALSE),0)),1)))*(IFERROR(VLOOKUP(C126,Monsters!$T$4:$AH$15,7,FALSE),0))),0)))</f>
        <v/>
      </c>
      <c r="J126" s="7">
        <f>MAX(0,J125+IF(AND((E126="OK"),B126="Hunt"),(IF(B126="Hunt",(('Rules &amp; Formulas'!B4*N125*('Rules &amp; Formulas'!B5+O125)*IFERROR(VLOOKUP(C126,Monsters!$T$4:$AH$15,10,FALSE),0)*IFERROR(VLOOKUP(C126,Monsters!$T$4:$AH$15,9,FALSE),0))*'Rules &amp; Formulas'!B6)*IF(D126="",0,D126),0))*(IFERROR(VLOOKUP(C126,Monsters!$T$4:$AH$15,5,FALSE),0)),0)+IF(AND((E126="OK"),B126="Go AFK"),(IF(B126="Go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AFK",IF(D126="",0,D126),0),Z125/60)*60)),0))*(IFERROR(VLOOKUP(C126,Monsters!$T$4:$AH$15,5,FALSE),0)),0)-IF(AND((E126="OK"),OR(B126="Buy upgrade",B126="Forge/Scrapwork buy"),IFERROR(VLOOKUP(C126,Upgrades!$N$4:$T$47,2,FALSE),0)="scraps"),IFERROR(FLOOR(IFERROR(VLOOKUP(C126,Upgrades!$N$4:$T$47,3,FALSE),0)*(IFERROR(VLOOKUP(C126,Upgrades!$N$4:$T$47,4,FALSE),0)^(COUNTIFS($B$3:$B125,"Buy upgrade",$C$3:$C125,C126)+COUNTIFS($B$3:$B125,"Hire hunter",$C$3:$C125,C126)+COUNTIFS($B$3:$B125,"Forge/Scrapwork buy",$C$3:$C125,C126))),1),0),0))</f>
        <v/>
      </c>
      <c r="K126" s="7">
        <f>MAX(0,K125+IF(AND((E126="OK"),B126="Hunt"),IF(C126="Thornpelt Bear",(IF(B126="Hunt",(('Rules &amp; Formulas'!B4*N125*('Rules &amp; Formulas'!B5+O125)*IFERROR(VLOOKUP(C126,Monsters!$T$4:$AH$15,10,FALSE),0)*IFERROR(VLOOKUP(C126,Monsters!$T$4:$AH$15,9,FALSE),0))*'Rules &amp; Formulas'!B6)*IF(D126="",0,D126),0))*0.12,0),0)+IF(AND((E126="OK"),B126="Go AFK"),IF(C126="Thornpelt Bear",(IF(B126="Go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AFK",IF(D126="",0,D126),0),Z125/60)*60)),0))*0.12,0),0))</f>
        <v/>
      </c>
      <c r="L126" s="7">
        <f>MAX(0,L125+IF(AND((E126="OK"),B126="Hunt"),IF(C126="Dire Thornpelt",(IF(B126="Hunt",(('Rules &amp; Formulas'!B4*N125*('Rules &amp; Formulas'!B5+O125)*IFERROR(VLOOKUP(C126,Monsters!$T$4:$AH$15,10,FALSE),0)*IFERROR(VLOOKUP(C126,Monsters!$T$4:$AH$15,9,FALSE),0))*'Rules &amp; Formulas'!B6)*IF(D126="",0,D126),0))*0.1,0),0)+IF(AND((E126="OK"),B126="Go AFK"),IF(C126="Dire Thornpelt",(IF(B126="Go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AFK",IF(D126="",0,D126),0),Z125/60)*60)),0))*0.1,0),0))</f>
        <v/>
      </c>
      <c r="M126" s="7">
        <f>IF(AND((E126="OK"),B126="Go AFK"),MAX(0,MIN(('Rules &amp; Formulas'!B15+25*AJ125),M125+('Rules &amp; Formulas'!B14+0.4*AJ125)*(MIN(IF(B126="Go AFK",IF(D126="",0,D126),0),Z125/60)*60))-(IF(B126="Go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AFK",IF(D126="",0,D126),0),Z125/60)*60)),0))*(IF((IFERROR(VLOOKUP(C126,Monsters!$T$4:$AH$15,8,FALSE),0))=0,0.35,IFERROR(VLOOKUP(C126,Monsters!$T$4:$AH$15,8,FALSE),0))/(1+0.08*AK125))),MIN(('Rules &amp; Formulas'!B15+25*AJ126),M125))</f>
        <v/>
      </c>
      <c r="N126" s="7">
        <f>(1+0.08+0.12*AA126+0.12*AB126+0.16*AC126)</f>
        <v/>
      </c>
      <c r="O126" s="7">
        <f>((AD126&gt;=1)*1*(1+0.3*AE126))</f>
        <v/>
      </c>
      <c r="P126" s="7">
        <f>IF(OR(B126="Hunt",B126="Go AFK"),(('Rules &amp; Formulas'!B4*N125*('Rules &amp; Formulas'!B5+O125)*IFERROR(VLOOKUP(C126,Monsters!$T$4:$AH$15,10,FALSE),0)*IFERROR(VLOOKUP(C126,Monsters!$T$4:$AH$15,9,FALSE),0))*'Rules &amp; Formulas'!B6),"")</f>
        <v/>
      </c>
      <c r="Q126" s="7">
        <f>IF(OR(B126="Hunt",B126="Go AFK"),('Rules &amp; Formulas'!B4*N125*('Rules &amp; Formulas'!B5+O125)*IFERROR(VLOOKUP(C126,Monsters!$T$4:$AH$15,10,FALSE),0)*IFERROR(VLOOKUP(C126,Monsters!$T$4:$AH$15,9,FALSE),0)),"")</f>
        <v/>
      </c>
      <c r="R126" s="7">
        <f>IF(AND((E126="OK"),B126="Hunt"),IF(B126="Hunt",(('Rules &amp; Formulas'!B4*N125*('Rules &amp; Formulas'!B5+O125)*IFERROR(VLOOKUP(C126,Monsters!$T$4:$AH$15,10,FALSE),0)*IFERROR(VLOOKUP(C126,Monsters!$T$4:$AH$15,9,FALSE),0))*'Rules &amp; Formulas'!B6)*IF(D126="",0,D126),0),IF(AND((E126="OK"),B126="Go AFK"),IF(B126="Go AFK",MIN(IF((IF((IFERROR(VLOOKUP(C126,Monsters!$T$4:$AH$15,8,FALSE),0))=0,0.35,IFERROR(VLOOKUP(C126,Monsters!$T$4:$AH$15,8,FALSE),0))/(1+0.08*AK125))&lt;=0,999999,FLOOR(MIN(('Rules &amp; Formulas'!B15+25*AJ125),M125+('Rules &amp; Formulas'!B14+0.4*AJ125)*(MIN(IF(B126="Go AFK",IF(D126="",0,D126),0),Z125/60)*60))/(IF((IFERROR(VLOOKUP(C126,Monsters!$T$4:$AH$15,8,FALSE),0))=0,0.35,IFERROR(VLOOKUP(C126,Monsters!$T$4:$AH$15,8,FALSE),0))/(1+0.08*AK125)),1)),('Rules &amp; Formulas'!B4*N125*('Rules &amp; Formulas'!B5+O125)*IFERROR(VLOOKUP(C126,Monsters!$T$4:$AH$15,10,FALSE),0)*IFERROR(VLOOKUP(C126,Monsters!$T$4:$AH$15,9,FALSE),0))*(MIN(IF(B126="Go AFK",IF(D126="",0,D126),0),Z125/60)*60)),0),0))</f>
        <v/>
      </c>
      <c r="S126" s="7">
        <f>(105/'Rules &amp; Formulas'!B10)*'Rules &amp; Formulas'!B11</f>
        <v/>
      </c>
      <c r="T126" s="7">
        <f>IF(AD125&gt;=1,(MAX(1,ROUND('Rules &amp; Formulas'!B18*(1+0.3*AE125)*(1+0.4*AF125),0)))*(1000/'Rules &amp; Formulas'!B19)*MIN(0.95,'Rules &amp; Formulas'!B20*SQRT(1+0.55*(AG125&gt;=1))),0)</f>
        <v/>
      </c>
      <c r="U126" s="7">
        <f>S126+T126</f>
        <v/>
      </c>
      <c r="V126" s="7">
        <f>IF(I125&gt;=IF((IFERROR(VLOOKUP(C126,Monsters!$T$4:$AH$15,15,FALSE),0))=0,120,IFERROR(VLOOKUP(C126,Monsters!$T$4:$AH$15,15,FALSE),0)),"YES","no")</f>
        <v/>
      </c>
      <c r="W126" s="7">
        <f>IF(AND(B126="Fight boss",E126="OK"),IF((((105/'Rules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Formulas'!B20*SQRT(1+0.55*(AG125&gt;=1))),0)))),"")</f>
        <v/>
      </c>
      <c r="X126" s="7">
        <f>IF(AND(B126="Fight boss",E126="OK"),IF((IF((((105/'Rules &amp; Formulas'!B10)*'Rules &amp; Formulas'!B11+IF(AD125&gt;=1,(MAX(1,ROUND('Rules &amp; Formulas'!B18*(1+0.3*AE125)*(1+0.4*AF125),0)))*(1000/'Rules &amp; Formulas'!B19)*MIN(0.95,'Rules &amp; Formulas'!B20*SQRT(1+0.55*(AG125&gt;=1))),0)))&lt;=0,9999,(IFERROR(VLOOKUP(C126,Monsters!$T$4:$AH$15,2,FALSE),0))/(((105/'Rules &amp; Formulas'!B10)*'Rules &amp; Formulas'!B11+IF(AD125&gt;=1,(MAX(1,ROUND('Rules &amp; Formulas'!B18*(1+0.3*AE125)*(1+0.4*AF125),0)))*(1000/'Rules &amp; Formulas'!B19)*MIN(0.95,'Rules &amp; Formulas'!B20*SQRT(1+0.55*(AG125&gt;=1))),0))))&lt;='Rules &amp; Formulas'!B12),"WIN","LOSE"),"")</f>
        <v/>
      </c>
      <c r="Y126" s="7">
        <f>IF(B126="Go AFK",MIN(IF(B126="Go AFK",IF(D126="",0,D126),0),Z125/60),"")</f>
        <v/>
      </c>
      <c r="Z126" s="7">
        <f>('Rules &amp; Formulas'!B13+30*AI126)</f>
        <v/>
      </c>
      <c r="AA126">
        <f>COUNTIFS($B$3:$B126,"Buy upgrade",$C$3:$C126,"Idle Power")</f>
        <v/>
      </c>
      <c r="AB126">
        <f>COUNTIFS($B$3:$B126,"Buy upgrade",$C$3:$C126,"Iron Blade")</f>
        <v/>
      </c>
      <c r="AC126">
        <f>COUNTIFS($B$3:$B126,"Buy upgrade",$C$3:$C126,"Steel Blade")</f>
        <v/>
      </c>
      <c r="AD126">
        <f>COUNTIFS($B$3:$B126,"Hire hunter",$C$3:$C126,"Briar")+COUNTIFS($B$3:$B126,"Buy upgrade",$C$3:$C126,"Hire Briar")</f>
        <v/>
      </c>
      <c r="AE126">
        <f>COUNTIFS($B$3:$B126,"Buy upgrade",$C$3:$C126,"Hunter Power")</f>
        <v/>
      </c>
      <c r="AF126">
        <f>COUNTIFS($B$3:$B126,"Buy upgrade",$C$3:$C126,"Bigger Hits")</f>
        <v/>
      </c>
      <c r="AG126">
        <f>COUNTIFS($B$3:$B126,"Buy upgrade",$C$3:$C126,"Swift Walk")</f>
        <v/>
      </c>
      <c r="AH126">
        <f>COUNTIFS($B$3:$B126,"Buy upgrade",$C$3:$C126,"Loot Luck")</f>
        <v/>
      </c>
      <c r="AI126">
        <f>COUNTIFS($B$3:$B126,"Buy upgrade",$C$3:$C126,"Offline Cap")</f>
        <v/>
      </c>
      <c r="AJ126">
        <f>COUNTIFS($B$3:$B126,"Buy upgrade",$C$3:$C126,"Bigger Food Stock")</f>
        <v/>
      </c>
      <c r="AK126">
        <f>COUNTIFS($B$3:$B126,"Buy upgrade",$C$3:$C126,"Food Efficiency")</f>
        <v/>
      </c>
    </row>
    <row r="127">
      <c r="A127" t="n">
        <v>125</v>
      </c>
      <c r="B127" s="6" t="n"/>
      <c r="C127" s="6" t="n"/>
      <c r="D127" s="6" t="n"/>
      <c r="E127" s="7">
        <f>IF(B127="","",IF(OR(B127="Hunt",B127="Go AFK"),IF(C127="","Can't","OK"),IF(B127="Fight boss",IF(I126&lt;IF((IFERROR(VLOOKUP(C127,Monsters!$T$4:$AH$15,15,FALSE),0))=0,120,IFERROR(VLOOKUP(C127,Monsters!$T$4:$AH$15,15,FALSE),0)),"Can't","OK"),IF(B127="Hire hunter",IF(AND(C127="Briar",AD126&gt;=1),"Can't",IF(H126&lt;IF(C127="Briar",140,IF(C127="Quill",3650,IF(C127="Moss",4850,IF(C127="Ember",12200,0)))),"Can't","OK")),IF(OR(B127="Buy upgrade",B127="Forge/Scrapwork buy"),IF(IFERROR(VLOOKUP(C127,Upgrades!$N$4:$T$47,2,FALSE),0)="points","Can't",IF(IFERROR(VLOOKUP(C127,Upgrades!$N$4:$T$47,2,FALSE),0)="gold",IF(H126&lt;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buy",$C$3:$C126,C127))),1),0),"Can't","OK"),IF(IFERROR(VLOOKUP(C127,Upgrades!$N$4:$T$47,2,FALSE),0)="scraps",IF(J126&lt;IFERROR(FLOOR(IFERROR(VLOOKUP(C127,Upgrades!$N$4:$T$47,3,FALSE),0)*(IFERROR(VLOOKUP(C127,Upgrades!$N$4:$T$47,4,FALSE),0)^(COUNTIFS($B$3:$B126,"Buy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buy",$C$3:$C126,C127))),1),0),"Can't","OK"),IF(IFERROR(VLOOKUP(C127,Upgrades!$N$4:$T$47,2,FALSE),0)="mats","Can't","OK")))),"Check")))))</f>
        <v/>
      </c>
      <c r="F127" s="7">
        <f>IF(B127="","",IF(AND(B127="Fight boss",I126&lt;IF((IFERROR(VLOOKUP(C127,Monsters!$T$4:$AH$15,15,FALSE),0))=0,120,IFERROR(VLOOKUP(C127,Monsters!$T$4:$AH$15,15,FALSE),0))),"Can't — need "&amp;TEXT(IF((IFERROR(VLOOKUP(C127,Monsters!$T$4:$AH$15,15,FALSE),0))=0,120,IFERROR(VLOOKUP(C127,Monsters!$T$4:$AH$15,15,FALSE),0))-I126,"0.0")&amp;" more Slayer points on the meter",IF(AND(B127="Hire hunter",C127="Briar",AD126&gt;=1),"Can't — already hired",IF(AND(B127="Hire hunter",H126&lt;IF(C127="Briar",140,IF(C127="Quill",3650,IF(C127="Moss",4850,IF(C127="Ember",12200,0))))),"Can't — need "&amp;TEXT(IF(C127="Briar",140,IF(C127="Quill",3650,IF(C127="Moss",4850,IF(C127="Ember",12200,0))))-H126,"0")&amp;" more gold",IF(AND(OR(B127="Buy upgrade",B127="Forge/Scrapwork buy"),IFERROR(VLOOKUP(C127,Upgrades!$N$4:$T$47,2,FALSE),0)="points"),"Can't — Sp-wallet spends not tracked here",IF(AND(OR(B127="Buy upgrade",B127="Forge/Scrapwork buy"),IFERROR(VLOOKUP(C127,Upgrades!$N$4:$T$47,2,FALSE),0)="gold",H126&lt;IFERROR(FLOOR(IFERROR(VLOOKUP(C127,Upgrades!$N$4:$T$47,3,FALSE),0)*(IFERROR(VLOOKUP(C127,Upgrades!$N$4:$T$47,4,FALSE),0)^(COUNTIFS($B$3:$B126,"Buy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buy",$C$3:$C126,C127))),1),0)),"Can't — need "&amp;TEXT(IFERROR(FLOOR(IFERROR(VLOOKUP(C127,Upgrades!$N$4:$T$47,3,FALSE),0)*(IFERROR(VLOOKUP(C127,Upgrades!$N$4:$T$47,4,FALSE),0)^(COUNTIFS($B$3:$B126,"Buy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buy",$C$3:$C126,C127))),1),0)-H126,"0")&amp;" more gold",IF(AND(OR(B127="Buy upgrade",B127="Forge/Scrapwork buy"),IFERROR(VLOOKUP(C127,Upgrades!$N$4:$T$47,2,FALSE),0)="scraps",J126&lt;IFERROR(FLOOR(IFERROR(VLOOKUP(C127,Upgrades!$N$4:$T$47,3,FALSE),0)*(IFERROR(VLOOKUP(C127,Upgrades!$N$4:$T$47,4,FALSE),0)^(COUNTIFS($B$3:$B126,"Buy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buy",$C$3:$C126,C127))),1),0)),"Can't — need "&amp;TEXT(IFERROR(FLOOR(IFERROR(VLOOKUP(C127,Upgrades!$N$4:$T$47,3,FALSE),0)*(IFERROR(VLOOKUP(C127,Upgrades!$N$4:$T$47,4,FALSE),0)^(COUNTIFS($B$3:$B126,"Buy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buy",$C$3:$C126,C127))),1),0)-J126,"0")&amp;" more scraps",IF(AND(B127="Fight boss",E127="OK",(IF((((105/'Rules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Formulas'!B12)),"WIN — boss down, next Level unlocks",IF(AND(B127="Fight boss",E127="OK"),"LOSE — TTK "&amp;TEXT(IF((((105/'Rules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Formulas'!B20*SQRT(1+0.55*(AG126&gt;=1))),0)))),"0")&amp;"s &gt; patience "&amp;TEXT('Rules &amp; Formulas'!B12,"0")&amp;"s (leave resets HP)",IF(B127="Go AFK","AFK resolved (see AFK counted h)","Applied")))))))))</f>
        <v/>
      </c>
      <c r="G127" s="7">
        <f>IF(AND((E127="OK"),B127="Fight boss",(IF((((105/'Rules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Formulas'!B12),C127="Elder Thornpelt"),2,IF(AND((E127="OK"),B127="Fight boss",(IF((((105/'Rules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Formulas'!B12),C127="Ashfang Alpha"),3,G126))</f>
        <v/>
      </c>
      <c r="H127" s="7">
        <f>MAX(0,H126+IF(AND((E127="OK"),B127="Hunt"),(IF(B127="Hunt",(('Rules &amp; Formulas'!B4*N126*('Rules &amp; Formulas'!B5+O126)*IFERROR(VLOOKUP(C127,Monsters!$T$4:$AH$15,10,FALSE),0)*IFERROR(VLOOKUP(C127,Monsters!$T$4:$AH$15,9,FALSE),0))*'Rules &amp; Formulas'!B6)*IF(D127="",0,D127),0))*(IFERROR(VLOOKUP(C127,Monsters!$T$4:$AH$15,3,FALSE),0))*(1+0.1*AH126)+(IF(OR(B127&lt;&gt;"Hunt",IFERROR(VLOOKUP(C127,Monsters!$T$4:$AH$15,6,FALSE),0)=0),0,FLOOR((IF(B127="Hunt",(('Rules &amp; Formulas'!B4*N126*('Rules &amp; Formulas'!B5+O126)*IFERROR(VLOOKUP(C127,Monsters!$T$4:$AH$15,10,FALSE),0)*IFERROR(VLOOKUP(C127,Monsters!$T$4:$AH$15,9,FALSE),0))*'Rules &amp; Formulas'!B6)*IF(D127="",0,D127),0))/MAX(1,IFERROR(VLOOKUP(C127,Monsters!$T$4:$AH$15,6,FALSE),0)),1)))*(IFERROR(VLOOKUP(C127,Monsters!$T$4:$AH$15,7,FALSE),0))*0.5*(1+0.1*AH126),0)+IF(AND((E127="OK"),B127="Go AFK"),(IF(B127="Go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AFK",IF(D127="",0,D127),0),Z126/60)*60)),0))*(IFERROR(VLOOKUP(C127,Monsters!$T$4:$AH$15,3,FALSE),0))*(1+0.1*AH126)+(IF(OR(B127&lt;&gt;"Go AFK",IFERROR(VLOOKUP(C127,Monsters!$T$4:$AH$15,6,FALSE),0)=0),0,FLOOR((IF(B127="Go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AFK",IF(D127="",0,D127),0),Z126/60)*60)),0))/MAX(1,IFERROR(VLOOKUP(C127,Monsters!$T$4:$AH$15,6,FALSE),0)),1)))*(IFERROR(VLOOKUP(C127,Monsters!$T$4:$AH$15,7,FALSE),0))*0.5*(1+0.1*AH126),0)+IF(AND((E127="OK"),B127="Fight boss",(IF((((105/'Rules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Formulas'!B12)),IFERROR(VLOOKUP(C127,Monsters!$T$4:$AH$15,3,FALSE),0),0)-IF(AND((E127="OK"),OR(B127="Buy upgrade",B127="Forge/Scrapwork buy"),IFERROR(VLOOKUP(C127,Upgrades!$N$4:$T$47,2,FALSE),0)="gold"),IFERROR(FLOOR(IFERROR(VLOOKUP(C127,Upgrades!$N$4:$T$47,3,FALSE),0)*(IFERROR(VLOOKUP(C127,Upgrades!$N$4:$T$47,4,FALSE),0)^(COUNTIFS($B$3:$B126,"Buy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buy",$C$3:$C126,C127))),1),0),0)-IF(AND((E127="OK"),B127="Hire hunter"),IF(C127="Briar",140,IF(C127="Quill",3650,IF(C127="Moss",4850,IF(C127="Ember",12200,0)))),0))</f>
        <v/>
      </c>
      <c r="I127" s="7">
        <f>IF(AND((E127="OK"),B127="Fight boss",(IF((((105/'Rules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Formulas'!B12)),0,MIN(IF(G126&lt;=1,120,IF(G126=2,280,600)),I126+IF(AND((E127="OK"),B127="Hunt"),((IF(B127="Hunt",(('Rules &amp; Formulas'!B4*N126*('Rules &amp; Formulas'!B5+O126)*IFERROR(VLOOKUP(C127,Monsters!$T$4:$AH$15,10,FALSE),0)*IFERROR(VLOOKUP(C127,Monsters!$T$4:$AH$15,9,FALSE),0))*'Rules &amp; Formulas'!B6)*IF(D127="",0,D127),0))*(IFERROR(VLOOKUP(C127,Monsters!$T$4:$AH$15,4,FALSE),0))+(IF(OR(B127&lt;&gt;"Hunt",IFERROR(VLOOKUP(C127,Monsters!$T$4:$AH$15,6,FALSE),0)=0),0,FLOOR((IF(B127="Hunt",(('Rules &amp; Formulas'!B4*N126*('Rules &amp; Formulas'!B5+O126)*IFERROR(VLOOKUP(C127,Monsters!$T$4:$AH$15,10,FALSE),0)*IFERROR(VLOOKUP(C127,Monsters!$T$4:$AH$15,9,FALSE),0))*'Rules &amp; Formulas'!B6)*IF(D127="",0,D127),0))/MAX(1,IFERROR(VLOOKUP(C127,Monsters!$T$4:$AH$15,6,FALSE),0)),1)))*(IFERROR(VLOOKUP(C127,Monsters!$T$4:$AH$15,7,FALSE),0))),0)+IF(AND((E127="OK"),B127="Go AFK"),((IF(B127="Go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AFK",IF(D127="",0,D127),0),Z126/60)*60)),0))*(IFERROR(VLOOKUP(C127,Monsters!$T$4:$AH$15,4,FALSE),0))+(IF(OR(B127&lt;&gt;"Go AFK",IFERROR(VLOOKUP(C127,Monsters!$T$4:$AH$15,6,FALSE),0)=0),0,FLOOR((IF(B127="Go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AFK",IF(D127="",0,D127),0),Z126/60)*60)),0))/MAX(1,IFERROR(VLOOKUP(C127,Monsters!$T$4:$AH$15,6,FALSE),0)),1)))*(IFERROR(VLOOKUP(C127,Monsters!$T$4:$AH$15,7,FALSE),0))),0)))</f>
        <v/>
      </c>
      <c r="J127" s="7">
        <f>MAX(0,J126+IF(AND((E127="OK"),B127="Hunt"),(IF(B127="Hunt",(('Rules &amp; Formulas'!B4*N126*('Rules &amp; Formulas'!B5+O126)*IFERROR(VLOOKUP(C127,Monsters!$T$4:$AH$15,10,FALSE),0)*IFERROR(VLOOKUP(C127,Monsters!$T$4:$AH$15,9,FALSE),0))*'Rules &amp; Formulas'!B6)*IF(D127="",0,D127),0))*(IFERROR(VLOOKUP(C127,Monsters!$T$4:$AH$15,5,FALSE),0)),0)+IF(AND((E127="OK"),B127="Go AFK"),(IF(B127="Go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AFK",IF(D127="",0,D127),0),Z126/60)*60)),0))*(IFERROR(VLOOKUP(C127,Monsters!$T$4:$AH$15,5,FALSE),0)),0)-IF(AND((E127="OK"),OR(B127="Buy upgrade",B127="Forge/Scrapwork buy"),IFERROR(VLOOKUP(C127,Upgrades!$N$4:$T$47,2,FALSE),0)="scraps"),IFERROR(FLOOR(IFERROR(VLOOKUP(C127,Upgrades!$N$4:$T$47,3,FALSE),0)*(IFERROR(VLOOKUP(C127,Upgrades!$N$4:$T$47,4,FALSE),0)^(COUNTIFS($B$3:$B126,"Buy upgrade",$C$3:$C126,C127)+COUNTIFS($B$3:$B126,"Hire hunter",$C$3:$C126,C127)+COUNTIFS($B$3:$B126,"Forge/Scrapwork buy",$C$3:$C126,C127))),1),0),0))</f>
        <v/>
      </c>
      <c r="K127" s="7">
        <f>MAX(0,K126+IF(AND((E127="OK"),B127="Hunt"),IF(C127="Thornpelt Bear",(IF(B127="Hunt",(('Rules &amp; Formulas'!B4*N126*('Rules &amp; Formulas'!B5+O126)*IFERROR(VLOOKUP(C127,Monsters!$T$4:$AH$15,10,FALSE),0)*IFERROR(VLOOKUP(C127,Monsters!$T$4:$AH$15,9,FALSE),0))*'Rules &amp; Formulas'!B6)*IF(D127="",0,D127),0))*0.12,0),0)+IF(AND((E127="OK"),B127="Go AFK"),IF(C127="Thornpelt Bear",(IF(B127="Go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AFK",IF(D127="",0,D127),0),Z126/60)*60)),0))*0.12,0),0))</f>
        <v/>
      </c>
      <c r="L127" s="7">
        <f>MAX(0,L126+IF(AND((E127="OK"),B127="Hunt"),IF(C127="Dire Thornpelt",(IF(B127="Hunt",(('Rules &amp; Formulas'!B4*N126*('Rules &amp; Formulas'!B5+O126)*IFERROR(VLOOKUP(C127,Monsters!$T$4:$AH$15,10,FALSE),0)*IFERROR(VLOOKUP(C127,Monsters!$T$4:$AH$15,9,FALSE),0))*'Rules &amp; Formulas'!B6)*IF(D127="",0,D127),0))*0.1,0),0)+IF(AND((E127="OK"),B127="Go AFK"),IF(C127="Dire Thornpelt",(IF(B127="Go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AFK",IF(D127="",0,D127),0),Z126/60)*60)),0))*0.1,0),0))</f>
        <v/>
      </c>
      <c r="M127" s="7">
        <f>IF(AND((E127="OK"),B127="Go AFK"),MAX(0,MIN(('Rules &amp; Formulas'!B15+25*AJ126),M126+('Rules &amp; Formulas'!B14+0.4*AJ126)*(MIN(IF(B127="Go AFK",IF(D127="",0,D127),0),Z126/60)*60))-(IF(B127="Go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AFK",IF(D127="",0,D127),0),Z126/60)*60)),0))*(IF((IFERROR(VLOOKUP(C127,Monsters!$T$4:$AH$15,8,FALSE),0))=0,0.35,IFERROR(VLOOKUP(C127,Monsters!$T$4:$AH$15,8,FALSE),0))/(1+0.08*AK126))),MIN(('Rules &amp; Formulas'!B15+25*AJ127),M126))</f>
        <v/>
      </c>
      <c r="N127" s="7">
        <f>(1+0.08+0.12*AA127+0.12*AB127+0.16*AC127)</f>
        <v/>
      </c>
      <c r="O127" s="7">
        <f>((AD127&gt;=1)*1*(1+0.3*AE127))</f>
        <v/>
      </c>
      <c r="P127" s="7">
        <f>IF(OR(B127="Hunt",B127="Go AFK"),(('Rules &amp; Formulas'!B4*N126*('Rules &amp; Formulas'!B5+O126)*IFERROR(VLOOKUP(C127,Monsters!$T$4:$AH$15,10,FALSE),0)*IFERROR(VLOOKUP(C127,Monsters!$T$4:$AH$15,9,FALSE),0))*'Rules &amp; Formulas'!B6),"")</f>
        <v/>
      </c>
      <c r="Q127" s="7">
        <f>IF(OR(B127="Hunt",B127="Go AFK"),('Rules &amp; Formulas'!B4*N126*('Rules &amp; Formulas'!B5+O126)*IFERROR(VLOOKUP(C127,Monsters!$T$4:$AH$15,10,FALSE),0)*IFERROR(VLOOKUP(C127,Monsters!$T$4:$AH$15,9,FALSE),0)),"")</f>
        <v/>
      </c>
      <c r="R127" s="7">
        <f>IF(AND((E127="OK"),B127="Hunt"),IF(B127="Hunt",(('Rules &amp; Formulas'!B4*N126*('Rules &amp; Formulas'!B5+O126)*IFERROR(VLOOKUP(C127,Monsters!$T$4:$AH$15,10,FALSE),0)*IFERROR(VLOOKUP(C127,Monsters!$T$4:$AH$15,9,FALSE),0))*'Rules &amp; Formulas'!B6)*IF(D127="",0,D127),0),IF(AND((E127="OK"),B127="Go AFK"),IF(B127="Go AFK",MIN(IF((IF((IFERROR(VLOOKUP(C127,Monsters!$T$4:$AH$15,8,FALSE),0))=0,0.35,IFERROR(VLOOKUP(C127,Monsters!$T$4:$AH$15,8,FALSE),0))/(1+0.08*AK126))&lt;=0,999999,FLOOR(MIN(('Rules &amp; Formulas'!B15+25*AJ126),M126+('Rules &amp; Formulas'!B14+0.4*AJ126)*(MIN(IF(B127="Go AFK",IF(D127="",0,D127),0),Z126/60)*60))/(IF((IFERROR(VLOOKUP(C127,Monsters!$T$4:$AH$15,8,FALSE),0))=0,0.35,IFERROR(VLOOKUP(C127,Monsters!$T$4:$AH$15,8,FALSE),0))/(1+0.08*AK126)),1)),('Rules &amp; Formulas'!B4*N126*('Rules &amp; Formulas'!B5+O126)*IFERROR(VLOOKUP(C127,Monsters!$T$4:$AH$15,10,FALSE),0)*IFERROR(VLOOKUP(C127,Monsters!$T$4:$AH$15,9,FALSE),0))*(MIN(IF(B127="Go AFK",IF(D127="",0,D127),0),Z126/60)*60)),0),0))</f>
        <v/>
      </c>
      <c r="S127" s="7">
        <f>(105/'Rules &amp; Formulas'!B10)*'Rules &amp; Formulas'!B11</f>
        <v/>
      </c>
      <c r="T127" s="7">
        <f>IF(AD126&gt;=1,(MAX(1,ROUND('Rules &amp; Formulas'!B18*(1+0.3*AE126)*(1+0.4*AF126),0)))*(1000/'Rules &amp; Formulas'!B19)*MIN(0.95,'Rules &amp; Formulas'!B20*SQRT(1+0.55*(AG126&gt;=1))),0)</f>
        <v/>
      </c>
      <c r="U127" s="7">
        <f>S127+T127</f>
        <v/>
      </c>
      <c r="V127" s="7">
        <f>IF(I126&gt;=IF((IFERROR(VLOOKUP(C127,Monsters!$T$4:$AH$15,15,FALSE),0))=0,120,IFERROR(VLOOKUP(C127,Monsters!$T$4:$AH$15,15,FALSE),0)),"YES","no")</f>
        <v/>
      </c>
      <c r="W127" s="7">
        <f>IF(AND(B127="Fight boss",E127="OK"),IF((((105/'Rules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Formulas'!B20*SQRT(1+0.55*(AG126&gt;=1))),0)))),"")</f>
        <v/>
      </c>
      <c r="X127" s="7">
        <f>IF(AND(B127="Fight boss",E127="OK"),IF((IF((((105/'Rules &amp; Formulas'!B10)*'Rules &amp; Formulas'!B11+IF(AD126&gt;=1,(MAX(1,ROUND('Rules &amp; Formulas'!B18*(1+0.3*AE126)*(1+0.4*AF126),0)))*(1000/'Rules &amp; Formulas'!B19)*MIN(0.95,'Rules &amp; Formulas'!B20*SQRT(1+0.55*(AG126&gt;=1))),0)))&lt;=0,9999,(IFERROR(VLOOKUP(C127,Monsters!$T$4:$AH$15,2,FALSE),0))/(((105/'Rules &amp; Formulas'!B10)*'Rules &amp; Formulas'!B11+IF(AD126&gt;=1,(MAX(1,ROUND('Rules &amp; Formulas'!B18*(1+0.3*AE126)*(1+0.4*AF126),0)))*(1000/'Rules &amp; Formulas'!B19)*MIN(0.95,'Rules &amp; Formulas'!B20*SQRT(1+0.55*(AG126&gt;=1))),0))))&lt;='Rules &amp; Formulas'!B12),"WIN","LOSE"),"")</f>
        <v/>
      </c>
      <c r="Y127" s="7">
        <f>IF(B127="Go AFK",MIN(IF(B127="Go AFK",IF(D127="",0,D127),0),Z126/60),"")</f>
        <v/>
      </c>
      <c r="Z127" s="7">
        <f>('Rules &amp; Formulas'!B13+30*AI127)</f>
        <v/>
      </c>
      <c r="AA127">
        <f>COUNTIFS($B$3:$B127,"Buy upgrade",$C$3:$C127,"Idle Power")</f>
        <v/>
      </c>
      <c r="AB127">
        <f>COUNTIFS($B$3:$B127,"Buy upgrade",$C$3:$C127,"Iron Blade")</f>
        <v/>
      </c>
      <c r="AC127">
        <f>COUNTIFS($B$3:$B127,"Buy upgrade",$C$3:$C127,"Steel Blade")</f>
        <v/>
      </c>
      <c r="AD127">
        <f>COUNTIFS($B$3:$B127,"Hire hunter",$C$3:$C127,"Briar")+COUNTIFS($B$3:$B127,"Buy upgrade",$C$3:$C127,"Hire Briar")</f>
        <v/>
      </c>
      <c r="AE127">
        <f>COUNTIFS($B$3:$B127,"Buy upgrade",$C$3:$C127,"Hunter Power")</f>
        <v/>
      </c>
      <c r="AF127">
        <f>COUNTIFS($B$3:$B127,"Buy upgrade",$C$3:$C127,"Bigger Hits")</f>
        <v/>
      </c>
      <c r="AG127">
        <f>COUNTIFS($B$3:$B127,"Buy upgrade",$C$3:$C127,"Swift Walk")</f>
        <v/>
      </c>
      <c r="AH127">
        <f>COUNTIFS($B$3:$B127,"Buy upgrade",$C$3:$C127,"Loot Luck")</f>
        <v/>
      </c>
      <c r="AI127">
        <f>COUNTIFS($B$3:$B127,"Buy upgrade",$C$3:$C127,"Offline Cap")</f>
        <v/>
      </c>
      <c r="AJ127">
        <f>COUNTIFS($B$3:$B127,"Buy upgrade",$C$3:$C127,"Bigger Food Stock")</f>
        <v/>
      </c>
      <c r="AK127">
        <f>COUNTIFS($B$3:$B127,"Buy upgrade",$C$3:$C127,"Food Efficiency")</f>
        <v/>
      </c>
    </row>
    <row r="128">
      <c r="A128" t="n">
        <v>126</v>
      </c>
      <c r="B128" s="6" t="n"/>
      <c r="C128" s="6" t="n"/>
      <c r="D128" s="6" t="n"/>
      <c r="E128" s="7">
        <f>IF(B128="","",IF(OR(B128="Hunt",B128="Go AFK"),IF(C128="","Can't","OK"),IF(B128="Fight boss",IF(I127&lt;IF((IFERROR(VLOOKUP(C128,Monsters!$T$4:$AH$15,15,FALSE),0))=0,120,IFERROR(VLOOKUP(C128,Monsters!$T$4:$AH$15,15,FALSE),0)),"Can't","OK"),IF(B128="Hire hunter",IF(AND(C128="Briar",AD127&gt;=1),"Can't",IF(H127&lt;IF(C128="Briar",140,IF(C128="Quill",3650,IF(C128="Moss",4850,IF(C128="Ember",12200,0)))),"Can't","OK")),IF(OR(B128="Buy upgrade",B128="Forge/Scrapwork buy"),IF(IFERROR(VLOOKUP(C128,Upgrades!$N$4:$T$47,2,FALSE),0)="points","Can't",IF(IFERROR(VLOOKUP(C128,Upgrades!$N$4:$T$47,2,FALSE),0)="gold",IF(H127&lt;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buy",$C$3:$C127,C128))),1),0),"Can't","OK"),IF(IFERROR(VLOOKUP(C128,Upgrades!$N$4:$T$47,2,FALSE),0)="scraps",IF(J127&lt;IFERROR(FLOOR(IFERROR(VLOOKUP(C128,Upgrades!$N$4:$T$47,3,FALSE),0)*(IFERROR(VLOOKUP(C128,Upgrades!$N$4:$T$47,4,FALSE),0)^(COUNTIFS($B$3:$B127,"Buy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buy",$C$3:$C127,C128))),1),0),"Can't","OK"),IF(IFERROR(VLOOKUP(C128,Upgrades!$N$4:$T$47,2,FALSE),0)="mats","Can't","OK")))),"Check")))))</f>
        <v/>
      </c>
      <c r="F128" s="7">
        <f>IF(B128="","",IF(AND(B128="Fight boss",I127&lt;IF((IFERROR(VLOOKUP(C128,Monsters!$T$4:$AH$15,15,FALSE),0))=0,120,IFERROR(VLOOKUP(C128,Monsters!$T$4:$AH$15,15,FALSE),0))),"Can't — need "&amp;TEXT(IF((IFERROR(VLOOKUP(C128,Monsters!$T$4:$AH$15,15,FALSE),0))=0,120,IFERROR(VLOOKUP(C128,Monsters!$T$4:$AH$15,15,FALSE),0))-I127,"0.0")&amp;" more Slayer points on the meter",IF(AND(B128="Hire hunter",C128="Briar",AD127&gt;=1),"Can't — already hired",IF(AND(B128="Hire hunter",H127&lt;IF(C128="Briar",140,IF(C128="Quill",3650,IF(C128="Moss",4850,IF(C128="Ember",12200,0))))),"Can't — need "&amp;TEXT(IF(C128="Briar",140,IF(C128="Quill",3650,IF(C128="Moss",4850,IF(C128="Ember",12200,0))))-H127,"0")&amp;" more gold",IF(AND(OR(B128="Buy upgrade",B128="Forge/Scrapwork buy"),IFERROR(VLOOKUP(C128,Upgrades!$N$4:$T$47,2,FALSE),0)="points"),"Can't — Sp-wallet spends not tracked here",IF(AND(OR(B128="Buy upgrade",B128="Forge/Scrapwork buy"),IFERROR(VLOOKUP(C128,Upgrades!$N$4:$T$47,2,FALSE),0)="gold",H127&lt;IFERROR(FLOOR(IFERROR(VLOOKUP(C128,Upgrades!$N$4:$T$47,3,FALSE),0)*(IFERROR(VLOOKUP(C128,Upgrades!$N$4:$T$47,4,FALSE),0)^(COUNTIFS($B$3:$B127,"Buy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buy",$C$3:$C127,C128))),1),0)),"Can't — need "&amp;TEXT(IFERROR(FLOOR(IFERROR(VLOOKUP(C128,Upgrades!$N$4:$T$47,3,FALSE),0)*(IFERROR(VLOOKUP(C128,Upgrades!$N$4:$T$47,4,FALSE),0)^(COUNTIFS($B$3:$B127,"Buy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buy",$C$3:$C127,C128))),1),0)-H127,"0")&amp;" more gold",IF(AND(OR(B128="Buy upgrade",B128="Forge/Scrapwork buy"),IFERROR(VLOOKUP(C128,Upgrades!$N$4:$T$47,2,FALSE),0)="scraps",J127&lt;IFERROR(FLOOR(IFERROR(VLOOKUP(C128,Upgrades!$N$4:$T$47,3,FALSE),0)*(IFERROR(VLOOKUP(C128,Upgrades!$N$4:$T$47,4,FALSE),0)^(COUNTIFS($B$3:$B127,"Buy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buy",$C$3:$C127,C128))),1),0)),"Can't — need "&amp;TEXT(IFERROR(FLOOR(IFERROR(VLOOKUP(C128,Upgrades!$N$4:$T$47,3,FALSE),0)*(IFERROR(VLOOKUP(C128,Upgrades!$N$4:$T$47,4,FALSE),0)^(COUNTIFS($B$3:$B127,"Buy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buy",$C$3:$C127,C128))),1),0)-J127,"0")&amp;" more scraps",IF(AND(B128="Fight boss",E128="OK",(IF((((105/'Rules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Formulas'!B12)),"WIN — boss down, next Level unlocks",IF(AND(B128="Fight boss",E128="OK"),"LOSE — TTK "&amp;TEXT(IF((((105/'Rules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Formulas'!B20*SQRT(1+0.55*(AG127&gt;=1))),0)))),"0")&amp;"s &gt; patience "&amp;TEXT('Rules &amp; Formulas'!B12,"0")&amp;"s (leave resets HP)",IF(B128="Go AFK","AFK resolved (see AFK counted h)","Applied")))))))))</f>
        <v/>
      </c>
      <c r="G128" s="7">
        <f>IF(AND((E128="OK"),B128="Fight boss",(IF((((105/'Rules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Formulas'!B12),C128="Elder Thornpelt"),2,IF(AND((E128="OK"),B128="Fight boss",(IF((((105/'Rules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Formulas'!B12),C128="Ashfang Alpha"),3,G127))</f>
        <v/>
      </c>
      <c r="H128" s="7">
        <f>MAX(0,H127+IF(AND((E128="OK"),B128="Hunt"),(IF(B128="Hunt",(('Rules &amp; Formulas'!B4*N127*('Rules &amp; Formulas'!B5+O127)*IFERROR(VLOOKUP(C128,Monsters!$T$4:$AH$15,10,FALSE),0)*IFERROR(VLOOKUP(C128,Monsters!$T$4:$AH$15,9,FALSE),0))*'Rules &amp; Formulas'!B6)*IF(D128="",0,D128),0))*(IFERROR(VLOOKUP(C128,Monsters!$T$4:$AH$15,3,FALSE),0))*(1+0.1*AH127)+(IF(OR(B128&lt;&gt;"Hunt",IFERROR(VLOOKUP(C128,Monsters!$T$4:$AH$15,6,FALSE),0)=0),0,FLOOR((IF(B128="Hunt",(('Rules &amp; Formulas'!B4*N127*('Rules &amp; Formulas'!B5+O127)*IFERROR(VLOOKUP(C128,Monsters!$T$4:$AH$15,10,FALSE),0)*IFERROR(VLOOKUP(C128,Monsters!$T$4:$AH$15,9,FALSE),0))*'Rules &amp; Formulas'!B6)*IF(D128="",0,D128),0))/MAX(1,IFERROR(VLOOKUP(C128,Monsters!$T$4:$AH$15,6,FALSE),0)),1)))*(IFERROR(VLOOKUP(C128,Monsters!$T$4:$AH$15,7,FALSE),0))*0.5*(1+0.1*AH127),0)+IF(AND((E128="OK"),B128="Go AFK"),(IF(B128="Go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AFK",IF(D128="",0,D128),0),Z127/60)*60)),0))*(IFERROR(VLOOKUP(C128,Monsters!$T$4:$AH$15,3,FALSE),0))*(1+0.1*AH127)+(IF(OR(B128&lt;&gt;"Go AFK",IFERROR(VLOOKUP(C128,Monsters!$T$4:$AH$15,6,FALSE),0)=0),0,FLOOR((IF(B128="Go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AFK",IF(D128="",0,D128),0),Z127/60)*60)),0))/MAX(1,IFERROR(VLOOKUP(C128,Monsters!$T$4:$AH$15,6,FALSE),0)),1)))*(IFERROR(VLOOKUP(C128,Monsters!$T$4:$AH$15,7,FALSE),0))*0.5*(1+0.1*AH127),0)+IF(AND((E128="OK"),B128="Fight boss",(IF((((105/'Rules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Formulas'!B12)),IFERROR(VLOOKUP(C128,Monsters!$T$4:$AH$15,3,FALSE),0),0)-IF(AND((E128="OK"),OR(B128="Buy upgrade",B128="Forge/Scrapwork buy"),IFERROR(VLOOKUP(C128,Upgrades!$N$4:$T$47,2,FALSE),0)="gold"),IFERROR(FLOOR(IFERROR(VLOOKUP(C128,Upgrades!$N$4:$T$47,3,FALSE),0)*(IFERROR(VLOOKUP(C128,Upgrades!$N$4:$T$47,4,FALSE),0)^(COUNTIFS($B$3:$B127,"Buy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buy",$C$3:$C127,C128))),1),0),0)-IF(AND((E128="OK"),B128="Hire hunter"),IF(C128="Briar",140,IF(C128="Quill",3650,IF(C128="Moss",4850,IF(C128="Ember",12200,0)))),0))</f>
        <v/>
      </c>
      <c r="I128" s="7">
        <f>IF(AND((E128="OK"),B128="Fight boss",(IF((((105/'Rules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Formulas'!B12)),0,MIN(IF(G127&lt;=1,120,IF(G127=2,280,600)),I127+IF(AND((E128="OK"),B128="Hunt"),((IF(B128="Hunt",(('Rules &amp; Formulas'!B4*N127*('Rules &amp; Formulas'!B5+O127)*IFERROR(VLOOKUP(C128,Monsters!$T$4:$AH$15,10,FALSE),0)*IFERROR(VLOOKUP(C128,Monsters!$T$4:$AH$15,9,FALSE),0))*'Rules &amp; Formulas'!B6)*IF(D128="",0,D128),0))*(IFERROR(VLOOKUP(C128,Monsters!$T$4:$AH$15,4,FALSE),0))+(IF(OR(B128&lt;&gt;"Hunt",IFERROR(VLOOKUP(C128,Monsters!$T$4:$AH$15,6,FALSE),0)=0),0,FLOOR((IF(B128="Hunt",(('Rules &amp; Formulas'!B4*N127*('Rules &amp; Formulas'!B5+O127)*IFERROR(VLOOKUP(C128,Monsters!$T$4:$AH$15,10,FALSE),0)*IFERROR(VLOOKUP(C128,Monsters!$T$4:$AH$15,9,FALSE),0))*'Rules &amp; Formulas'!B6)*IF(D128="",0,D128),0))/MAX(1,IFERROR(VLOOKUP(C128,Monsters!$T$4:$AH$15,6,FALSE),0)),1)))*(IFERROR(VLOOKUP(C128,Monsters!$T$4:$AH$15,7,FALSE),0))),0)+IF(AND((E128="OK"),B128="Go AFK"),((IF(B128="Go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AFK",IF(D128="",0,D128),0),Z127/60)*60)),0))*(IFERROR(VLOOKUP(C128,Monsters!$T$4:$AH$15,4,FALSE),0))+(IF(OR(B128&lt;&gt;"Go AFK",IFERROR(VLOOKUP(C128,Monsters!$T$4:$AH$15,6,FALSE),0)=0),0,FLOOR((IF(B128="Go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AFK",IF(D128="",0,D128),0),Z127/60)*60)),0))/MAX(1,IFERROR(VLOOKUP(C128,Monsters!$T$4:$AH$15,6,FALSE),0)),1)))*(IFERROR(VLOOKUP(C128,Monsters!$T$4:$AH$15,7,FALSE),0))),0)))</f>
        <v/>
      </c>
      <c r="J128" s="7">
        <f>MAX(0,J127+IF(AND((E128="OK"),B128="Hunt"),(IF(B128="Hunt",(('Rules &amp; Formulas'!B4*N127*('Rules &amp; Formulas'!B5+O127)*IFERROR(VLOOKUP(C128,Monsters!$T$4:$AH$15,10,FALSE),0)*IFERROR(VLOOKUP(C128,Monsters!$T$4:$AH$15,9,FALSE),0))*'Rules &amp; Formulas'!B6)*IF(D128="",0,D128),0))*(IFERROR(VLOOKUP(C128,Monsters!$T$4:$AH$15,5,FALSE),0)),0)+IF(AND((E128="OK"),B128="Go AFK"),(IF(B128="Go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AFK",IF(D128="",0,D128),0),Z127/60)*60)),0))*(IFERROR(VLOOKUP(C128,Monsters!$T$4:$AH$15,5,FALSE),0)),0)-IF(AND((E128="OK"),OR(B128="Buy upgrade",B128="Forge/Scrapwork buy"),IFERROR(VLOOKUP(C128,Upgrades!$N$4:$T$47,2,FALSE),0)="scraps"),IFERROR(FLOOR(IFERROR(VLOOKUP(C128,Upgrades!$N$4:$T$47,3,FALSE),0)*(IFERROR(VLOOKUP(C128,Upgrades!$N$4:$T$47,4,FALSE),0)^(COUNTIFS($B$3:$B127,"Buy upgrade",$C$3:$C127,C128)+COUNTIFS($B$3:$B127,"Hire hunter",$C$3:$C127,C128)+COUNTIFS($B$3:$B127,"Forge/Scrapwork buy",$C$3:$C127,C128))),1),0),0))</f>
        <v/>
      </c>
      <c r="K128" s="7">
        <f>MAX(0,K127+IF(AND((E128="OK"),B128="Hunt"),IF(C128="Thornpelt Bear",(IF(B128="Hunt",(('Rules &amp; Formulas'!B4*N127*('Rules &amp; Formulas'!B5+O127)*IFERROR(VLOOKUP(C128,Monsters!$T$4:$AH$15,10,FALSE),0)*IFERROR(VLOOKUP(C128,Monsters!$T$4:$AH$15,9,FALSE),0))*'Rules &amp; Formulas'!B6)*IF(D128="",0,D128),0))*0.12,0),0)+IF(AND((E128="OK"),B128="Go AFK"),IF(C128="Thornpelt Bear",(IF(B128="Go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AFK",IF(D128="",0,D128),0),Z127/60)*60)),0))*0.12,0),0))</f>
        <v/>
      </c>
      <c r="L128" s="7">
        <f>MAX(0,L127+IF(AND((E128="OK"),B128="Hunt"),IF(C128="Dire Thornpelt",(IF(B128="Hunt",(('Rules &amp; Formulas'!B4*N127*('Rules &amp; Formulas'!B5+O127)*IFERROR(VLOOKUP(C128,Monsters!$T$4:$AH$15,10,FALSE),0)*IFERROR(VLOOKUP(C128,Monsters!$T$4:$AH$15,9,FALSE),0))*'Rules &amp; Formulas'!B6)*IF(D128="",0,D128),0))*0.1,0),0)+IF(AND((E128="OK"),B128="Go AFK"),IF(C128="Dire Thornpelt",(IF(B128="Go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AFK",IF(D128="",0,D128),0),Z127/60)*60)),0))*0.1,0),0))</f>
        <v/>
      </c>
      <c r="M128" s="7">
        <f>IF(AND((E128="OK"),B128="Go AFK"),MAX(0,MIN(('Rules &amp; Formulas'!B15+25*AJ127),M127+('Rules &amp; Formulas'!B14+0.4*AJ127)*(MIN(IF(B128="Go AFK",IF(D128="",0,D128),0),Z127/60)*60))-(IF(B128="Go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AFK",IF(D128="",0,D128),0),Z127/60)*60)),0))*(IF((IFERROR(VLOOKUP(C128,Monsters!$T$4:$AH$15,8,FALSE),0))=0,0.35,IFERROR(VLOOKUP(C128,Monsters!$T$4:$AH$15,8,FALSE),0))/(1+0.08*AK127))),MIN(('Rules &amp; Formulas'!B15+25*AJ128),M127))</f>
        <v/>
      </c>
      <c r="N128" s="7">
        <f>(1+0.08+0.12*AA128+0.12*AB128+0.16*AC128)</f>
        <v/>
      </c>
      <c r="O128" s="7">
        <f>((AD128&gt;=1)*1*(1+0.3*AE128))</f>
        <v/>
      </c>
      <c r="P128" s="7">
        <f>IF(OR(B128="Hunt",B128="Go AFK"),(('Rules &amp; Formulas'!B4*N127*('Rules &amp; Formulas'!B5+O127)*IFERROR(VLOOKUP(C128,Monsters!$T$4:$AH$15,10,FALSE),0)*IFERROR(VLOOKUP(C128,Monsters!$T$4:$AH$15,9,FALSE),0))*'Rules &amp; Formulas'!B6),"")</f>
        <v/>
      </c>
      <c r="Q128" s="7">
        <f>IF(OR(B128="Hunt",B128="Go AFK"),('Rules &amp; Formulas'!B4*N127*('Rules &amp; Formulas'!B5+O127)*IFERROR(VLOOKUP(C128,Monsters!$T$4:$AH$15,10,FALSE),0)*IFERROR(VLOOKUP(C128,Monsters!$T$4:$AH$15,9,FALSE),0)),"")</f>
        <v/>
      </c>
      <c r="R128" s="7">
        <f>IF(AND((E128="OK"),B128="Hunt"),IF(B128="Hunt",(('Rules &amp; Formulas'!B4*N127*('Rules &amp; Formulas'!B5+O127)*IFERROR(VLOOKUP(C128,Monsters!$T$4:$AH$15,10,FALSE),0)*IFERROR(VLOOKUP(C128,Monsters!$T$4:$AH$15,9,FALSE),0))*'Rules &amp; Formulas'!B6)*IF(D128="",0,D128),0),IF(AND((E128="OK"),B128="Go AFK"),IF(B128="Go AFK",MIN(IF((IF((IFERROR(VLOOKUP(C128,Monsters!$T$4:$AH$15,8,FALSE),0))=0,0.35,IFERROR(VLOOKUP(C128,Monsters!$T$4:$AH$15,8,FALSE),0))/(1+0.08*AK127))&lt;=0,999999,FLOOR(MIN(('Rules &amp; Formulas'!B15+25*AJ127),M127+('Rules &amp; Formulas'!B14+0.4*AJ127)*(MIN(IF(B128="Go AFK",IF(D128="",0,D128),0),Z127/60)*60))/(IF((IFERROR(VLOOKUP(C128,Monsters!$T$4:$AH$15,8,FALSE),0))=0,0.35,IFERROR(VLOOKUP(C128,Monsters!$T$4:$AH$15,8,FALSE),0))/(1+0.08*AK127)),1)),('Rules &amp; Formulas'!B4*N127*('Rules &amp; Formulas'!B5+O127)*IFERROR(VLOOKUP(C128,Monsters!$T$4:$AH$15,10,FALSE),0)*IFERROR(VLOOKUP(C128,Monsters!$T$4:$AH$15,9,FALSE),0))*(MIN(IF(B128="Go AFK",IF(D128="",0,D128),0),Z127/60)*60)),0),0))</f>
        <v/>
      </c>
      <c r="S128" s="7">
        <f>(105/'Rules &amp; Formulas'!B10)*'Rules &amp; Formulas'!B11</f>
        <v/>
      </c>
      <c r="T128" s="7">
        <f>IF(AD127&gt;=1,(MAX(1,ROUND('Rules &amp; Formulas'!B18*(1+0.3*AE127)*(1+0.4*AF127),0)))*(1000/'Rules &amp; Formulas'!B19)*MIN(0.95,'Rules &amp; Formulas'!B20*SQRT(1+0.55*(AG127&gt;=1))),0)</f>
        <v/>
      </c>
      <c r="U128" s="7">
        <f>S128+T128</f>
        <v/>
      </c>
      <c r="V128" s="7">
        <f>IF(I127&gt;=IF((IFERROR(VLOOKUP(C128,Monsters!$T$4:$AH$15,15,FALSE),0))=0,120,IFERROR(VLOOKUP(C128,Monsters!$T$4:$AH$15,15,FALSE),0)),"YES","no")</f>
        <v/>
      </c>
      <c r="W128" s="7">
        <f>IF(AND(B128="Fight boss",E128="OK"),IF((((105/'Rules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Formulas'!B20*SQRT(1+0.55*(AG127&gt;=1))),0)))),"")</f>
        <v/>
      </c>
      <c r="X128" s="7">
        <f>IF(AND(B128="Fight boss",E128="OK"),IF((IF((((105/'Rules &amp; Formulas'!B10)*'Rules &amp; Formulas'!B11+IF(AD127&gt;=1,(MAX(1,ROUND('Rules &amp; Formulas'!B18*(1+0.3*AE127)*(1+0.4*AF127),0)))*(1000/'Rules &amp; Formulas'!B19)*MIN(0.95,'Rules &amp; Formulas'!B20*SQRT(1+0.55*(AG127&gt;=1))),0)))&lt;=0,9999,(IFERROR(VLOOKUP(C128,Monsters!$T$4:$AH$15,2,FALSE),0))/(((105/'Rules &amp; Formulas'!B10)*'Rules &amp; Formulas'!B11+IF(AD127&gt;=1,(MAX(1,ROUND('Rules &amp; Formulas'!B18*(1+0.3*AE127)*(1+0.4*AF127),0)))*(1000/'Rules &amp; Formulas'!B19)*MIN(0.95,'Rules &amp; Formulas'!B20*SQRT(1+0.55*(AG127&gt;=1))),0))))&lt;='Rules &amp; Formulas'!B12),"WIN","LOSE"),"")</f>
        <v/>
      </c>
      <c r="Y128" s="7">
        <f>IF(B128="Go AFK",MIN(IF(B128="Go AFK",IF(D128="",0,D128),0),Z127/60),"")</f>
        <v/>
      </c>
      <c r="Z128" s="7">
        <f>('Rules &amp; Formulas'!B13+30*AI128)</f>
        <v/>
      </c>
      <c r="AA128">
        <f>COUNTIFS($B$3:$B128,"Buy upgrade",$C$3:$C128,"Idle Power")</f>
        <v/>
      </c>
      <c r="AB128">
        <f>COUNTIFS($B$3:$B128,"Buy upgrade",$C$3:$C128,"Iron Blade")</f>
        <v/>
      </c>
      <c r="AC128">
        <f>COUNTIFS($B$3:$B128,"Buy upgrade",$C$3:$C128,"Steel Blade")</f>
        <v/>
      </c>
      <c r="AD128">
        <f>COUNTIFS($B$3:$B128,"Hire hunter",$C$3:$C128,"Briar")+COUNTIFS($B$3:$B128,"Buy upgrade",$C$3:$C128,"Hire Briar")</f>
        <v/>
      </c>
      <c r="AE128">
        <f>COUNTIFS($B$3:$B128,"Buy upgrade",$C$3:$C128,"Hunter Power")</f>
        <v/>
      </c>
      <c r="AF128">
        <f>COUNTIFS($B$3:$B128,"Buy upgrade",$C$3:$C128,"Bigger Hits")</f>
        <v/>
      </c>
      <c r="AG128">
        <f>COUNTIFS($B$3:$B128,"Buy upgrade",$C$3:$C128,"Swift Walk")</f>
        <v/>
      </c>
      <c r="AH128">
        <f>COUNTIFS($B$3:$B128,"Buy upgrade",$C$3:$C128,"Loot Luck")</f>
        <v/>
      </c>
      <c r="AI128">
        <f>COUNTIFS($B$3:$B128,"Buy upgrade",$C$3:$C128,"Offline Cap")</f>
        <v/>
      </c>
      <c r="AJ128">
        <f>COUNTIFS($B$3:$B128,"Buy upgrade",$C$3:$C128,"Bigger Food Stock")</f>
        <v/>
      </c>
      <c r="AK128">
        <f>COUNTIFS($B$3:$B128,"Buy upgrade",$C$3:$C128,"Food Efficiency")</f>
        <v/>
      </c>
    </row>
    <row r="129">
      <c r="A129" t="n">
        <v>127</v>
      </c>
      <c r="B129" s="6" t="n"/>
      <c r="C129" s="6" t="n"/>
      <c r="D129" s="6" t="n"/>
      <c r="E129" s="7">
        <f>IF(B129="","",IF(OR(B129="Hunt",B129="Go AFK"),IF(C129="","Can't","OK"),IF(B129="Fight boss",IF(I128&lt;IF((IFERROR(VLOOKUP(C129,Monsters!$T$4:$AH$15,15,FALSE),0))=0,120,IFERROR(VLOOKUP(C129,Monsters!$T$4:$AH$15,15,FALSE),0)),"Can't","OK"),IF(B129="Hire hunter",IF(AND(C129="Briar",AD128&gt;=1),"Can't",IF(H128&lt;IF(C129="Briar",140,IF(C129="Quill",3650,IF(C129="Moss",4850,IF(C129="Ember",12200,0)))),"Can't","OK")),IF(OR(B129="Buy upgrade",B129="Forge/Scrapwork buy"),IF(IFERROR(VLOOKUP(C129,Upgrades!$N$4:$T$47,2,FALSE),0)="points","Can't",IF(IFERROR(VLOOKUP(C129,Upgrades!$N$4:$T$47,2,FALSE),0)="gold",IF(H128&lt;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buy",$C$3:$C128,C129))),1),0),"Can't","OK"),IF(IFERROR(VLOOKUP(C129,Upgrades!$N$4:$T$47,2,FALSE),0)="scraps",IF(J128&lt;IFERROR(FLOOR(IFERROR(VLOOKUP(C129,Upgrades!$N$4:$T$47,3,FALSE),0)*(IFERROR(VLOOKUP(C129,Upgrades!$N$4:$T$47,4,FALSE),0)^(COUNTIFS($B$3:$B128,"Buy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buy",$C$3:$C128,C129))),1),0),"Can't","OK"),IF(IFERROR(VLOOKUP(C129,Upgrades!$N$4:$T$47,2,FALSE),0)="mats","Can't","OK")))),"Check")))))</f>
        <v/>
      </c>
      <c r="F129" s="7">
        <f>IF(B129="","",IF(AND(B129="Fight boss",I128&lt;IF((IFERROR(VLOOKUP(C129,Monsters!$T$4:$AH$15,15,FALSE),0))=0,120,IFERROR(VLOOKUP(C129,Monsters!$T$4:$AH$15,15,FALSE),0))),"Can't — need "&amp;TEXT(IF((IFERROR(VLOOKUP(C129,Monsters!$T$4:$AH$15,15,FALSE),0))=0,120,IFERROR(VLOOKUP(C129,Monsters!$T$4:$AH$15,15,FALSE),0))-I128,"0.0")&amp;" more Slayer points on the meter",IF(AND(B129="Hire hunter",C129="Briar",AD128&gt;=1),"Can't — already hired",IF(AND(B129="Hire hunter",H128&lt;IF(C129="Briar",140,IF(C129="Quill",3650,IF(C129="Moss",4850,IF(C129="Ember",12200,0))))),"Can't — need "&amp;TEXT(IF(C129="Briar",140,IF(C129="Quill",3650,IF(C129="Moss",4850,IF(C129="Ember",12200,0))))-H128,"0")&amp;" more gold",IF(AND(OR(B129="Buy upgrade",B129="Forge/Scrapwork buy"),IFERROR(VLOOKUP(C129,Upgrades!$N$4:$T$47,2,FALSE),0)="points"),"Can't — Sp-wallet spends not tracked here",IF(AND(OR(B129="Buy upgrade",B129="Forge/Scrapwork buy"),IFERROR(VLOOKUP(C129,Upgrades!$N$4:$T$47,2,FALSE),0)="gold",H128&lt;IFERROR(FLOOR(IFERROR(VLOOKUP(C129,Upgrades!$N$4:$T$47,3,FALSE),0)*(IFERROR(VLOOKUP(C129,Upgrades!$N$4:$T$47,4,FALSE),0)^(COUNTIFS($B$3:$B128,"Buy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buy",$C$3:$C128,C129))),1),0)),"Can't — need "&amp;TEXT(IFERROR(FLOOR(IFERROR(VLOOKUP(C129,Upgrades!$N$4:$T$47,3,FALSE),0)*(IFERROR(VLOOKUP(C129,Upgrades!$N$4:$T$47,4,FALSE),0)^(COUNTIFS($B$3:$B128,"Buy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buy",$C$3:$C128,C129))),1),0)-H128,"0")&amp;" more gold",IF(AND(OR(B129="Buy upgrade",B129="Forge/Scrapwork buy"),IFERROR(VLOOKUP(C129,Upgrades!$N$4:$T$47,2,FALSE),0)="scraps",J128&lt;IFERROR(FLOOR(IFERROR(VLOOKUP(C129,Upgrades!$N$4:$T$47,3,FALSE),0)*(IFERROR(VLOOKUP(C129,Upgrades!$N$4:$T$47,4,FALSE),0)^(COUNTIFS($B$3:$B128,"Buy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buy",$C$3:$C128,C129))),1),0)),"Can't — need "&amp;TEXT(IFERROR(FLOOR(IFERROR(VLOOKUP(C129,Upgrades!$N$4:$T$47,3,FALSE),0)*(IFERROR(VLOOKUP(C129,Upgrades!$N$4:$T$47,4,FALSE),0)^(COUNTIFS($B$3:$B128,"Buy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buy",$C$3:$C128,C129))),1),0)-J128,"0")&amp;" more scraps",IF(AND(B129="Fight boss",E129="OK",(IF((((105/'Rules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Formulas'!B12)),"WIN — boss down, next Level unlocks",IF(AND(B129="Fight boss",E129="OK"),"LOSE — TTK "&amp;TEXT(IF((((105/'Rules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Formulas'!B20*SQRT(1+0.55*(AG128&gt;=1))),0)))),"0")&amp;"s &gt; patience "&amp;TEXT('Rules &amp; Formulas'!B12,"0")&amp;"s (leave resets HP)",IF(B129="Go AFK","AFK resolved (see AFK counted h)","Applied")))))))))</f>
        <v/>
      </c>
      <c r="G129" s="7">
        <f>IF(AND((E129="OK"),B129="Fight boss",(IF((((105/'Rules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Formulas'!B12),C129="Elder Thornpelt"),2,IF(AND((E129="OK"),B129="Fight boss",(IF((((105/'Rules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Formulas'!B12),C129="Ashfang Alpha"),3,G128))</f>
        <v/>
      </c>
      <c r="H129" s="7">
        <f>MAX(0,H128+IF(AND((E129="OK"),B129="Hunt"),(IF(B129="Hunt",(('Rules &amp; Formulas'!B4*N128*('Rules &amp; Formulas'!B5+O128)*IFERROR(VLOOKUP(C129,Monsters!$T$4:$AH$15,10,FALSE),0)*IFERROR(VLOOKUP(C129,Monsters!$T$4:$AH$15,9,FALSE),0))*'Rules &amp; Formulas'!B6)*IF(D129="",0,D129),0))*(IFERROR(VLOOKUP(C129,Monsters!$T$4:$AH$15,3,FALSE),0))*(1+0.1*AH128)+(IF(OR(B129&lt;&gt;"Hunt",IFERROR(VLOOKUP(C129,Monsters!$T$4:$AH$15,6,FALSE),0)=0),0,FLOOR((IF(B129="Hunt",(('Rules &amp; Formulas'!B4*N128*('Rules &amp; Formulas'!B5+O128)*IFERROR(VLOOKUP(C129,Monsters!$T$4:$AH$15,10,FALSE),0)*IFERROR(VLOOKUP(C129,Monsters!$T$4:$AH$15,9,FALSE),0))*'Rules &amp; Formulas'!B6)*IF(D129="",0,D129),0))/MAX(1,IFERROR(VLOOKUP(C129,Monsters!$T$4:$AH$15,6,FALSE),0)),1)))*(IFERROR(VLOOKUP(C129,Monsters!$T$4:$AH$15,7,FALSE),0))*0.5*(1+0.1*AH128),0)+IF(AND((E129="OK"),B129="Go AFK"),(IF(B129="Go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AFK",IF(D129="",0,D129),0),Z128/60)*60)),0))*(IFERROR(VLOOKUP(C129,Monsters!$T$4:$AH$15,3,FALSE),0))*(1+0.1*AH128)+(IF(OR(B129&lt;&gt;"Go AFK",IFERROR(VLOOKUP(C129,Monsters!$T$4:$AH$15,6,FALSE),0)=0),0,FLOOR((IF(B129="Go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AFK",IF(D129="",0,D129),0),Z128/60)*60)),0))/MAX(1,IFERROR(VLOOKUP(C129,Monsters!$T$4:$AH$15,6,FALSE),0)),1)))*(IFERROR(VLOOKUP(C129,Monsters!$T$4:$AH$15,7,FALSE),0))*0.5*(1+0.1*AH128),0)+IF(AND((E129="OK"),B129="Fight boss",(IF((((105/'Rules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Formulas'!B12)),IFERROR(VLOOKUP(C129,Monsters!$T$4:$AH$15,3,FALSE),0),0)-IF(AND((E129="OK"),OR(B129="Buy upgrade",B129="Forge/Scrapwork buy"),IFERROR(VLOOKUP(C129,Upgrades!$N$4:$T$47,2,FALSE),0)="gold"),IFERROR(FLOOR(IFERROR(VLOOKUP(C129,Upgrades!$N$4:$T$47,3,FALSE),0)*(IFERROR(VLOOKUP(C129,Upgrades!$N$4:$T$47,4,FALSE),0)^(COUNTIFS($B$3:$B128,"Buy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buy",$C$3:$C128,C129))),1),0),0)-IF(AND((E129="OK"),B129="Hire hunter"),IF(C129="Briar",140,IF(C129="Quill",3650,IF(C129="Moss",4850,IF(C129="Ember",12200,0)))),0))</f>
        <v/>
      </c>
      <c r="I129" s="7">
        <f>IF(AND((E129="OK"),B129="Fight boss",(IF((((105/'Rules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Formulas'!B12)),0,MIN(IF(G128&lt;=1,120,IF(G128=2,280,600)),I128+IF(AND((E129="OK"),B129="Hunt"),((IF(B129="Hunt",(('Rules &amp; Formulas'!B4*N128*('Rules &amp; Formulas'!B5+O128)*IFERROR(VLOOKUP(C129,Monsters!$T$4:$AH$15,10,FALSE),0)*IFERROR(VLOOKUP(C129,Monsters!$T$4:$AH$15,9,FALSE),0))*'Rules &amp; Formulas'!B6)*IF(D129="",0,D129),0))*(IFERROR(VLOOKUP(C129,Monsters!$T$4:$AH$15,4,FALSE),0))+(IF(OR(B129&lt;&gt;"Hunt",IFERROR(VLOOKUP(C129,Monsters!$T$4:$AH$15,6,FALSE),0)=0),0,FLOOR((IF(B129="Hunt",(('Rules &amp; Formulas'!B4*N128*('Rules &amp; Formulas'!B5+O128)*IFERROR(VLOOKUP(C129,Monsters!$T$4:$AH$15,10,FALSE),0)*IFERROR(VLOOKUP(C129,Monsters!$T$4:$AH$15,9,FALSE),0))*'Rules &amp; Formulas'!B6)*IF(D129="",0,D129),0))/MAX(1,IFERROR(VLOOKUP(C129,Monsters!$T$4:$AH$15,6,FALSE),0)),1)))*(IFERROR(VLOOKUP(C129,Monsters!$T$4:$AH$15,7,FALSE),0))),0)+IF(AND((E129="OK"),B129="Go AFK"),((IF(B129="Go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AFK",IF(D129="",0,D129),0),Z128/60)*60)),0))*(IFERROR(VLOOKUP(C129,Monsters!$T$4:$AH$15,4,FALSE),0))+(IF(OR(B129&lt;&gt;"Go AFK",IFERROR(VLOOKUP(C129,Monsters!$T$4:$AH$15,6,FALSE),0)=0),0,FLOOR((IF(B129="Go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AFK",IF(D129="",0,D129),0),Z128/60)*60)),0))/MAX(1,IFERROR(VLOOKUP(C129,Monsters!$T$4:$AH$15,6,FALSE),0)),1)))*(IFERROR(VLOOKUP(C129,Monsters!$T$4:$AH$15,7,FALSE),0))),0)))</f>
        <v/>
      </c>
      <c r="J129" s="7">
        <f>MAX(0,J128+IF(AND((E129="OK"),B129="Hunt"),(IF(B129="Hunt",(('Rules &amp; Formulas'!B4*N128*('Rules &amp; Formulas'!B5+O128)*IFERROR(VLOOKUP(C129,Monsters!$T$4:$AH$15,10,FALSE),0)*IFERROR(VLOOKUP(C129,Monsters!$T$4:$AH$15,9,FALSE),0))*'Rules &amp; Formulas'!B6)*IF(D129="",0,D129),0))*(IFERROR(VLOOKUP(C129,Monsters!$T$4:$AH$15,5,FALSE),0)),0)+IF(AND((E129="OK"),B129="Go AFK"),(IF(B129="Go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AFK",IF(D129="",0,D129),0),Z128/60)*60)),0))*(IFERROR(VLOOKUP(C129,Monsters!$T$4:$AH$15,5,FALSE),0)),0)-IF(AND((E129="OK"),OR(B129="Buy upgrade",B129="Forge/Scrapwork buy"),IFERROR(VLOOKUP(C129,Upgrades!$N$4:$T$47,2,FALSE),0)="scraps"),IFERROR(FLOOR(IFERROR(VLOOKUP(C129,Upgrades!$N$4:$T$47,3,FALSE),0)*(IFERROR(VLOOKUP(C129,Upgrades!$N$4:$T$47,4,FALSE),0)^(COUNTIFS($B$3:$B128,"Buy upgrade",$C$3:$C128,C129)+COUNTIFS($B$3:$B128,"Hire hunter",$C$3:$C128,C129)+COUNTIFS($B$3:$B128,"Forge/Scrapwork buy",$C$3:$C128,C129))),1),0),0))</f>
        <v/>
      </c>
      <c r="K129" s="7">
        <f>MAX(0,K128+IF(AND((E129="OK"),B129="Hunt"),IF(C129="Thornpelt Bear",(IF(B129="Hunt",(('Rules &amp; Formulas'!B4*N128*('Rules &amp; Formulas'!B5+O128)*IFERROR(VLOOKUP(C129,Monsters!$T$4:$AH$15,10,FALSE),0)*IFERROR(VLOOKUP(C129,Monsters!$T$4:$AH$15,9,FALSE),0))*'Rules &amp; Formulas'!B6)*IF(D129="",0,D129),0))*0.12,0),0)+IF(AND((E129="OK"),B129="Go AFK"),IF(C129="Thornpelt Bear",(IF(B129="Go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AFK",IF(D129="",0,D129),0),Z128/60)*60)),0))*0.12,0),0))</f>
        <v/>
      </c>
      <c r="L129" s="7">
        <f>MAX(0,L128+IF(AND((E129="OK"),B129="Hunt"),IF(C129="Dire Thornpelt",(IF(B129="Hunt",(('Rules &amp; Formulas'!B4*N128*('Rules &amp; Formulas'!B5+O128)*IFERROR(VLOOKUP(C129,Monsters!$T$4:$AH$15,10,FALSE),0)*IFERROR(VLOOKUP(C129,Monsters!$T$4:$AH$15,9,FALSE),0))*'Rules &amp; Formulas'!B6)*IF(D129="",0,D129),0))*0.1,0),0)+IF(AND((E129="OK"),B129="Go AFK"),IF(C129="Dire Thornpelt",(IF(B129="Go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AFK",IF(D129="",0,D129),0),Z128/60)*60)),0))*0.1,0),0))</f>
        <v/>
      </c>
      <c r="M129" s="7">
        <f>IF(AND((E129="OK"),B129="Go AFK"),MAX(0,MIN(('Rules &amp; Formulas'!B15+25*AJ128),M128+('Rules &amp; Formulas'!B14+0.4*AJ128)*(MIN(IF(B129="Go AFK",IF(D129="",0,D129),0),Z128/60)*60))-(IF(B129="Go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AFK",IF(D129="",0,D129),0),Z128/60)*60)),0))*(IF((IFERROR(VLOOKUP(C129,Monsters!$T$4:$AH$15,8,FALSE),0))=0,0.35,IFERROR(VLOOKUP(C129,Monsters!$T$4:$AH$15,8,FALSE),0))/(1+0.08*AK128))),MIN(('Rules &amp; Formulas'!B15+25*AJ129),M128))</f>
        <v/>
      </c>
      <c r="N129" s="7">
        <f>(1+0.08+0.12*AA129+0.12*AB129+0.16*AC129)</f>
        <v/>
      </c>
      <c r="O129" s="7">
        <f>((AD129&gt;=1)*1*(1+0.3*AE129))</f>
        <v/>
      </c>
      <c r="P129" s="7">
        <f>IF(OR(B129="Hunt",B129="Go AFK"),(('Rules &amp; Formulas'!B4*N128*('Rules &amp; Formulas'!B5+O128)*IFERROR(VLOOKUP(C129,Monsters!$T$4:$AH$15,10,FALSE),0)*IFERROR(VLOOKUP(C129,Monsters!$T$4:$AH$15,9,FALSE),0))*'Rules &amp; Formulas'!B6),"")</f>
        <v/>
      </c>
      <c r="Q129" s="7">
        <f>IF(OR(B129="Hunt",B129="Go AFK"),('Rules &amp; Formulas'!B4*N128*('Rules &amp; Formulas'!B5+O128)*IFERROR(VLOOKUP(C129,Monsters!$T$4:$AH$15,10,FALSE),0)*IFERROR(VLOOKUP(C129,Monsters!$T$4:$AH$15,9,FALSE),0)),"")</f>
        <v/>
      </c>
      <c r="R129" s="7">
        <f>IF(AND((E129="OK"),B129="Hunt"),IF(B129="Hunt",(('Rules &amp; Formulas'!B4*N128*('Rules &amp; Formulas'!B5+O128)*IFERROR(VLOOKUP(C129,Monsters!$T$4:$AH$15,10,FALSE),0)*IFERROR(VLOOKUP(C129,Monsters!$T$4:$AH$15,9,FALSE),0))*'Rules &amp; Formulas'!B6)*IF(D129="",0,D129),0),IF(AND((E129="OK"),B129="Go AFK"),IF(B129="Go AFK",MIN(IF((IF((IFERROR(VLOOKUP(C129,Monsters!$T$4:$AH$15,8,FALSE),0))=0,0.35,IFERROR(VLOOKUP(C129,Monsters!$T$4:$AH$15,8,FALSE),0))/(1+0.08*AK128))&lt;=0,999999,FLOOR(MIN(('Rules &amp; Formulas'!B15+25*AJ128),M128+('Rules &amp; Formulas'!B14+0.4*AJ128)*(MIN(IF(B129="Go AFK",IF(D129="",0,D129),0),Z128/60)*60))/(IF((IFERROR(VLOOKUP(C129,Monsters!$T$4:$AH$15,8,FALSE),0))=0,0.35,IFERROR(VLOOKUP(C129,Monsters!$T$4:$AH$15,8,FALSE),0))/(1+0.08*AK128)),1)),('Rules &amp; Formulas'!B4*N128*('Rules &amp; Formulas'!B5+O128)*IFERROR(VLOOKUP(C129,Monsters!$T$4:$AH$15,10,FALSE),0)*IFERROR(VLOOKUP(C129,Monsters!$T$4:$AH$15,9,FALSE),0))*(MIN(IF(B129="Go AFK",IF(D129="",0,D129),0),Z128/60)*60)),0),0))</f>
        <v/>
      </c>
      <c r="S129" s="7">
        <f>(105/'Rules &amp; Formulas'!B10)*'Rules &amp; Formulas'!B11</f>
        <v/>
      </c>
      <c r="T129" s="7">
        <f>IF(AD128&gt;=1,(MAX(1,ROUND('Rules &amp; Formulas'!B18*(1+0.3*AE128)*(1+0.4*AF128),0)))*(1000/'Rules &amp; Formulas'!B19)*MIN(0.95,'Rules &amp; Formulas'!B20*SQRT(1+0.55*(AG128&gt;=1))),0)</f>
        <v/>
      </c>
      <c r="U129" s="7">
        <f>S129+T129</f>
        <v/>
      </c>
      <c r="V129" s="7">
        <f>IF(I128&gt;=IF((IFERROR(VLOOKUP(C129,Monsters!$T$4:$AH$15,15,FALSE),0))=0,120,IFERROR(VLOOKUP(C129,Monsters!$T$4:$AH$15,15,FALSE),0)),"YES","no")</f>
        <v/>
      </c>
      <c r="W129" s="7">
        <f>IF(AND(B129="Fight boss",E129="OK"),IF((((105/'Rules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Formulas'!B20*SQRT(1+0.55*(AG128&gt;=1))),0)))),"")</f>
        <v/>
      </c>
      <c r="X129" s="7">
        <f>IF(AND(B129="Fight boss",E129="OK"),IF((IF((((105/'Rules &amp; Formulas'!B10)*'Rules &amp; Formulas'!B11+IF(AD128&gt;=1,(MAX(1,ROUND('Rules &amp; Formulas'!B18*(1+0.3*AE128)*(1+0.4*AF128),0)))*(1000/'Rules &amp; Formulas'!B19)*MIN(0.95,'Rules &amp; Formulas'!B20*SQRT(1+0.55*(AG128&gt;=1))),0)))&lt;=0,9999,(IFERROR(VLOOKUP(C129,Monsters!$T$4:$AH$15,2,FALSE),0))/(((105/'Rules &amp; Formulas'!B10)*'Rules &amp; Formulas'!B11+IF(AD128&gt;=1,(MAX(1,ROUND('Rules &amp; Formulas'!B18*(1+0.3*AE128)*(1+0.4*AF128),0)))*(1000/'Rules &amp; Formulas'!B19)*MIN(0.95,'Rules &amp; Formulas'!B20*SQRT(1+0.55*(AG128&gt;=1))),0))))&lt;='Rules &amp; Formulas'!B12),"WIN","LOSE"),"")</f>
        <v/>
      </c>
      <c r="Y129" s="7">
        <f>IF(B129="Go AFK",MIN(IF(B129="Go AFK",IF(D129="",0,D129),0),Z128/60),"")</f>
        <v/>
      </c>
      <c r="Z129" s="7">
        <f>('Rules &amp; Formulas'!B13+30*AI129)</f>
        <v/>
      </c>
      <c r="AA129">
        <f>COUNTIFS($B$3:$B129,"Buy upgrade",$C$3:$C129,"Idle Power")</f>
        <v/>
      </c>
      <c r="AB129">
        <f>COUNTIFS($B$3:$B129,"Buy upgrade",$C$3:$C129,"Iron Blade")</f>
        <v/>
      </c>
      <c r="AC129">
        <f>COUNTIFS($B$3:$B129,"Buy upgrade",$C$3:$C129,"Steel Blade")</f>
        <v/>
      </c>
      <c r="AD129">
        <f>COUNTIFS($B$3:$B129,"Hire hunter",$C$3:$C129,"Briar")+COUNTIFS($B$3:$B129,"Buy upgrade",$C$3:$C129,"Hire Briar")</f>
        <v/>
      </c>
      <c r="AE129">
        <f>COUNTIFS($B$3:$B129,"Buy upgrade",$C$3:$C129,"Hunter Power")</f>
        <v/>
      </c>
      <c r="AF129">
        <f>COUNTIFS($B$3:$B129,"Buy upgrade",$C$3:$C129,"Bigger Hits")</f>
        <v/>
      </c>
      <c r="AG129">
        <f>COUNTIFS($B$3:$B129,"Buy upgrade",$C$3:$C129,"Swift Walk")</f>
        <v/>
      </c>
      <c r="AH129">
        <f>COUNTIFS($B$3:$B129,"Buy upgrade",$C$3:$C129,"Loot Luck")</f>
        <v/>
      </c>
      <c r="AI129">
        <f>COUNTIFS($B$3:$B129,"Buy upgrade",$C$3:$C129,"Offline Cap")</f>
        <v/>
      </c>
      <c r="AJ129">
        <f>COUNTIFS($B$3:$B129,"Buy upgrade",$C$3:$C129,"Bigger Food Stock")</f>
        <v/>
      </c>
      <c r="AK129">
        <f>COUNTIFS($B$3:$B129,"Buy upgrade",$C$3:$C129,"Food Efficiency")</f>
        <v/>
      </c>
    </row>
    <row r="130">
      <c r="A130" t="n">
        <v>128</v>
      </c>
      <c r="B130" s="6" t="n"/>
      <c r="C130" s="6" t="n"/>
      <c r="D130" s="6" t="n"/>
      <c r="E130" s="7">
        <f>IF(B130="","",IF(OR(B130="Hunt",B130="Go AFK"),IF(C130="","Can't","OK"),IF(B130="Fight boss",IF(I129&lt;IF((IFERROR(VLOOKUP(C130,Monsters!$T$4:$AH$15,15,FALSE),0))=0,120,IFERROR(VLOOKUP(C130,Monsters!$T$4:$AH$15,15,FALSE),0)),"Can't","OK"),IF(B130="Hire hunter",IF(AND(C130="Briar",AD129&gt;=1),"Can't",IF(H129&lt;IF(C130="Briar",140,IF(C130="Quill",3650,IF(C130="Moss",4850,IF(C130="Ember",12200,0)))),"Can't","OK")),IF(OR(B130="Buy upgrade",B130="Forge/Scrapwork buy"),IF(IFERROR(VLOOKUP(C130,Upgrades!$N$4:$T$47,2,FALSE),0)="points","Can't",IF(IFERROR(VLOOKUP(C130,Upgrades!$N$4:$T$47,2,FALSE),0)="gold",IF(H129&lt;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buy",$C$3:$C129,C130))),1),0),"Can't","OK"),IF(IFERROR(VLOOKUP(C130,Upgrades!$N$4:$T$47,2,FALSE),0)="scraps",IF(J129&lt;IFERROR(FLOOR(IFERROR(VLOOKUP(C130,Upgrades!$N$4:$T$47,3,FALSE),0)*(IFERROR(VLOOKUP(C130,Upgrades!$N$4:$T$47,4,FALSE),0)^(COUNTIFS($B$3:$B129,"Buy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buy",$C$3:$C129,C130))),1),0),"Can't","OK"),IF(IFERROR(VLOOKUP(C130,Upgrades!$N$4:$T$47,2,FALSE),0)="mats","Can't","OK")))),"Check")))))</f>
        <v/>
      </c>
      <c r="F130" s="7">
        <f>IF(B130="","",IF(AND(B130="Fight boss",I129&lt;IF((IFERROR(VLOOKUP(C130,Monsters!$T$4:$AH$15,15,FALSE),0))=0,120,IFERROR(VLOOKUP(C130,Monsters!$T$4:$AH$15,15,FALSE),0))),"Can't — need "&amp;TEXT(IF((IFERROR(VLOOKUP(C130,Monsters!$T$4:$AH$15,15,FALSE),0))=0,120,IFERROR(VLOOKUP(C130,Monsters!$T$4:$AH$15,15,FALSE),0))-I129,"0.0")&amp;" more Slayer points on the meter",IF(AND(B130="Hire hunter",C130="Briar",AD129&gt;=1),"Can't — already hired",IF(AND(B130="Hire hunter",H129&lt;IF(C130="Briar",140,IF(C130="Quill",3650,IF(C130="Moss",4850,IF(C130="Ember",12200,0))))),"Can't — need "&amp;TEXT(IF(C130="Briar",140,IF(C130="Quill",3650,IF(C130="Moss",4850,IF(C130="Ember",12200,0))))-H129,"0")&amp;" more gold",IF(AND(OR(B130="Buy upgrade",B130="Forge/Scrapwork buy"),IFERROR(VLOOKUP(C130,Upgrades!$N$4:$T$47,2,FALSE),0)="points"),"Can't — Sp-wallet spends not tracked here",IF(AND(OR(B130="Buy upgrade",B130="Forge/Scrapwork buy"),IFERROR(VLOOKUP(C130,Upgrades!$N$4:$T$47,2,FALSE),0)="gold",H129&lt;IFERROR(FLOOR(IFERROR(VLOOKUP(C130,Upgrades!$N$4:$T$47,3,FALSE),0)*(IFERROR(VLOOKUP(C130,Upgrades!$N$4:$T$47,4,FALSE),0)^(COUNTIFS($B$3:$B129,"Buy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buy",$C$3:$C129,C130))),1),0)),"Can't — need "&amp;TEXT(IFERROR(FLOOR(IFERROR(VLOOKUP(C130,Upgrades!$N$4:$T$47,3,FALSE),0)*(IFERROR(VLOOKUP(C130,Upgrades!$N$4:$T$47,4,FALSE),0)^(COUNTIFS($B$3:$B129,"Buy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buy",$C$3:$C129,C130))),1),0)-H129,"0")&amp;" more gold",IF(AND(OR(B130="Buy upgrade",B130="Forge/Scrapwork buy"),IFERROR(VLOOKUP(C130,Upgrades!$N$4:$T$47,2,FALSE),0)="scraps",J129&lt;IFERROR(FLOOR(IFERROR(VLOOKUP(C130,Upgrades!$N$4:$T$47,3,FALSE),0)*(IFERROR(VLOOKUP(C130,Upgrades!$N$4:$T$47,4,FALSE),0)^(COUNTIFS($B$3:$B129,"Buy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buy",$C$3:$C129,C130))),1),0)),"Can't — need "&amp;TEXT(IFERROR(FLOOR(IFERROR(VLOOKUP(C130,Upgrades!$N$4:$T$47,3,FALSE),0)*(IFERROR(VLOOKUP(C130,Upgrades!$N$4:$T$47,4,FALSE),0)^(COUNTIFS($B$3:$B129,"Buy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buy",$C$3:$C129,C130))),1),0)-J129,"0")&amp;" more scraps",IF(AND(B130="Fight boss",E130="OK",(IF((((105/'Rules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Formulas'!B12)),"WIN — boss down, next Level unlocks",IF(AND(B130="Fight boss",E130="OK"),"LOSE — TTK "&amp;TEXT(IF((((105/'Rules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Formulas'!B20*SQRT(1+0.55*(AG129&gt;=1))),0)))),"0")&amp;"s &gt; patience "&amp;TEXT('Rules &amp; Formulas'!B12,"0")&amp;"s (leave resets HP)",IF(B130="Go AFK","AFK resolved (see AFK counted h)","Applied")))))))))</f>
        <v/>
      </c>
      <c r="G130" s="7">
        <f>IF(AND((E130="OK"),B130="Fight boss",(IF((((105/'Rules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Formulas'!B12),C130="Elder Thornpelt"),2,IF(AND((E130="OK"),B130="Fight boss",(IF((((105/'Rules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Formulas'!B12),C130="Ashfang Alpha"),3,G129))</f>
        <v/>
      </c>
      <c r="H130" s="7">
        <f>MAX(0,H129+IF(AND((E130="OK"),B130="Hunt"),(IF(B130="Hunt",(('Rules &amp; Formulas'!B4*N129*('Rules &amp; Formulas'!B5+O129)*IFERROR(VLOOKUP(C130,Monsters!$T$4:$AH$15,10,FALSE),0)*IFERROR(VLOOKUP(C130,Monsters!$T$4:$AH$15,9,FALSE),0))*'Rules &amp; Formulas'!B6)*IF(D130="",0,D130),0))*(IFERROR(VLOOKUP(C130,Monsters!$T$4:$AH$15,3,FALSE),0))*(1+0.1*AH129)+(IF(OR(B130&lt;&gt;"Hunt",IFERROR(VLOOKUP(C130,Monsters!$T$4:$AH$15,6,FALSE),0)=0),0,FLOOR((IF(B130="Hunt",(('Rules &amp; Formulas'!B4*N129*('Rules &amp; Formulas'!B5+O129)*IFERROR(VLOOKUP(C130,Monsters!$T$4:$AH$15,10,FALSE),0)*IFERROR(VLOOKUP(C130,Monsters!$T$4:$AH$15,9,FALSE),0))*'Rules &amp; Formulas'!B6)*IF(D130="",0,D130),0))/MAX(1,IFERROR(VLOOKUP(C130,Monsters!$T$4:$AH$15,6,FALSE),0)),1)))*(IFERROR(VLOOKUP(C130,Monsters!$T$4:$AH$15,7,FALSE),0))*0.5*(1+0.1*AH129),0)+IF(AND((E130="OK"),B130="Go AFK"),(IF(B130="Go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AFK",IF(D130="",0,D130),0),Z129/60)*60)),0))*(IFERROR(VLOOKUP(C130,Monsters!$T$4:$AH$15,3,FALSE),0))*(1+0.1*AH129)+(IF(OR(B130&lt;&gt;"Go AFK",IFERROR(VLOOKUP(C130,Monsters!$T$4:$AH$15,6,FALSE),0)=0),0,FLOOR((IF(B130="Go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AFK",IF(D130="",0,D130),0),Z129/60)*60)),0))/MAX(1,IFERROR(VLOOKUP(C130,Monsters!$T$4:$AH$15,6,FALSE),0)),1)))*(IFERROR(VLOOKUP(C130,Monsters!$T$4:$AH$15,7,FALSE),0))*0.5*(1+0.1*AH129),0)+IF(AND((E130="OK"),B130="Fight boss",(IF((((105/'Rules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Formulas'!B12)),IFERROR(VLOOKUP(C130,Monsters!$T$4:$AH$15,3,FALSE),0),0)-IF(AND((E130="OK"),OR(B130="Buy upgrade",B130="Forge/Scrapwork buy"),IFERROR(VLOOKUP(C130,Upgrades!$N$4:$T$47,2,FALSE),0)="gold"),IFERROR(FLOOR(IFERROR(VLOOKUP(C130,Upgrades!$N$4:$T$47,3,FALSE),0)*(IFERROR(VLOOKUP(C130,Upgrades!$N$4:$T$47,4,FALSE),0)^(COUNTIFS($B$3:$B129,"Buy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buy",$C$3:$C129,C130))),1),0),0)-IF(AND((E130="OK"),B130="Hire hunter"),IF(C130="Briar",140,IF(C130="Quill",3650,IF(C130="Moss",4850,IF(C130="Ember",12200,0)))),0))</f>
        <v/>
      </c>
      <c r="I130" s="7">
        <f>IF(AND((E130="OK"),B130="Fight boss",(IF((((105/'Rules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Formulas'!B12)),0,MIN(IF(G129&lt;=1,120,IF(G129=2,280,600)),I129+IF(AND((E130="OK"),B130="Hunt"),((IF(B130="Hunt",(('Rules &amp; Formulas'!B4*N129*('Rules &amp; Formulas'!B5+O129)*IFERROR(VLOOKUP(C130,Monsters!$T$4:$AH$15,10,FALSE),0)*IFERROR(VLOOKUP(C130,Monsters!$T$4:$AH$15,9,FALSE),0))*'Rules &amp; Formulas'!B6)*IF(D130="",0,D130),0))*(IFERROR(VLOOKUP(C130,Monsters!$T$4:$AH$15,4,FALSE),0))+(IF(OR(B130&lt;&gt;"Hunt",IFERROR(VLOOKUP(C130,Monsters!$T$4:$AH$15,6,FALSE),0)=0),0,FLOOR((IF(B130="Hunt",(('Rules &amp; Formulas'!B4*N129*('Rules &amp; Formulas'!B5+O129)*IFERROR(VLOOKUP(C130,Monsters!$T$4:$AH$15,10,FALSE),0)*IFERROR(VLOOKUP(C130,Monsters!$T$4:$AH$15,9,FALSE),0))*'Rules &amp; Formulas'!B6)*IF(D130="",0,D130),0))/MAX(1,IFERROR(VLOOKUP(C130,Monsters!$T$4:$AH$15,6,FALSE),0)),1)))*(IFERROR(VLOOKUP(C130,Monsters!$T$4:$AH$15,7,FALSE),0))),0)+IF(AND((E130="OK"),B130="Go AFK"),((IF(B130="Go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AFK",IF(D130="",0,D130),0),Z129/60)*60)),0))*(IFERROR(VLOOKUP(C130,Monsters!$T$4:$AH$15,4,FALSE),0))+(IF(OR(B130&lt;&gt;"Go AFK",IFERROR(VLOOKUP(C130,Monsters!$T$4:$AH$15,6,FALSE),0)=0),0,FLOOR((IF(B130="Go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AFK",IF(D130="",0,D130),0),Z129/60)*60)),0))/MAX(1,IFERROR(VLOOKUP(C130,Monsters!$T$4:$AH$15,6,FALSE),0)),1)))*(IFERROR(VLOOKUP(C130,Monsters!$T$4:$AH$15,7,FALSE),0))),0)))</f>
        <v/>
      </c>
      <c r="J130" s="7">
        <f>MAX(0,J129+IF(AND((E130="OK"),B130="Hunt"),(IF(B130="Hunt",(('Rules &amp; Formulas'!B4*N129*('Rules &amp; Formulas'!B5+O129)*IFERROR(VLOOKUP(C130,Monsters!$T$4:$AH$15,10,FALSE),0)*IFERROR(VLOOKUP(C130,Monsters!$T$4:$AH$15,9,FALSE),0))*'Rules &amp; Formulas'!B6)*IF(D130="",0,D130),0))*(IFERROR(VLOOKUP(C130,Monsters!$T$4:$AH$15,5,FALSE),0)),0)+IF(AND((E130="OK"),B130="Go AFK"),(IF(B130="Go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AFK",IF(D130="",0,D130),0),Z129/60)*60)),0))*(IFERROR(VLOOKUP(C130,Monsters!$T$4:$AH$15,5,FALSE),0)),0)-IF(AND((E130="OK"),OR(B130="Buy upgrade",B130="Forge/Scrapwork buy"),IFERROR(VLOOKUP(C130,Upgrades!$N$4:$T$47,2,FALSE),0)="scraps"),IFERROR(FLOOR(IFERROR(VLOOKUP(C130,Upgrades!$N$4:$T$47,3,FALSE),0)*(IFERROR(VLOOKUP(C130,Upgrades!$N$4:$T$47,4,FALSE),0)^(COUNTIFS($B$3:$B129,"Buy upgrade",$C$3:$C129,C130)+COUNTIFS($B$3:$B129,"Hire hunter",$C$3:$C129,C130)+COUNTIFS($B$3:$B129,"Forge/Scrapwork buy",$C$3:$C129,C130))),1),0),0))</f>
        <v/>
      </c>
      <c r="K130" s="7">
        <f>MAX(0,K129+IF(AND((E130="OK"),B130="Hunt"),IF(C130="Thornpelt Bear",(IF(B130="Hunt",(('Rules &amp; Formulas'!B4*N129*('Rules &amp; Formulas'!B5+O129)*IFERROR(VLOOKUP(C130,Monsters!$T$4:$AH$15,10,FALSE),0)*IFERROR(VLOOKUP(C130,Monsters!$T$4:$AH$15,9,FALSE),0))*'Rules &amp; Formulas'!B6)*IF(D130="",0,D130),0))*0.12,0),0)+IF(AND((E130="OK"),B130="Go AFK"),IF(C130="Thornpelt Bear",(IF(B130="Go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AFK",IF(D130="",0,D130),0),Z129/60)*60)),0))*0.12,0),0))</f>
        <v/>
      </c>
      <c r="L130" s="7">
        <f>MAX(0,L129+IF(AND((E130="OK"),B130="Hunt"),IF(C130="Dire Thornpelt",(IF(B130="Hunt",(('Rules &amp; Formulas'!B4*N129*('Rules &amp; Formulas'!B5+O129)*IFERROR(VLOOKUP(C130,Monsters!$T$4:$AH$15,10,FALSE),0)*IFERROR(VLOOKUP(C130,Monsters!$T$4:$AH$15,9,FALSE),0))*'Rules &amp; Formulas'!B6)*IF(D130="",0,D130),0))*0.1,0),0)+IF(AND((E130="OK"),B130="Go AFK"),IF(C130="Dire Thornpelt",(IF(B130="Go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AFK",IF(D130="",0,D130),0),Z129/60)*60)),0))*0.1,0),0))</f>
        <v/>
      </c>
      <c r="M130" s="7">
        <f>IF(AND((E130="OK"),B130="Go AFK"),MAX(0,MIN(('Rules &amp; Formulas'!B15+25*AJ129),M129+('Rules &amp; Formulas'!B14+0.4*AJ129)*(MIN(IF(B130="Go AFK",IF(D130="",0,D130),0),Z129/60)*60))-(IF(B130="Go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AFK",IF(D130="",0,D130),0),Z129/60)*60)),0))*(IF((IFERROR(VLOOKUP(C130,Monsters!$T$4:$AH$15,8,FALSE),0))=0,0.35,IFERROR(VLOOKUP(C130,Monsters!$T$4:$AH$15,8,FALSE),0))/(1+0.08*AK129))),MIN(('Rules &amp; Formulas'!B15+25*AJ130),M129))</f>
        <v/>
      </c>
      <c r="N130" s="7">
        <f>(1+0.08+0.12*AA130+0.12*AB130+0.16*AC130)</f>
        <v/>
      </c>
      <c r="O130" s="7">
        <f>((AD130&gt;=1)*1*(1+0.3*AE130))</f>
        <v/>
      </c>
      <c r="P130" s="7">
        <f>IF(OR(B130="Hunt",B130="Go AFK"),(('Rules &amp; Formulas'!B4*N129*('Rules &amp; Formulas'!B5+O129)*IFERROR(VLOOKUP(C130,Monsters!$T$4:$AH$15,10,FALSE),0)*IFERROR(VLOOKUP(C130,Monsters!$T$4:$AH$15,9,FALSE),0))*'Rules &amp; Formulas'!B6),"")</f>
        <v/>
      </c>
      <c r="Q130" s="7">
        <f>IF(OR(B130="Hunt",B130="Go AFK"),('Rules &amp; Formulas'!B4*N129*('Rules &amp; Formulas'!B5+O129)*IFERROR(VLOOKUP(C130,Monsters!$T$4:$AH$15,10,FALSE),0)*IFERROR(VLOOKUP(C130,Monsters!$T$4:$AH$15,9,FALSE),0)),"")</f>
        <v/>
      </c>
      <c r="R130" s="7">
        <f>IF(AND((E130="OK"),B130="Hunt"),IF(B130="Hunt",(('Rules &amp; Formulas'!B4*N129*('Rules &amp; Formulas'!B5+O129)*IFERROR(VLOOKUP(C130,Monsters!$T$4:$AH$15,10,FALSE),0)*IFERROR(VLOOKUP(C130,Monsters!$T$4:$AH$15,9,FALSE),0))*'Rules &amp; Formulas'!B6)*IF(D130="",0,D130),0),IF(AND((E130="OK"),B130="Go AFK"),IF(B130="Go AFK",MIN(IF((IF((IFERROR(VLOOKUP(C130,Monsters!$T$4:$AH$15,8,FALSE),0))=0,0.35,IFERROR(VLOOKUP(C130,Monsters!$T$4:$AH$15,8,FALSE),0))/(1+0.08*AK129))&lt;=0,999999,FLOOR(MIN(('Rules &amp; Formulas'!B15+25*AJ129),M129+('Rules &amp; Formulas'!B14+0.4*AJ129)*(MIN(IF(B130="Go AFK",IF(D130="",0,D130),0),Z129/60)*60))/(IF((IFERROR(VLOOKUP(C130,Monsters!$T$4:$AH$15,8,FALSE),0))=0,0.35,IFERROR(VLOOKUP(C130,Monsters!$T$4:$AH$15,8,FALSE),0))/(1+0.08*AK129)),1)),('Rules &amp; Formulas'!B4*N129*('Rules &amp; Formulas'!B5+O129)*IFERROR(VLOOKUP(C130,Monsters!$T$4:$AH$15,10,FALSE),0)*IFERROR(VLOOKUP(C130,Monsters!$T$4:$AH$15,9,FALSE),0))*(MIN(IF(B130="Go AFK",IF(D130="",0,D130),0),Z129/60)*60)),0),0))</f>
        <v/>
      </c>
      <c r="S130" s="7">
        <f>(105/'Rules &amp; Formulas'!B10)*'Rules &amp; Formulas'!B11</f>
        <v/>
      </c>
      <c r="T130" s="7">
        <f>IF(AD129&gt;=1,(MAX(1,ROUND('Rules &amp; Formulas'!B18*(1+0.3*AE129)*(1+0.4*AF129),0)))*(1000/'Rules &amp; Formulas'!B19)*MIN(0.95,'Rules &amp; Formulas'!B20*SQRT(1+0.55*(AG129&gt;=1))),0)</f>
        <v/>
      </c>
      <c r="U130" s="7">
        <f>S130+T130</f>
        <v/>
      </c>
      <c r="V130" s="7">
        <f>IF(I129&gt;=IF((IFERROR(VLOOKUP(C130,Monsters!$T$4:$AH$15,15,FALSE),0))=0,120,IFERROR(VLOOKUP(C130,Monsters!$T$4:$AH$15,15,FALSE),0)),"YES","no")</f>
        <v/>
      </c>
      <c r="W130" s="7">
        <f>IF(AND(B130="Fight boss",E130="OK"),IF((((105/'Rules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Formulas'!B20*SQRT(1+0.55*(AG129&gt;=1))),0)))),"")</f>
        <v/>
      </c>
      <c r="X130" s="7">
        <f>IF(AND(B130="Fight boss",E130="OK"),IF((IF((((105/'Rules &amp; Formulas'!B10)*'Rules &amp; Formulas'!B11+IF(AD129&gt;=1,(MAX(1,ROUND('Rules &amp; Formulas'!B18*(1+0.3*AE129)*(1+0.4*AF129),0)))*(1000/'Rules &amp; Formulas'!B19)*MIN(0.95,'Rules &amp; Formulas'!B20*SQRT(1+0.55*(AG129&gt;=1))),0)))&lt;=0,9999,(IFERROR(VLOOKUP(C130,Monsters!$T$4:$AH$15,2,FALSE),0))/(((105/'Rules &amp; Formulas'!B10)*'Rules &amp; Formulas'!B11+IF(AD129&gt;=1,(MAX(1,ROUND('Rules &amp; Formulas'!B18*(1+0.3*AE129)*(1+0.4*AF129),0)))*(1000/'Rules &amp; Formulas'!B19)*MIN(0.95,'Rules &amp; Formulas'!B20*SQRT(1+0.55*(AG129&gt;=1))),0))))&lt;='Rules &amp; Formulas'!B12),"WIN","LOSE"),"")</f>
        <v/>
      </c>
      <c r="Y130" s="7">
        <f>IF(B130="Go AFK",MIN(IF(B130="Go AFK",IF(D130="",0,D130),0),Z129/60),"")</f>
        <v/>
      </c>
      <c r="Z130" s="7">
        <f>('Rules &amp; Formulas'!B13+30*AI130)</f>
        <v/>
      </c>
      <c r="AA130">
        <f>COUNTIFS($B$3:$B130,"Buy upgrade",$C$3:$C130,"Idle Power")</f>
        <v/>
      </c>
      <c r="AB130">
        <f>COUNTIFS($B$3:$B130,"Buy upgrade",$C$3:$C130,"Iron Blade")</f>
        <v/>
      </c>
      <c r="AC130">
        <f>COUNTIFS($B$3:$B130,"Buy upgrade",$C$3:$C130,"Steel Blade")</f>
        <v/>
      </c>
      <c r="AD130">
        <f>COUNTIFS($B$3:$B130,"Hire hunter",$C$3:$C130,"Briar")+COUNTIFS($B$3:$B130,"Buy upgrade",$C$3:$C130,"Hire Briar")</f>
        <v/>
      </c>
      <c r="AE130">
        <f>COUNTIFS($B$3:$B130,"Buy upgrade",$C$3:$C130,"Hunter Power")</f>
        <v/>
      </c>
      <c r="AF130">
        <f>COUNTIFS($B$3:$B130,"Buy upgrade",$C$3:$C130,"Bigger Hits")</f>
        <v/>
      </c>
      <c r="AG130">
        <f>COUNTIFS($B$3:$B130,"Buy upgrade",$C$3:$C130,"Swift Walk")</f>
        <v/>
      </c>
      <c r="AH130">
        <f>COUNTIFS($B$3:$B130,"Buy upgrade",$C$3:$C130,"Loot Luck")</f>
        <v/>
      </c>
      <c r="AI130">
        <f>COUNTIFS($B$3:$B130,"Buy upgrade",$C$3:$C130,"Offline Cap")</f>
        <v/>
      </c>
      <c r="AJ130">
        <f>COUNTIFS($B$3:$B130,"Buy upgrade",$C$3:$C130,"Bigger Food Stock")</f>
        <v/>
      </c>
      <c r="AK130">
        <f>COUNTIFS($B$3:$B130,"Buy upgrade",$C$3:$C130,"Food Efficiency")</f>
        <v/>
      </c>
    </row>
    <row r="131">
      <c r="A131" t="n">
        <v>129</v>
      </c>
      <c r="B131" s="6" t="n"/>
      <c r="C131" s="6" t="n"/>
      <c r="D131" s="6" t="n"/>
      <c r="E131" s="7">
        <f>IF(B131="","",IF(OR(B131="Hunt",B131="Go AFK"),IF(C131="","Can't","OK"),IF(B131="Fight boss",IF(I130&lt;IF((IFERROR(VLOOKUP(C131,Monsters!$T$4:$AH$15,15,FALSE),0))=0,120,IFERROR(VLOOKUP(C131,Monsters!$T$4:$AH$15,15,FALSE),0)),"Can't","OK"),IF(B131="Hire hunter",IF(AND(C131="Briar",AD130&gt;=1),"Can't",IF(H130&lt;IF(C131="Briar",140,IF(C131="Quill",3650,IF(C131="Moss",4850,IF(C131="Ember",12200,0)))),"Can't","OK")),IF(OR(B131="Buy upgrade",B131="Forge/Scrapwork buy"),IF(IFERROR(VLOOKUP(C131,Upgrades!$N$4:$T$47,2,FALSE),0)="points","Can't",IF(IFERROR(VLOOKUP(C131,Upgrades!$N$4:$T$47,2,FALSE),0)="gold",IF(H130&lt;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buy",$C$3:$C130,C131))),1),0),"Can't","OK"),IF(IFERROR(VLOOKUP(C131,Upgrades!$N$4:$T$47,2,FALSE),0)="scraps",IF(J130&lt;IFERROR(FLOOR(IFERROR(VLOOKUP(C131,Upgrades!$N$4:$T$47,3,FALSE),0)*(IFERROR(VLOOKUP(C131,Upgrades!$N$4:$T$47,4,FALSE),0)^(COUNTIFS($B$3:$B130,"Buy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buy",$C$3:$C130,C131))),1),0),"Can't","OK"),IF(IFERROR(VLOOKUP(C131,Upgrades!$N$4:$T$47,2,FALSE),0)="mats","Can't","OK")))),"Check")))))</f>
        <v/>
      </c>
      <c r="F131" s="7">
        <f>IF(B131="","",IF(AND(B131="Fight boss",I130&lt;IF((IFERROR(VLOOKUP(C131,Monsters!$T$4:$AH$15,15,FALSE),0))=0,120,IFERROR(VLOOKUP(C131,Monsters!$T$4:$AH$15,15,FALSE),0))),"Can't — need "&amp;TEXT(IF((IFERROR(VLOOKUP(C131,Monsters!$T$4:$AH$15,15,FALSE),0))=0,120,IFERROR(VLOOKUP(C131,Monsters!$T$4:$AH$15,15,FALSE),0))-I130,"0.0")&amp;" more Slayer points on the meter",IF(AND(B131="Hire hunter",C131="Briar",AD130&gt;=1),"Can't — already hired",IF(AND(B131="Hire hunter",H130&lt;IF(C131="Briar",140,IF(C131="Quill",3650,IF(C131="Moss",4850,IF(C131="Ember",12200,0))))),"Can't — need "&amp;TEXT(IF(C131="Briar",140,IF(C131="Quill",3650,IF(C131="Moss",4850,IF(C131="Ember",12200,0))))-H130,"0")&amp;" more gold",IF(AND(OR(B131="Buy upgrade",B131="Forge/Scrapwork buy"),IFERROR(VLOOKUP(C131,Upgrades!$N$4:$T$47,2,FALSE),0)="points"),"Can't — Sp-wallet spends not tracked here",IF(AND(OR(B131="Buy upgrade",B131="Forge/Scrapwork buy"),IFERROR(VLOOKUP(C131,Upgrades!$N$4:$T$47,2,FALSE),0)="gold",H130&lt;IFERROR(FLOOR(IFERROR(VLOOKUP(C131,Upgrades!$N$4:$T$47,3,FALSE),0)*(IFERROR(VLOOKUP(C131,Upgrades!$N$4:$T$47,4,FALSE),0)^(COUNTIFS($B$3:$B130,"Buy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buy",$C$3:$C130,C131))),1),0)),"Can't — need "&amp;TEXT(IFERROR(FLOOR(IFERROR(VLOOKUP(C131,Upgrades!$N$4:$T$47,3,FALSE),0)*(IFERROR(VLOOKUP(C131,Upgrades!$N$4:$T$47,4,FALSE),0)^(COUNTIFS($B$3:$B130,"Buy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buy",$C$3:$C130,C131))),1),0)-H130,"0")&amp;" more gold",IF(AND(OR(B131="Buy upgrade",B131="Forge/Scrapwork buy"),IFERROR(VLOOKUP(C131,Upgrades!$N$4:$T$47,2,FALSE),0)="scraps",J130&lt;IFERROR(FLOOR(IFERROR(VLOOKUP(C131,Upgrades!$N$4:$T$47,3,FALSE),0)*(IFERROR(VLOOKUP(C131,Upgrades!$N$4:$T$47,4,FALSE),0)^(COUNTIFS($B$3:$B130,"Buy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buy",$C$3:$C130,C131))),1),0)),"Can't — need "&amp;TEXT(IFERROR(FLOOR(IFERROR(VLOOKUP(C131,Upgrades!$N$4:$T$47,3,FALSE),0)*(IFERROR(VLOOKUP(C131,Upgrades!$N$4:$T$47,4,FALSE),0)^(COUNTIFS($B$3:$B130,"Buy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buy",$C$3:$C130,C131))),1),0)-J130,"0")&amp;" more scraps",IF(AND(B131="Fight boss",E131="OK",(IF((((105/'Rules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Formulas'!B12)),"WIN — boss down, next Level unlocks",IF(AND(B131="Fight boss",E131="OK"),"LOSE — TTK "&amp;TEXT(IF((((105/'Rules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Formulas'!B20*SQRT(1+0.55*(AG130&gt;=1))),0)))),"0")&amp;"s &gt; patience "&amp;TEXT('Rules &amp; Formulas'!B12,"0")&amp;"s (leave resets HP)",IF(B131="Go AFK","AFK resolved (see AFK counted h)","Applied")))))))))</f>
        <v/>
      </c>
      <c r="G131" s="7">
        <f>IF(AND((E131="OK"),B131="Fight boss",(IF((((105/'Rules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Formulas'!B12),C131="Elder Thornpelt"),2,IF(AND((E131="OK"),B131="Fight boss",(IF((((105/'Rules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Formulas'!B12),C131="Ashfang Alpha"),3,G130))</f>
        <v/>
      </c>
      <c r="H131" s="7">
        <f>MAX(0,H130+IF(AND((E131="OK"),B131="Hunt"),(IF(B131="Hunt",(('Rules &amp; Formulas'!B4*N130*('Rules &amp; Formulas'!B5+O130)*IFERROR(VLOOKUP(C131,Monsters!$T$4:$AH$15,10,FALSE),0)*IFERROR(VLOOKUP(C131,Monsters!$T$4:$AH$15,9,FALSE),0))*'Rules &amp; Formulas'!B6)*IF(D131="",0,D131),0))*(IFERROR(VLOOKUP(C131,Monsters!$T$4:$AH$15,3,FALSE),0))*(1+0.1*AH130)+(IF(OR(B131&lt;&gt;"Hunt",IFERROR(VLOOKUP(C131,Monsters!$T$4:$AH$15,6,FALSE),0)=0),0,FLOOR((IF(B131="Hunt",(('Rules &amp; Formulas'!B4*N130*('Rules &amp; Formulas'!B5+O130)*IFERROR(VLOOKUP(C131,Monsters!$T$4:$AH$15,10,FALSE),0)*IFERROR(VLOOKUP(C131,Monsters!$T$4:$AH$15,9,FALSE),0))*'Rules &amp; Formulas'!B6)*IF(D131="",0,D131),0))/MAX(1,IFERROR(VLOOKUP(C131,Monsters!$T$4:$AH$15,6,FALSE),0)),1)))*(IFERROR(VLOOKUP(C131,Monsters!$T$4:$AH$15,7,FALSE),0))*0.5*(1+0.1*AH130),0)+IF(AND((E131="OK"),B131="Go AFK"),(IF(B131="Go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AFK",IF(D131="",0,D131),0),Z130/60)*60)),0))*(IFERROR(VLOOKUP(C131,Monsters!$T$4:$AH$15,3,FALSE),0))*(1+0.1*AH130)+(IF(OR(B131&lt;&gt;"Go AFK",IFERROR(VLOOKUP(C131,Monsters!$T$4:$AH$15,6,FALSE),0)=0),0,FLOOR((IF(B131="Go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AFK",IF(D131="",0,D131),0),Z130/60)*60)),0))/MAX(1,IFERROR(VLOOKUP(C131,Monsters!$T$4:$AH$15,6,FALSE),0)),1)))*(IFERROR(VLOOKUP(C131,Monsters!$T$4:$AH$15,7,FALSE),0))*0.5*(1+0.1*AH130),0)+IF(AND((E131="OK"),B131="Fight boss",(IF((((105/'Rules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Formulas'!B12)),IFERROR(VLOOKUP(C131,Monsters!$T$4:$AH$15,3,FALSE),0),0)-IF(AND((E131="OK"),OR(B131="Buy upgrade",B131="Forge/Scrapwork buy"),IFERROR(VLOOKUP(C131,Upgrades!$N$4:$T$47,2,FALSE),0)="gold"),IFERROR(FLOOR(IFERROR(VLOOKUP(C131,Upgrades!$N$4:$T$47,3,FALSE),0)*(IFERROR(VLOOKUP(C131,Upgrades!$N$4:$T$47,4,FALSE),0)^(COUNTIFS($B$3:$B130,"Buy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buy",$C$3:$C130,C131))),1),0),0)-IF(AND((E131="OK"),B131="Hire hunter"),IF(C131="Briar",140,IF(C131="Quill",3650,IF(C131="Moss",4850,IF(C131="Ember",12200,0)))),0))</f>
        <v/>
      </c>
      <c r="I131" s="7">
        <f>IF(AND((E131="OK"),B131="Fight boss",(IF((((105/'Rules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Formulas'!B12)),0,MIN(IF(G130&lt;=1,120,IF(G130=2,280,600)),I130+IF(AND((E131="OK"),B131="Hunt"),((IF(B131="Hunt",(('Rules &amp; Formulas'!B4*N130*('Rules &amp; Formulas'!B5+O130)*IFERROR(VLOOKUP(C131,Monsters!$T$4:$AH$15,10,FALSE),0)*IFERROR(VLOOKUP(C131,Monsters!$T$4:$AH$15,9,FALSE),0))*'Rules &amp; Formulas'!B6)*IF(D131="",0,D131),0))*(IFERROR(VLOOKUP(C131,Monsters!$T$4:$AH$15,4,FALSE),0))+(IF(OR(B131&lt;&gt;"Hunt",IFERROR(VLOOKUP(C131,Monsters!$T$4:$AH$15,6,FALSE),0)=0),0,FLOOR((IF(B131="Hunt",(('Rules &amp; Formulas'!B4*N130*('Rules &amp; Formulas'!B5+O130)*IFERROR(VLOOKUP(C131,Monsters!$T$4:$AH$15,10,FALSE),0)*IFERROR(VLOOKUP(C131,Monsters!$T$4:$AH$15,9,FALSE),0))*'Rules &amp; Formulas'!B6)*IF(D131="",0,D131),0))/MAX(1,IFERROR(VLOOKUP(C131,Monsters!$T$4:$AH$15,6,FALSE),0)),1)))*(IFERROR(VLOOKUP(C131,Monsters!$T$4:$AH$15,7,FALSE),0))),0)+IF(AND((E131="OK"),B131="Go AFK"),((IF(B131="Go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AFK",IF(D131="",0,D131),0),Z130/60)*60)),0))*(IFERROR(VLOOKUP(C131,Monsters!$T$4:$AH$15,4,FALSE),0))+(IF(OR(B131&lt;&gt;"Go AFK",IFERROR(VLOOKUP(C131,Monsters!$T$4:$AH$15,6,FALSE),0)=0),0,FLOOR((IF(B131="Go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AFK",IF(D131="",0,D131),0),Z130/60)*60)),0))/MAX(1,IFERROR(VLOOKUP(C131,Monsters!$T$4:$AH$15,6,FALSE),0)),1)))*(IFERROR(VLOOKUP(C131,Monsters!$T$4:$AH$15,7,FALSE),0))),0)))</f>
        <v/>
      </c>
      <c r="J131" s="7">
        <f>MAX(0,J130+IF(AND((E131="OK"),B131="Hunt"),(IF(B131="Hunt",(('Rules &amp; Formulas'!B4*N130*('Rules &amp; Formulas'!B5+O130)*IFERROR(VLOOKUP(C131,Monsters!$T$4:$AH$15,10,FALSE),0)*IFERROR(VLOOKUP(C131,Monsters!$T$4:$AH$15,9,FALSE),0))*'Rules &amp; Formulas'!B6)*IF(D131="",0,D131),0))*(IFERROR(VLOOKUP(C131,Monsters!$T$4:$AH$15,5,FALSE),0)),0)+IF(AND((E131="OK"),B131="Go AFK"),(IF(B131="Go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AFK",IF(D131="",0,D131),0),Z130/60)*60)),0))*(IFERROR(VLOOKUP(C131,Monsters!$T$4:$AH$15,5,FALSE),0)),0)-IF(AND((E131="OK"),OR(B131="Buy upgrade",B131="Forge/Scrapwork buy"),IFERROR(VLOOKUP(C131,Upgrades!$N$4:$T$47,2,FALSE),0)="scraps"),IFERROR(FLOOR(IFERROR(VLOOKUP(C131,Upgrades!$N$4:$T$47,3,FALSE),0)*(IFERROR(VLOOKUP(C131,Upgrades!$N$4:$T$47,4,FALSE),0)^(COUNTIFS($B$3:$B130,"Buy upgrade",$C$3:$C130,C131)+COUNTIFS($B$3:$B130,"Hire hunter",$C$3:$C130,C131)+COUNTIFS($B$3:$B130,"Forge/Scrapwork buy",$C$3:$C130,C131))),1),0),0))</f>
        <v/>
      </c>
      <c r="K131" s="7">
        <f>MAX(0,K130+IF(AND((E131="OK"),B131="Hunt"),IF(C131="Thornpelt Bear",(IF(B131="Hunt",(('Rules &amp; Formulas'!B4*N130*('Rules &amp; Formulas'!B5+O130)*IFERROR(VLOOKUP(C131,Monsters!$T$4:$AH$15,10,FALSE),0)*IFERROR(VLOOKUP(C131,Monsters!$T$4:$AH$15,9,FALSE),0))*'Rules &amp; Formulas'!B6)*IF(D131="",0,D131),0))*0.12,0),0)+IF(AND((E131="OK"),B131="Go AFK"),IF(C131="Thornpelt Bear",(IF(B131="Go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AFK",IF(D131="",0,D131),0),Z130/60)*60)),0))*0.12,0),0))</f>
        <v/>
      </c>
      <c r="L131" s="7">
        <f>MAX(0,L130+IF(AND((E131="OK"),B131="Hunt"),IF(C131="Dire Thornpelt",(IF(B131="Hunt",(('Rules &amp; Formulas'!B4*N130*('Rules &amp; Formulas'!B5+O130)*IFERROR(VLOOKUP(C131,Monsters!$T$4:$AH$15,10,FALSE),0)*IFERROR(VLOOKUP(C131,Monsters!$T$4:$AH$15,9,FALSE),0))*'Rules &amp; Formulas'!B6)*IF(D131="",0,D131),0))*0.1,0),0)+IF(AND((E131="OK"),B131="Go AFK"),IF(C131="Dire Thornpelt",(IF(B131="Go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AFK",IF(D131="",0,D131),0),Z130/60)*60)),0))*0.1,0),0))</f>
        <v/>
      </c>
      <c r="M131" s="7">
        <f>IF(AND((E131="OK"),B131="Go AFK"),MAX(0,MIN(('Rules &amp; Formulas'!B15+25*AJ130),M130+('Rules &amp; Formulas'!B14+0.4*AJ130)*(MIN(IF(B131="Go AFK",IF(D131="",0,D131),0),Z130/60)*60))-(IF(B131="Go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AFK",IF(D131="",0,D131),0),Z130/60)*60)),0))*(IF((IFERROR(VLOOKUP(C131,Monsters!$T$4:$AH$15,8,FALSE),0))=0,0.35,IFERROR(VLOOKUP(C131,Monsters!$T$4:$AH$15,8,FALSE),0))/(1+0.08*AK130))),MIN(('Rules &amp; Formulas'!B15+25*AJ131),M130))</f>
        <v/>
      </c>
      <c r="N131" s="7">
        <f>(1+0.08+0.12*AA131+0.12*AB131+0.16*AC131)</f>
        <v/>
      </c>
      <c r="O131" s="7">
        <f>((AD131&gt;=1)*1*(1+0.3*AE131))</f>
        <v/>
      </c>
      <c r="P131" s="7">
        <f>IF(OR(B131="Hunt",B131="Go AFK"),(('Rules &amp; Formulas'!B4*N130*('Rules &amp; Formulas'!B5+O130)*IFERROR(VLOOKUP(C131,Monsters!$T$4:$AH$15,10,FALSE),0)*IFERROR(VLOOKUP(C131,Monsters!$T$4:$AH$15,9,FALSE),0))*'Rules &amp; Formulas'!B6),"")</f>
        <v/>
      </c>
      <c r="Q131" s="7">
        <f>IF(OR(B131="Hunt",B131="Go AFK"),('Rules &amp; Formulas'!B4*N130*('Rules &amp; Formulas'!B5+O130)*IFERROR(VLOOKUP(C131,Monsters!$T$4:$AH$15,10,FALSE),0)*IFERROR(VLOOKUP(C131,Monsters!$T$4:$AH$15,9,FALSE),0)),"")</f>
        <v/>
      </c>
      <c r="R131" s="7">
        <f>IF(AND((E131="OK"),B131="Hunt"),IF(B131="Hunt",(('Rules &amp; Formulas'!B4*N130*('Rules &amp; Formulas'!B5+O130)*IFERROR(VLOOKUP(C131,Monsters!$T$4:$AH$15,10,FALSE),0)*IFERROR(VLOOKUP(C131,Monsters!$T$4:$AH$15,9,FALSE),0))*'Rules &amp; Formulas'!B6)*IF(D131="",0,D131),0),IF(AND((E131="OK"),B131="Go AFK"),IF(B131="Go AFK",MIN(IF((IF((IFERROR(VLOOKUP(C131,Monsters!$T$4:$AH$15,8,FALSE),0))=0,0.35,IFERROR(VLOOKUP(C131,Monsters!$T$4:$AH$15,8,FALSE),0))/(1+0.08*AK130))&lt;=0,999999,FLOOR(MIN(('Rules &amp; Formulas'!B15+25*AJ130),M130+('Rules &amp; Formulas'!B14+0.4*AJ130)*(MIN(IF(B131="Go AFK",IF(D131="",0,D131),0),Z130/60)*60))/(IF((IFERROR(VLOOKUP(C131,Monsters!$T$4:$AH$15,8,FALSE),0))=0,0.35,IFERROR(VLOOKUP(C131,Monsters!$T$4:$AH$15,8,FALSE),0))/(1+0.08*AK130)),1)),('Rules &amp; Formulas'!B4*N130*('Rules &amp; Formulas'!B5+O130)*IFERROR(VLOOKUP(C131,Monsters!$T$4:$AH$15,10,FALSE),0)*IFERROR(VLOOKUP(C131,Monsters!$T$4:$AH$15,9,FALSE),0))*(MIN(IF(B131="Go AFK",IF(D131="",0,D131),0),Z130/60)*60)),0),0))</f>
        <v/>
      </c>
      <c r="S131" s="7">
        <f>(105/'Rules &amp; Formulas'!B10)*'Rules &amp; Formulas'!B11</f>
        <v/>
      </c>
      <c r="T131" s="7">
        <f>IF(AD130&gt;=1,(MAX(1,ROUND('Rules &amp; Formulas'!B18*(1+0.3*AE130)*(1+0.4*AF130),0)))*(1000/'Rules &amp; Formulas'!B19)*MIN(0.95,'Rules &amp; Formulas'!B20*SQRT(1+0.55*(AG130&gt;=1))),0)</f>
        <v/>
      </c>
      <c r="U131" s="7">
        <f>S131+T131</f>
        <v/>
      </c>
      <c r="V131" s="7">
        <f>IF(I130&gt;=IF((IFERROR(VLOOKUP(C131,Monsters!$T$4:$AH$15,15,FALSE),0))=0,120,IFERROR(VLOOKUP(C131,Monsters!$T$4:$AH$15,15,FALSE),0)),"YES","no")</f>
        <v/>
      </c>
      <c r="W131" s="7">
        <f>IF(AND(B131="Fight boss",E131="OK"),IF((((105/'Rules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Formulas'!B20*SQRT(1+0.55*(AG130&gt;=1))),0)))),"")</f>
        <v/>
      </c>
      <c r="X131" s="7">
        <f>IF(AND(B131="Fight boss",E131="OK"),IF((IF((((105/'Rules &amp; Formulas'!B10)*'Rules &amp; Formulas'!B11+IF(AD130&gt;=1,(MAX(1,ROUND('Rules &amp; Formulas'!B18*(1+0.3*AE130)*(1+0.4*AF130),0)))*(1000/'Rules &amp; Formulas'!B19)*MIN(0.95,'Rules &amp; Formulas'!B20*SQRT(1+0.55*(AG130&gt;=1))),0)))&lt;=0,9999,(IFERROR(VLOOKUP(C131,Monsters!$T$4:$AH$15,2,FALSE),0))/(((105/'Rules &amp; Formulas'!B10)*'Rules &amp; Formulas'!B11+IF(AD130&gt;=1,(MAX(1,ROUND('Rules &amp; Formulas'!B18*(1+0.3*AE130)*(1+0.4*AF130),0)))*(1000/'Rules &amp; Formulas'!B19)*MIN(0.95,'Rules &amp; Formulas'!B20*SQRT(1+0.55*(AG130&gt;=1))),0))))&lt;='Rules &amp; Formulas'!B12),"WIN","LOSE"),"")</f>
        <v/>
      </c>
      <c r="Y131" s="7">
        <f>IF(B131="Go AFK",MIN(IF(B131="Go AFK",IF(D131="",0,D131),0),Z130/60),"")</f>
        <v/>
      </c>
      <c r="Z131" s="7">
        <f>('Rules &amp; Formulas'!B13+30*AI131)</f>
        <v/>
      </c>
      <c r="AA131">
        <f>COUNTIFS($B$3:$B131,"Buy upgrade",$C$3:$C131,"Idle Power")</f>
        <v/>
      </c>
      <c r="AB131">
        <f>COUNTIFS($B$3:$B131,"Buy upgrade",$C$3:$C131,"Iron Blade")</f>
        <v/>
      </c>
      <c r="AC131">
        <f>COUNTIFS($B$3:$B131,"Buy upgrade",$C$3:$C131,"Steel Blade")</f>
        <v/>
      </c>
      <c r="AD131">
        <f>COUNTIFS($B$3:$B131,"Hire hunter",$C$3:$C131,"Briar")+COUNTIFS($B$3:$B131,"Buy upgrade",$C$3:$C131,"Hire Briar")</f>
        <v/>
      </c>
      <c r="AE131">
        <f>COUNTIFS($B$3:$B131,"Buy upgrade",$C$3:$C131,"Hunter Power")</f>
        <v/>
      </c>
      <c r="AF131">
        <f>COUNTIFS($B$3:$B131,"Buy upgrade",$C$3:$C131,"Bigger Hits")</f>
        <v/>
      </c>
      <c r="AG131">
        <f>COUNTIFS($B$3:$B131,"Buy upgrade",$C$3:$C131,"Swift Walk")</f>
        <v/>
      </c>
      <c r="AH131">
        <f>COUNTIFS($B$3:$B131,"Buy upgrade",$C$3:$C131,"Loot Luck")</f>
        <v/>
      </c>
      <c r="AI131">
        <f>COUNTIFS($B$3:$B131,"Buy upgrade",$C$3:$C131,"Offline Cap")</f>
        <v/>
      </c>
      <c r="AJ131">
        <f>COUNTIFS($B$3:$B131,"Buy upgrade",$C$3:$C131,"Bigger Food Stock")</f>
        <v/>
      </c>
      <c r="AK131">
        <f>COUNTIFS($B$3:$B131,"Buy upgrade",$C$3:$C131,"Food Efficiency")</f>
        <v/>
      </c>
    </row>
    <row r="132">
      <c r="A132" t="n">
        <v>130</v>
      </c>
      <c r="B132" s="6" t="n"/>
      <c r="C132" s="6" t="n"/>
      <c r="D132" s="6" t="n"/>
      <c r="E132" s="7">
        <f>IF(B132="","",IF(OR(B132="Hunt",B132="Go AFK"),IF(C132="","Can't","OK"),IF(B132="Fight boss",IF(I131&lt;IF((IFERROR(VLOOKUP(C132,Monsters!$T$4:$AH$15,15,FALSE),0))=0,120,IFERROR(VLOOKUP(C132,Monsters!$T$4:$AH$15,15,FALSE),0)),"Can't","OK"),IF(B132="Hire hunter",IF(AND(C132="Briar",AD131&gt;=1),"Can't",IF(H131&lt;IF(C132="Briar",140,IF(C132="Quill",3650,IF(C132="Moss",4850,IF(C132="Ember",12200,0)))),"Can't","OK")),IF(OR(B132="Buy upgrade",B132="Forge/Scrapwork buy"),IF(IFERROR(VLOOKUP(C132,Upgrades!$N$4:$T$47,2,FALSE),0)="points","Can't",IF(IFERROR(VLOOKUP(C132,Upgrades!$N$4:$T$47,2,FALSE),0)="gold",IF(H131&lt;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buy",$C$3:$C131,C132))),1),0),"Can't","OK"),IF(IFERROR(VLOOKUP(C132,Upgrades!$N$4:$T$47,2,FALSE),0)="scraps",IF(J131&lt;IFERROR(FLOOR(IFERROR(VLOOKUP(C132,Upgrades!$N$4:$T$47,3,FALSE),0)*(IFERROR(VLOOKUP(C132,Upgrades!$N$4:$T$47,4,FALSE),0)^(COUNTIFS($B$3:$B131,"Buy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buy",$C$3:$C131,C132))),1),0),"Can't","OK"),IF(IFERROR(VLOOKUP(C132,Upgrades!$N$4:$T$47,2,FALSE),0)="mats","Can't","OK")))),"Check")))))</f>
        <v/>
      </c>
      <c r="F132" s="7">
        <f>IF(B132="","",IF(AND(B132="Fight boss",I131&lt;IF((IFERROR(VLOOKUP(C132,Monsters!$T$4:$AH$15,15,FALSE),0))=0,120,IFERROR(VLOOKUP(C132,Monsters!$T$4:$AH$15,15,FALSE),0))),"Can't — need "&amp;TEXT(IF((IFERROR(VLOOKUP(C132,Monsters!$T$4:$AH$15,15,FALSE),0))=0,120,IFERROR(VLOOKUP(C132,Monsters!$T$4:$AH$15,15,FALSE),0))-I131,"0.0")&amp;" more Slayer points on the meter",IF(AND(B132="Hire hunter",C132="Briar",AD131&gt;=1),"Can't — already hired",IF(AND(B132="Hire hunter",H131&lt;IF(C132="Briar",140,IF(C132="Quill",3650,IF(C132="Moss",4850,IF(C132="Ember",12200,0))))),"Can't — need "&amp;TEXT(IF(C132="Briar",140,IF(C132="Quill",3650,IF(C132="Moss",4850,IF(C132="Ember",12200,0))))-H131,"0")&amp;" more gold",IF(AND(OR(B132="Buy upgrade",B132="Forge/Scrapwork buy"),IFERROR(VLOOKUP(C132,Upgrades!$N$4:$T$47,2,FALSE),0)="points"),"Can't — Sp-wallet spends not tracked here",IF(AND(OR(B132="Buy upgrade",B132="Forge/Scrapwork buy"),IFERROR(VLOOKUP(C132,Upgrades!$N$4:$T$47,2,FALSE),0)="gold",H131&lt;IFERROR(FLOOR(IFERROR(VLOOKUP(C132,Upgrades!$N$4:$T$47,3,FALSE),0)*(IFERROR(VLOOKUP(C132,Upgrades!$N$4:$T$47,4,FALSE),0)^(COUNTIFS($B$3:$B131,"Buy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buy",$C$3:$C131,C132))),1),0)),"Can't — need "&amp;TEXT(IFERROR(FLOOR(IFERROR(VLOOKUP(C132,Upgrades!$N$4:$T$47,3,FALSE),0)*(IFERROR(VLOOKUP(C132,Upgrades!$N$4:$T$47,4,FALSE),0)^(COUNTIFS($B$3:$B131,"Buy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buy",$C$3:$C131,C132))),1),0)-H131,"0")&amp;" more gold",IF(AND(OR(B132="Buy upgrade",B132="Forge/Scrapwork buy"),IFERROR(VLOOKUP(C132,Upgrades!$N$4:$T$47,2,FALSE),0)="scraps",J131&lt;IFERROR(FLOOR(IFERROR(VLOOKUP(C132,Upgrades!$N$4:$T$47,3,FALSE),0)*(IFERROR(VLOOKUP(C132,Upgrades!$N$4:$T$47,4,FALSE),0)^(COUNTIFS($B$3:$B131,"Buy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buy",$C$3:$C131,C132))),1),0)),"Can't — need "&amp;TEXT(IFERROR(FLOOR(IFERROR(VLOOKUP(C132,Upgrades!$N$4:$T$47,3,FALSE),0)*(IFERROR(VLOOKUP(C132,Upgrades!$N$4:$T$47,4,FALSE),0)^(COUNTIFS($B$3:$B131,"Buy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buy",$C$3:$C131,C132))),1),0)-J131,"0")&amp;" more scraps",IF(AND(B132="Fight boss",E132="OK",(IF((((105/'Rules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Formulas'!B12)),"WIN — boss down, next Level unlocks",IF(AND(B132="Fight boss",E132="OK"),"LOSE — TTK "&amp;TEXT(IF((((105/'Rules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Formulas'!B20*SQRT(1+0.55*(AG131&gt;=1))),0)))),"0")&amp;"s &gt; patience "&amp;TEXT('Rules &amp; Formulas'!B12,"0")&amp;"s (leave resets HP)",IF(B132="Go AFK","AFK resolved (see AFK counted h)","Applied")))))))))</f>
        <v/>
      </c>
      <c r="G132" s="7">
        <f>IF(AND((E132="OK"),B132="Fight boss",(IF((((105/'Rules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Formulas'!B12),C132="Elder Thornpelt"),2,IF(AND((E132="OK"),B132="Fight boss",(IF((((105/'Rules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Formulas'!B12),C132="Ashfang Alpha"),3,G131))</f>
        <v/>
      </c>
      <c r="H132" s="7">
        <f>MAX(0,H131+IF(AND((E132="OK"),B132="Hunt"),(IF(B132="Hunt",(('Rules &amp; Formulas'!B4*N131*('Rules &amp; Formulas'!B5+O131)*IFERROR(VLOOKUP(C132,Monsters!$T$4:$AH$15,10,FALSE),0)*IFERROR(VLOOKUP(C132,Monsters!$T$4:$AH$15,9,FALSE),0))*'Rules &amp; Formulas'!B6)*IF(D132="",0,D132),0))*(IFERROR(VLOOKUP(C132,Monsters!$T$4:$AH$15,3,FALSE),0))*(1+0.1*AH131)+(IF(OR(B132&lt;&gt;"Hunt",IFERROR(VLOOKUP(C132,Monsters!$T$4:$AH$15,6,FALSE),0)=0),0,FLOOR((IF(B132="Hunt",(('Rules &amp; Formulas'!B4*N131*('Rules &amp; Formulas'!B5+O131)*IFERROR(VLOOKUP(C132,Monsters!$T$4:$AH$15,10,FALSE),0)*IFERROR(VLOOKUP(C132,Monsters!$T$4:$AH$15,9,FALSE),0))*'Rules &amp; Formulas'!B6)*IF(D132="",0,D132),0))/MAX(1,IFERROR(VLOOKUP(C132,Monsters!$T$4:$AH$15,6,FALSE),0)),1)))*(IFERROR(VLOOKUP(C132,Monsters!$T$4:$AH$15,7,FALSE),0))*0.5*(1+0.1*AH131),0)+IF(AND((E132="OK"),B132="Go AFK"),(IF(B132="Go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AFK",IF(D132="",0,D132),0),Z131/60)*60)),0))*(IFERROR(VLOOKUP(C132,Monsters!$T$4:$AH$15,3,FALSE),0))*(1+0.1*AH131)+(IF(OR(B132&lt;&gt;"Go AFK",IFERROR(VLOOKUP(C132,Monsters!$T$4:$AH$15,6,FALSE),0)=0),0,FLOOR((IF(B132="Go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AFK",IF(D132="",0,D132),0),Z131/60)*60)),0))/MAX(1,IFERROR(VLOOKUP(C132,Monsters!$T$4:$AH$15,6,FALSE),0)),1)))*(IFERROR(VLOOKUP(C132,Monsters!$T$4:$AH$15,7,FALSE),0))*0.5*(1+0.1*AH131),0)+IF(AND((E132="OK"),B132="Fight boss",(IF((((105/'Rules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Formulas'!B12)),IFERROR(VLOOKUP(C132,Monsters!$T$4:$AH$15,3,FALSE),0),0)-IF(AND((E132="OK"),OR(B132="Buy upgrade",B132="Forge/Scrapwork buy"),IFERROR(VLOOKUP(C132,Upgrades!$N$4:$T$47,2,FALSE),0)="gold"),IFERROR(FLOOR(IFERROR(VLOOKUP(C132,Upgrades!$N$4:$T$47,3,FALSE),0)*(IFERROR(VLOOKUP(C132,Upgrades!$N$4:$T$47,4,FALSE),0)^(COUNTIFS($B$3:$B131,"Buy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buy",$C$3:$C131,C132))),1),0),0)-IF(AND((E132="OK"),B132="Hire hunter"),IF(C132="Briar",140,IF(C132="Quill",3650,IF(C132="Moss",4850,IF(C132="Ember",12200,0)))),0))</f>
        <v/>
      </c>
      <c r="I132" s="7">
        <f>IF(AND((E132="OK"),B132="Fight boss",(IF((((105/'Rules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Formulas'!B12)),0,MIN(IF(G131&lt;=1,120,IF(G131=2,280,600)),I131+IF(AND((E132="OK"),B132="Hunt"),((IF(B132="Hunt",(('Rules &amp; Formulas'!B4*N131*('Rules &amp; Formulas'!B5+O131)*IFERROR(VLOOKUP(C132,Monsters!$T$4:$AH$15,10,FALSE),0)*IFERROR(VLOOKUP(C132,Monsters!$T$4:$AH$15,9,FALSE),0))*'Rules &amp; Formulas'!B6)*IF(D132="",0,D132),0))*(IFERROR(VLOOKUP(C132,Monsters!$T$4:$AH$15,4,FALSE),0))+(IF(OR(B132&lt;&gt;"Hunt",IFERROR(VLOOKUP(C132,Monsters!$T$4:$AH$15,6,FALSE),0)=0),0,FLOOR((IF(B132="Hunt",(('Rules &amp; Formulas'!B4*N131*('Rules &amp; Formulas'!B5+O131)*IFERROR(VLOOKUP(C132,Monsters!$T$4:$AH$15,10,FALSE),0)*IFERROR(VLOOKUP(C132,Monsters!$T$4:$AH$15,9,FALSE),0))*'Rules &amp; Formulas'!B6)*IF(D132="",0,D132),0))/MAX(1,IFERROR(VLOOKUP(C132,Monsters!$T$4:$AH$15,6,FALSE),0)),1)))*(IFERROR(VLOOKUP(C132,Monsters!$T$4:$AH$15,7,FALSE),0))),0)+IF(AND((E132="OK"),B132="Go AFK"),((IF(B132="Go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AFK",IF(D132="",0,D132),0),Z131/60)*60)),0))*(IFERROR(VLOOKUP(C132,Monsters!$T$4:$AH$15,4,FALSE),0))+(IF(OR(B132&lt;&gt;"Go AFK",IFERROR(VLOOKUP(C132,Monsters!$T$4:$AH$15,6,FALSE),0)=0),0,FLOOR((IF(B132="Go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AFK",IF(D132="",0,D132),0),Z131/60)*60)),0))/MAX(1,IFERROR(VLOOKUP(C132,Monsters!$T$4:$AH$15,6,FALSE),0)),1)))*(IFERROR(VLOOKUP(C132,Monsters!$T$4:$AH$15,7,FALSE),0))),0)))</f>
        <v/>
      </c>
      <c r="J132" s="7">
        <f>MAX(0,J131+IF(AND((E132="OK"),B132="Hunt"),(IF(B132="Hunt",(('Rules &amp; Formulas'!B4*N131*('Rules &amp; Formulas'!B5+O131)*IFERROR(VLOOKUP(C132,Monsters!$T$4:$AH$15,10,FALSE),0)*IFERROR(VLOOKUP(C132,Monsters!$T$4:$AH$15,9,FALSE),0))*'Rules &amp; Formulas'!B6)*IF(D132="",0,D132),0))*(IFERROR(VLOOKUP(C132,Monsters!$T$4:$AH$15,5,FALSE),0)),0)+IF(AND((E132="OK"),B132="Go AFK"),(IF(B132="Go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AFK",IF(D132="",0,D132),0),Z131/60)*60)),0))*(IFERROR(VLOOKUP(C132,Monsters!$T$4:$AH$15,5,FALSE),0)),0)-IF(AND((E132="OK"),OR(B132="Buy upgrade",B132="Forge/Scrapwork buy"),IFERROR(VLOOKUP(C132,Upgrades!$N$4:$T$47,2,FALSE),0)="scraps"),IFERROR(FLOOR(IFERROR(VLOOKUP(C132,Upgrades!$N$4:$T$47,3,FALSE),0)*(IFERROR(VLOOKUP(C132,Upgrades!$N$4:$T$47,4,FALSE),0)^(COUNTIFS($B$3:$B131,"Buy upgrade",$C$3:$C131,C132)+COUNTIFS($B$3:$B131,"Hire hunter",$C$3:$C131,C132)+COUNTIFS($B$3:$B131,"Forge/Scrapwork buy",$C$3:$C131,C132))),1),0),0))</f>
        <v/>
      </c>
      <c r="K132" s="7">
        <f>MAX(0,K131+IF(AND((E132="OK"),B132="Hunt"),IF(C132="Thornpelt Bear",(IF(B132="Hunt",(('Rules &amp; Formulas'!B4*N131*('Rules &amp; Formulas'!B5+O131)*IFERROR(VLOOKUP(C132,Monsters!$T$4:$AH$15,10,FALSE),0)*IFERROR(VLOOKUP(C132,Monsters!$T$4:$AH$15,9,FALSE),0))*'Rules &amp; Formulas'!B6)*IF(D132="",0,D132),0))*0.12,0),0)+IF(AND((E132="OK"),B132="Go AFK"),IF(C132="Thornpelt Bear",(IF(B132="Go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AFK",IF(D132="",0,D132),0),Z131/60)*60)),0))*0.12,0),0))</f>
        <v/>
      </c>
      <c r="L132" s="7">
        <f>MAX(0,L131+IF(AND((E132="OK"),B132="Hunt"),IF(C132="Dire Thornpelt",(IF(B132="Hunt",(('Rules &amp; Formulas'!B4*N131*('Rules &amp; Formulas'!B5+O131)*IFERROR(VLOOKUP(C132,Monsters!$T$4:$AH$15,10,FALSE),0)*IFERROR(VLOOKUP(C132,Monsters!$T$4:$AH$15,9,FALSE),0))*'Rules &amp; Formulas'!B6)*IF(D132="",0,D132),0))*0.1,0),0)+IF(AND((E132="OK"),B132="Go AFK"),IF(C132="Dire Thornpelt",(IF(B132="Go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AFK",IF(D132="",0,D132),0),Z131/60)*60)),0))*0.1,0),0))</f>
        <v/>
      </c>
      <c r="M132" s="7">
        <f>IF(AND((E132="OK"),B132="Go AFK"),MAX(0,MIN(('Rules &amp; Formulas'!B15+25*AJ131),M131+('Rules &amp; Formulas'!B14+0.4*AJ131)*(MIN(IF(B132="Go AFK",IF(D132="",0,D132),0),Z131/60)*60))-(IF(B132="Go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AFK",IF(D132="",0,D132),0),Z131/60)*60)),0))*(IF((IFERROR(VLOOKUP(C132,Monsters!$T$4:$AH$15,8,FALSE),0))=0,0.35,IFERROR(VLOOKUP(C132,Monsters!$T$4:$AH$15,8,FALSE),0))/(1+0.08*AK131))),MIN(('Rules &amp; Formulas'!B15+25*AJ132),M131))</f>
        <v/>
      </c>
      <c r="N132" s="7">
        <f>(1+0.08+0.12*AA132+0.12*AB132+0.16*AC132)</f>
        <v/>
      </c>
      <c r="O132" s="7">
        <f>((AD132&gt;=1)*1*(1+0.3*AE132))</f>
        <v/>
      </c>
      <c r="P132" s="7">
        <f>IF(OR(B132="Hunt",B132="Go AFK"),(('Rules &amp; Formulas'!B4*N131*('Rules &amp; Formulas'!B5+O131)*IFERROR(VLOOKUP(C132,Monsters!$T$4:$AH$15,10,FALSE),0)*IFERROR(VLOOKUP(C132,Monsters!$T$4:$AH$15,9,FALSE),0))*'Rules &amp; Formulas'!B6),"")</f>
        <v/>
      </c>
      <c r="Q132" s="7">
        <f>IF(OR(B132="Hunt",B132="Go AFK"),('Rules &amp; Formulas'!B4*N131*('Rules &amp; Formulas'!B5+O131)*IFERROR(VLOOKUP(C132,Monsters!$T$4:$AH$15,10,FALSE),0)*IFERROR(VLOOKUP(C132,Monsters!$T$4:$AH$15,9,FALSE),0)),"")</f>
        <v/>
      </c>
      <c r="R132" s="7">
        <f>IF(AND((E132="OK"),B132="Hunt"),IF(B132="Hunt",(('Rules &amp; Formulas'!B4*N131*('Rules &amp; Formulas'!B5+O131)*IFERROR(VLOOKUP(C132,Monsters!$T$4:$AH$15,10,FALSE),0)*IFERROR(VLOOKUP(C132,Monsters!$T$4:$AH$15,9,FALSE),0))*'Rules &amp; Formulas'!B6)*IF(D132="",0,D132),0),IF(AND((E132="OK"),B132="Go AFK"),IF(B132="Go AFK",MIN(IF((IF((IFERROR(VLOOKUP(C132,Monsters!$T$4:$AH$15,8,FALSE),0))=0,0.35,IFERROR(VLOOKUP(C132,Monsters!$T$4:$AH$15,8,FALSE),0))/(1+0.08*AK131))&lt;=0,999999,FLOOR(MIN(('Rules &amp; Formulas'!B15+25*AJ131),M131+('Rules &amp; Formulas'!B14+0.4*AJ131)*(MIN(IF(B132="Go AFK",IF(D132="",0,D132),0),Z131/60)*60))/(IF((IFERROR(VLOOKUP(C132,Monsters!$T$4:$AH$15,8,FALSE),0))=0,0.35,IFERROR(VLOOKUP(C132,Monsters!$T$4:$AH$15,8,FALSE),0))/(1+0.08*AK131)),1)),('Rules &amp; Formulas'!B4*N131*('Rules &amp; Formulas'!B5+O131)*IFERROR(VLOOKUP(C132,Monsters!$T$4:$AH$15,10,FALSE),0)*IFERROR(VLOOKUP(C132,Monsters!$T$4:$AH$15,9,FALSE),0))*(MIN(IF(B132="Go AFK",IF(D132="",0,D132),0),Z131/60)*60)),0),0))</f>
        <v/>
      </c>
      <c r="S132" s="7">
        <f>(105/'Rules &amp; Formulas'!B10)*'Rules &amp; Formulas'!B11</f>
        <v/>
      </c>
      <c r="T132" s="7">
        <f>IF(AD131&gt;=1,(MAX(1,ROUND('Rules &amp; Formulas'!B18*(1+0.3*AE131)*(1+0.4*AF131),0)))*(1000/'Rules &amp; Formulas'!B19)*MIN(0.95,'Rules &amp; Formulas'!B20*SQRT(1+0.55*(AG131&gt;=1))),0)</f>
        <v/>
      </c>
      <c r="U132" s="7">
        <f>S132+T132</f>
        <v/>
      </c>
      <c r="V132" s="7">
        <f>IF(I131&gt;=IF((IFERROR(VLOOKUP(C132,Monsters!$T$4:$AH$15,15,FALSE),0))=0,120,IFERROR(VLOOKUP(C132,Monsters!$T$4:$AH$15,15,FALSE),0)),"YES","no")</f>
        <v/>
      </c>
      <c r="W132" s="7">
        <f>IF(AND(B132="Fight boss",E132="OK"),IF((((105/'Rules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Formulas'!B20*SQRT(1+0.55*(AG131&gt;=1))),0)))),"")</f>
        <v/>
      </c>
      <c r="X132" s="7">
        <f>IF(AND(B132="Fight boss",E132="OK"),IF((IF((((105/'Rules &amp; Formulas'!B10)*'Rules &amp; Formulas'!B11+IF(AD131&gt;=1,(MAX(1,ROUND('Rules &amp; Formulas'!B18*(1+0.3*AE131)*(1+0.4*AF131),0)))*(1000/'Rules &amp; Formulas'!B19)*MIN(0.95,'Rules &amp; Formulas'!B20*SQRT(1+0.55*(AG131&gt;=1))),0)))&lt;=0,9999,(IFERROR(VLOOKUP(C132,Monsters!$T$4:$AH$15,2,FALSE),0))/(((105/'Rules &amp; Formulas'!B10)*'Rules &amp; Formulas'!B11+IF(AD131&gt;=1,(MAX(1,ROUND('Rules &amp; Formulas'!B18*(1+0.3*AE131)*(1+0.4*AF131),0)))*(1000/'Rules &amp; Formulas'!B19)*MIN(0.95,'Rules &amp; Formulas'!B20*SQRT(1+0.55*(AG131&gt;=1))),0))))&lt;='Rules &amp; Formulas'!B12),"WIN","LOSE"),"")</f>
        <v/>
      </c>
      <c r="Y132" s="7">
        <f>IF(B132="Go AFK",MIN(IF(B132="Go AFK",IF(D132="",0,D132),0),Z131/60),"")</f>
        <v/>
      </c>
      <c r="Z132" s="7">
        <f>('Rules &amp; Formulas'!B13+30*AI132)</f>
        <v/>
      </c>
      <c r="AA132">
        <f>COUNTIFS($B$3:$B132,"Buy upgrade",$C$3:$C132,"Idle Power")</f>
        <v/>
      </c>
      <c r="AB132">
        <f>COUNTIFS($B$3:$B132,"Buy upgrade",$C$3:$C132,"Iron Blade")</f>
        <v/>
      </c>
      <c r="AC132">
        <f>COUNTIFS($B$3:$B132,"Buy upgrade",$C$3:$C132,"Steel Blade")</f>
        <v/>
      </c>
      <c r="AD132">
        <f>COUNTIFS($B$3:$B132,"Hire hunter",$C$3:$C132,"Briar")+COUNTIFS($B$3:$B132,"Buy upgrade",$C$3:$C132,"Hire Briar")</f>
        <v/>
      </c>
      <c r="AE132">
        <f>COUNTIFS($B$3:$B132,"Buy upgrade",$C$3:$C132,"Hunter Power")</f>
        <v/>
      </c>
      <c r="AF132">
        <f>COUNTIFS($B$3:$B132,"Buy upgrade",$C$3:$C132,"Bigger Hits")</f>
        <v/>
      </c>
      <c r="AG132">
        <f>COUNTIFS($B$3:$B132,"Buy upgrade",$C$3:$C132,"Swift Walk")</f>
        <v/>
      </c>
      <c r="AH132">
        <f>COUNTIFS($B$3:$B132,"Buy upgrade",$C$3:$C132,"Loot Luck")</f>
        <v/>
      </c>
      <c r="AI132">
        <f>COUNTIFS($B$3:$B132,"Buy upgrade",$C$3:$C132,"Offline Cap")</f>
        <v/>
      </c>
      <c r="AJ132">
        <f>COUNTIFS($B$3:$B132,"Buy upgrade",$C$3:$C132,"Bigger Food Stock")</f>
        <v/>
      </c>
      <c r="AK132">
        <f>COUNTIFS($B$3:$B132,"Buy upgrade",$C$3:$C132,"Food Efficiency")</f>
        <v/>
      </c>
    </row>
    <row r="133">
      <c r="A133" t="n">
        <v>131</v>
      </c>
      <c r="B133" s="6" t="n"/>
      <c r="C133" s="6" t="n"/>
      <c r="D133" s="6" t="n"/>
      <c r="E133" s="7">
        <f>IF(B133="","",IF(OR(B133="Hunt",B133="Go AFK"),IF(C133="","Can't","OK"),IF(B133="Fight boss",IF(I132&lt;IF((IFERROR(VLOOKUP(C133,Monsters!$T$4:$AH$15,15,FALSE),0))=0,120,IFERROR(VLOOKUP(C133,Monsters!$T$4:$AH$15,15,FALSE),0)),"Can't","OK"),IF(B133="Hire hunter",IF(AND(C133="Briar",AD132&gt;=1),"Can't",IF(H132&lt;IF(C133="Briar",140,IF(C133="Quill",3650,IF(C133="Moss",4850,IF(C133="Ember",12200,0)))),"Can't","OK")),IF(OR(B133="Buy upgrade",B133="Forge/Scrapwork buy"),IF(IFERROR(VLOOKUP(C133,Upgrades!$N$4:$T$47,2,FALSE),0)="points","Can't",IF(IFERROR(VLOOKUP(C133,Upgrades!$N$4:$T$47,2,FALSE),0)="gold",IF(H132&lt;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buy",$C$3:$C132,C133))),1),0),"Can't","OK"),IF(IFERROR(VLOOKUP(C133,Upgrades!$N$4:$T$47,2,FALSE),0)="scraps",IF(J132&lt;IFERROR(FLOOR(IFERROR(VLOOKUP(C133,Upgrades!$N$4:$T$47,3,FALSE),0)*(IFERROR(VLOOKUP(C133,Upgrades!$N$4:$T$47,4,FALSE),0)^(COUNTIFS($B$3:$B132,"Buy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buy",$C$3:$C132,C133))),1),0),"Can't","OK"),IF(IFERROR(VLOOKUP(C133,Upgrades!$N$4:$T$47,2,FALSE),0)="mats","Can't","OK")))),"Check")))))</f>
        <v/>
      </c>
      <c r="F133" s="7">
        <f>IF(B133="","",IF(AND(B133="Fight boss",I132&lt;IF((IFERROR(VLOOKUP(C133,Monsters!$T$4:$AH$15,15,FALSE),0))=0,120,IFERROR(VLOOKUP(C133,Monsters!$T$4:$AH$15,15,FALSE),0))),"Can't — need "&amp;TEXT(IF((IFERROR(VLOOKUP(C133,Monsters!$T$4:$AH$15,15,FALSE),0))=0,120,IFERROR(VLOOKUP(C133,Monsters!$T$4:$AH$15,15,FALSE),0))-I132,"0.0")&amp;" more Slayer points on the meter",IF(AND(B133="Hire hunter",C133="Briar",AD132&gt;=1),"Can't — already hired",IF(AND(B133="Hire hunter",H132&lt;IF(C133="Briar",140,IF(C133="Quill",3650,IF(C133="Moss",4850,IF(C133="Ember",12200,0))))),"Can't — need "&amp;TEXT(IF(C133="Briar",140,IF(C133="Quill",3650,IF(C133="Moss",4850,IF(C133="Ember",12200,0))))-H132,"0")&amp;" more gold",IF(AND(OR(B133="Buy upgrade",B133="Forge/Scrapwork buy"),IFERROR(VLOOKUP(C133,Upgrades!$N$4:$T$47,2,FALSE),0)="points"),"Can't — Sp-wallet spends not tracked here",IF(AND(OR(B133="Buy upgrade",B133="Forge/Scrapwork buy"),IFERROR(VLOOKUP(C133,Upgrades!$N$4:$T$47,2,FALSE),0)="gold",H132&lt;IFERROR(FLOOR(IFERROR(VLOOKUP(C133,Upgrades!$N$4:$T$47,3,FALSE),0)*(IFERROR(VLOOKUP(C133,Upgrades!$N$4:$T$47,4,FALSE),0)^(COUNTIFS($B$3:$B132,"Buy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buy",$C$3:$C132,C133))),1),0)),"Can't — need "&amp;TEXT(IFERROR(FLOOR(IFERROR(VLOOKUP(C133,Upgrades!$N$4:$T$47,3,FALSE),0)*(IFERROR(VLOOKUP(C133,Upgrades!$N$4:$T$47,4,FALSE),0)^(COUNTIFS($B$3:$B132,"Buy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buy",$C$3:$C132,C133))),1),0)-H132,"0")&amp;" more gold",IF(AND(OR(B133="Buy upgrade",B133="Forge/Scrapwork buy"),IFERROR(VLOOKUP(C133,Upgrades!$N$4:$T$47,2,FALSE),0)="scraps",J132&lt;IFERROR(FLOOR(IFERROR(VLOOKUP(C133,Upgrades!$N$4:$T$47,3,FALSE),0)*(IFERROR(VLOOKUP(C133,Upgrades!$N$4:$T$47,4,FALSE),0)^(COUNTIFS($B$3:$B132,"Buy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buy",$C$3:$C132,C133))),1),0)),"Can't — need "&amp;TEXT(IFERROR(FLOOR(IFERROR(VLOOKUP(C133,Upgrades!$N$4:$T$47,3,FALSE),0)*(IFERROR(VLOOKUP(C133,Upgrades!$N$4:$T$47,4,FALSE),0)^(COUNTIFS($B$3:$B132,"Buy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buy",$C$3:$C132,C133))),1),0)-J132,"0")&amp;" more scraps",IF(AND(B133="Fight boss",E133="OK",(IF((((105/'Rules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Formulas'!B12)),"WIN — boss down, next Level unlocks",IF(AND(B133="Fight boss",E133="OK"),"LOSE — TTK "&amp;TEXT(IF((((105/'Rules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Formulas'!B20*SQRT(1+0.55*(AG132&gt;=1))),0)))),"0")&amp;"s &gt; patience "&amp;TEXT('Rules &amp; Formulas'!B12,"0")&amp;"s (leave resets HP)",IF(B133="Go AFK","AFK resolved (see AFK counted h)","Applied")))))))))</f>
        <v/>
      </c>
      <c r="G133" s="7">
        <f>IF(AND((E133="OK"),B133="Fight boss",(IF((((105/'Rules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Formulas'!B12),C133="Elder Thornpelt"),2,IF(AND((E133="OK"),B133="Fight boss",(IF((((105/'Rules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Formulas'!B12),C133="Ashfang Alpha"),3,G132))</f>
        <v/>
      </c>
      <c r="H133" s="7">
        <f>MAX(0,H132+IF(AND((E133="OK"),B133="Hunt"),(IF(B133="Hunt",(('Rules &amp; Formulas'!B4*N132*('Rules &amp; Formulas'!B5+O132)*IFERROR(VLOOKUP(C133,Monsters!$T$4:$AH$15,10,FALSE),0)*IFERROR(VLOOKUP(C133,Monsters!$T$4:$AH$15,9,FALSE),0))*'Rules &amp; Formulas'!B6)*IF(D133="",0,D133),0))*(IFERROR(VLOOKUP(C133,Monsters!$T$4:$AH$15,3,FALSE),0))*(1+0.1*AH132)+(IF(OR(B133&lt;&gt;"Hunt",IFERROR(VLOOKUP(C133,Monsters!$T$4:$AH$15,6,FALSE),0)=0),0,FLOOR((IF(B133="Hunt",(('Rules &amp; Formulas'!B4*N132*('Rules &amp; Formulas'!B5+O132)*IFERROR(VLOOKUP(C133,Monsters!$T$4:$AH$15,10,FALSE),0)*IFERROR(VLOOKUP(C133,Monsters!$T$4:$AH$15,9,FALSE),0))*'Rules &amp; Formulas'!B6)*IF(D133="",0,D133),0))/MAX(1,IFERROR(VLOOKUP(C133,Monsters!$T$4:$AH$15,6,FALSE),0)),1)))*(IFERROR(VLOOKUP(C133,Monsters!$T$4:$AH$15,7,FALSE),0))*0.5*(1+0.1*AH132),0)+IF(AND((E133="OK"),B133="Go AFK"),(IF(B133="Go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AFK",IF(D133="",0,D133),0),Z132/60)*60)),0))*(IFERROR(VLOOKUP(C133,Monsters!$T$4:$AH$15,3,FALSE),0))*(1+0.1*AH132)+(IF(OR(B133&lt;&gt;"Go AFK",IFERROR(VLOOKUP(C133,Monsters!$T$4:$AH$15,6,FALSE),0)=0),0,FLOOR((IF(B133="Go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AFK",IF(D133="",0,D133),0),Z132/60)*60)),0))/MAX(1,IFERROR(VLOOKUP(C133,Monsters!$T$4:$AH$15,6,FALSE),0)),1)))*(IFERROR(VLOOKUP(C133,Monsters!$T$4:$AH$15,7,FALSE),0))*0.5*(1+0.1*AH132),0)+IF(AND((E133="OK"),B133="Fight boss",(IF((((105/'Rules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Formulas'!B12)),IFERROR(VLOOKUP(C133,Monsters!$T$4:$AH$15,3,FALSE),0),0)-IF(AND((E133="OK"),OR(B133="Buy upgrade",B133="Forge/Scrapwork buy"),IFERROR(VLOOKUP(C133,Upgrades!$N$4:$T$47,2,FALSE),0)="gold"),IFERROR(FLOOR(IFERROR(VLOOKUP(C133,Upgrades!$N$4:$T$47,3,FALSE),0)*(IFERROR(VLOOKUP(C133,Upgrades!$N$4:$T$47,4,FALSE),0)^(COUNTIFS($B$3:$B132,"Buy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buy",$C$3:$C132,C133))),1),0),0)-IF(AND((E133="OK"),B133="Hire hunter"),IF(C133="Briar",140,IF(C133="Quill",3650,IF(C133="Moss",4850,IF(C133="Ember",12200,0)))),0))</f>
        <v/>
      </c>
      <c r="I133" s="7">
        <f>IF(AND((E133="OK"),B133="Fight boss",(IF((((105/'Rules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Formulas'!B12)),0,MIN(IF(G132&lt;=1,120,IF(G132=2,280,600)),I132+IF(AND((E133="OK"),B133="Hunt"),((IF(B133="Hunt",(('Rules &amp; Formulas'!B4*N132*('Rules &amp; Formulas'!B5+O132)*IFERROR(VLOOKUP(C133,Monsters!$T$4:$AH$15,10,FALSE),0)*IFERROR(VLOOKUP(C133,Monsters!$T$4:$AH$15,9,FALSE),0))*'Rules &amp; Formulas'!B6)*IF(D133="",0,D133),0))*(IFERROR(VLOOKUP(C133,Monsters!$T$4:$AH$15,4,FALSE),0))+(IF(OR(B133&lt;&gt;"Hunt",IFERROR(VLOOKUP(C133,Monsters!$T$4:$AH$15,6,FALSE),0)=0),0,FLOOR((IF(B133="Hunt",(('Rules &amp; Formulas'!B4*N132*('Rules &amp; Formulas'!B5+O132)*IFERROR(VLOOKUP(C133,Monsters!$T$4:$AH$15,10,FALSE),0)*IFERROR(VLOOKUP(C133,Monsters!$T$4:$AH$15,9,FALSE),0))*'Rules &amp; Formulas'!B6)*IF(D133="",0,D133),0))/MAX(1,IFERROR(VLOOKUP(C133,Monsters!$T$4:$AH$15,6,FALSE),0)),1)))*(IFERROR(VLOOKUP(C133,Monsters!$T$4:$AH$15,7,FALSE),0))),0)+IF(AND((E133="OK"),B133="Go AFK"),((IF(B133="Go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AFK",IF(D133="",0,D133),0),Z132/60)*60)),0))*(IFERROR(VLOOKUP(C133,Monsters!$T$4:$AH$15,4,FALSE),0))+(IF(OR(B133&lt;&gt;"Go AFK",IFERROR(VLOOKUP(C133,Monsters!$T$4:$AH$15,6,FALSE),0)=0),0,FLOOR((IF(B133="Go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AFK",IF(D133="",0,D133),0),Z132/60)*60)),0))/MAX(1,IFERROR(VLOOKUP(C133,Monsters!$T$4:$AH$15,6,FALSE),0)),1)))*(IFERROR(VLOOKUP(C133,Monsters!$T$4:$AH$15,7,FALSE),0))),0)))</f>
        <v/>
      </c>
      <c r="J133" s="7">
        <f>MAX(0,J132+IF(AND((E133="OK"),B133="Hunt"),(IF(B133="Hunt",(('Rules &amp; Formulas'!B4*N132*('Rules &amp; Formulas'!B5+O132)*IFERROR(VLOOKUP(C133,Monsters!$T$4:$AH$15,10,FALSE),0)*IFERROR(VLOOKUP(C133,Monsters!$T$4:$AH$15,9,FALSE),0))*'Rules &amp; Formulas'!B6)*IF(D133="",0,D133),0))*(IFERROR(VLOOKUP(C133,Monsters!$T$4:$AH$15,5,FALSE),0)),0)+IF(AND((E133="OK"),B133="Go AFK"),(IF(B133="Go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AFK",IF(D133="",0,D133),0),Z132/60)*60)),0))*(IFERROR(VLOOKUP(C133,Monsters!$T$4:$AH$15,5,FALSE),0)),0)-IF(AND((E133="OK"),OR(B133="Buy upgrade",B133="Forge/Scrapwork buy"),IFERROR(VLOOKUP(C133,Upgrades!$N$4:$T$47,2,FALSE),0)="scraps"),IFERROR(FLOOR(IFERROR(VLOOKUP(C133,Upgrades!$N$4:$T$47,3,FALSE),0)*(IFERROR(VLOOKUP(C133,Upgrades!$N$4:$T$47,4,FALSE),0)^(COUNTIFS($B$3:$B132,"Buy upgrade",$C$3:$C132,C133)+COUNTIFS($B$3:$B132,"Hire hunter",$C$3:$C132,C133)+COUNTIFS($B$3:$B132,"Forge/Scrapwork buy",$C$3:$C132,C133))),1),0),0))</f>
        <v/>
      </c>
      <c r="K133" s="7">
        <f>MAX(0,K132+IF(AND((E133="OK"),B133="Hunt"),IF(C133="Thornpelt Bear",(IF(B133="Hunt",(('Rules &amp; Formulas'!B4*N132*('Rules &amp; Formulas'!B5+O132)*IFERROR(VLOOKUP(C133,Monsters!$T$4:$AH$15,10,FALSE),0)*IFERROR(VLOOKUP(C133,Monsters!$T$4:$AH$15,9,FALSE),0))*'Rules &amp; Formulas'!B6)*IF(D133="",0,D133),0))*0.12,0),0)+IF(AND((E133="OK"),B133="Go AFK"),IF(C133="Thornpelt Bear",(IF(B133="Go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AFK",IF(D133="",0,D133),0),Z132/60)*60)),0))*0.12,0),0))</f>
        <v/>
      </c>
      <c r="L133" s="7">
        <f>MAX(0,L132+IF(AND((E133="OK"),B133="Hunt"),IF(C133="Dire Thornpelt",(IF(B133="Hunt",(('Rules &amp; Formulas'!B4*N132*('Rules &amp; Formulas'!B5+O132)*IFERROR(VLOOKUP(C133,Monsters!$T$4:$AH$15,10,FALSE),0)*IFERROR(VLOOKUP(C133,Monsters!$T$4:$AH$15,9,FALSE),0))*'Rules &amp; Formulas'!B6)*IF(D133="",0,D133),0))*0.1,0),0)+IF(AND((E133="OK"),B133="Go AFK"),IF(C133="Dire Thornpelt",(IF(B133="Go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AFK",IF(D133="",0,D133),0),Z132/60)*60)),0))*0.1,0),0))</f>
        <v/>
      </c>
      <c r="M133" s="7">
        <f>IF(AND((E133="OK"),B133="Go AFK"),MAX(0,MIN(('Rules &amp; Formulas'!B15+25*AJ132),M132+('Rules &amp; Formulas'!B14+0.4*AJ132)*(MIN(IF(B133="Go AFK",IF(D133="",0,D133),0),Z132/60)*60))-(IF(B133="Go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AFK",IF(D133="",0,D133),0),Z132/60)*60)),0))*(IF((IFERROR(VLOOKUP(C133,Monsters!$T$4:$AH$15,8,FALSE),0))=0,0.35,IFERROR(VLOOKUP(C133,Monsters!$T$4:$AH$15,8,FALSE),0))/(1+0.08*AK132))),MIN(('Rules &amp; Formulas'!B15+25*AJ133),M132))</f>
        <v/>
      </c>
      <c r="N133" s="7">
        <f>(1+0.08+0.12*AA133+0.12*AB133+0.16*AC133)</f>
        <v/>
      </c>
      <c r="O133" s="7">
        <f>((AD133&gt;=1)*1*(1+0.3*AE133))</f>
        <v/>
      </c>
      <c r="P133" s="7">
        <f>IF(OR(B133="Hunt",B133="Go AFK"),(('Rules &amp; Formulas'!B4*N132*('Rules &amp; Formulas'!B5+O132)*IFERROR(VLOOKUP(C133,Monsters!$T$4:$AH$15,10,FALSE),0)*IFERROR(VLOOKUP(C133,Monsters!$T$4:$AH$15,9,FALSE),0))*'Rules &amp; Formulas'!B6),"")</f>
        <v/>
      </c>
      <c r="Q133" s="7">
        <f>IF(OR(B133="Hunt",B133="Go AFK"),('Rules &amp; Formulas'!B4*N132*('Rules &amp; Formulas'!B5+O132)*IFERROR(VLOOKUP(C133,Monsters!$T$4:$AH$15,10,FALSE),0)*IFERROR(VLOOKUP(C133,Monsters!$T$4:$AH$15,9,FALSE),0)),"")</f>
        <v/>
      </c>
      <c r="R133" s="7">
        <f>IF(AND((E133="OK"),B133="Hunt"),IF(B133="Hunt",(('Rules &amp; Formulas'!B4*N132*('Rules &amp; Formulas'!B5+O132)*IFERROR(VLOOKUP(C133,Monsters!$T$4:$AH$15,10,FALSE),0)*IFERROR(VLOOKUP(C133,Monsters!$T$4:$AH$15,9,FALSE),0))*'Rules &amp; Formulas'!B6)*IF(D133="",0,D133),0),IF(AND((E133="OK"),B133="Go AFK"),IF(B133="Go AFK",MIN(IF((IF((IFERROR(VLOOKUP(C133,Monsters!$T$4:$AH$15,8,FALSE),0))=0,0.35,IFERROR(VLOOKUP(C133,Monsters!$T$4:$AH$15,8,FALSE),0))/(1+0.08*AK132))&lt;=0,999999,FLOOR(MIN(('Rules &amp; Formulas'!B15+25*AJ132),M132+('Rules &amp; Formulas'!B14+0.4*AJ132)*(MIN(IF(B133="Go AFK",IF(D133="",0,D133),0),Z132/60)*60))/(IF((IFERROR(VLOOKUP(C133,Monsters!$T$4:$AH$15,8,FALSE),0))=0,0.35,IFERROR(VLOOKUP(C133,Monsters!$T$4:$AH$15,8,FALSE),0))/(1+0.08*AK132)),1)),('Rules &amp; Formulas'!B4*N132*('Rules &amp; Formulas'!B5+O132)*IFERROR(VLOOKUP(C133,Monsters!$T$4:$AH$15,10,FALSE),0)*IFERROR(VLOOKUP(C133,Monsters!$T$4:$AH$15,9,FALSE),0))*(MIN(IF(B133="Go AFK",IF(D133="",0,D133),0),Z132/60)*60)),0),0))</f>
        <v/>
      </c>
      <c r="S133" s="7">
        <f>(105/'Rules &amp; Formulas'!B10)*'Rules &amp; Formulas'!B11</f>
        <v/>
      </c>
      <c r="T133" s="7">
        <f>IF(AD132&gt;=1,(MAX(1,ROUND('Rules &amp; Formulas'!B18*(1+0.3*AE132)*(1+0.4*AF132),0)))*(1000/'Rules &amp; Formulas'!B19)*MIN(0.95,'Rules &amp; Formulas'!B20*SQRT(1+0.55*(AG132&gt;=1))),0)</f>
        <v/>
      </c>
      <c r="U133" s="7">
        <f>S133+T133</f>
        <v/>
      </c>
      <c r="V133" s="7">
        <f>IF(I132&gt;=IF((IFERROR(VLOOKUP(C133,Monsters!$T$4:$AH$15,15,FALSE),0))=0,120,IFERROR(VLOOKUP(C133,Monsters!$T$4:$AH$15,15,FALSE),0)),"YES","no")</f>
        <v/>
      </c>
      <c r="W133" s="7">
        <f>IF(AND(B133="Fight boss",E133="OK"),IF((((105/'Rules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Formulas'!B20*SQRT(1+0.55*(AG132&gt;=1))),0)))),"")</f>
        <v/>
      </c>
      <c r="X133" s="7">
        <f>IF(AND(B133="Fight boss",E133="OK"),IF((IF((((105/'Rules &amp; Formulas'!B10)*'Rules &amp; Formulas'!B11+IF(AD132&gt;=1,(MAX(1,ROUND('Rules &amp; Formulas'!B18*(1+0.3*AE132)*(1+0.4*AF132),0)))*(1000/'Rules &amp; Formulas'!B19)*MIN(0.95,'Rules &amp; Formulas'!B20*SQRT(1+0.55*(AG132&gt;=1))),0)))&lt;=0,9999,(IFERROR(VLOOKUP(C133,Monsters!$T$4:$AH$15,2,FALSE),0))/(((105/'Rules &amp; Formulas'!B10)*'Rules &amp; Formulas'!B11+IF(AD132&gt;=1,(MAX(1,ROUND('Rules &amp; Formulas'!B18*(1+0.3*AE132)*(1+0.4*AF132),0)))*(1000/'Rules &amp; Formulas'!B19)*MIN(0.95,'Rules &amp; Formulas'!B20*SQRT(1+0.55*(AG132&gt;=1))),0))))&lt;='Rules &amp; Formulas'!B12),"WIN","LOSE"),"")</f>
        <v/>
      </c>
      <c r="Y133" s="7">
        <f>IF(B133="Go AFK",MIN(IF(B133="Go AFK",IF(D133="",0,D133),0),Z132/60),"")</f>
        <v/>
      </c>
      <c r="Z133" s="7">
        <f>('Rules &amp; Formulas'!B13+30*AI133)</f>
        <v/>
      </c>
      <c r="AA133">
        <f>COUNTIFS($B$3:$B133,"Buy upgrade",$C$3:$C133,"Idle Power")</f>
        <v/>
      </c>
      <c r="AB133">
        <f>COUNTIFS($B$3:$B133,"Buy upgrade",$C$3:$C133,"Iron Blade")</f>
        <v/>
      </c>
      <c r="AC133">
        <f>COUNTIFS($B$3:$B133,"Buy upgrade",$C$3:$C133,"Steel Blade")</f>
        <v/>
      </c>
      <c r="AD133">
        <f>COUNTIFS($B$3:$B133,"Hire hunter",$C$3:$C133,"Briar")+COUNTIFS($B$3:$B133,"Buy upgrade",$C$3:$C133,"Hire Briar")</f>
        <v/>
      </c>
      <c r="AE133">
        <f>COUNTIFS($B$3:$B133,"Buy upgrade",$C$3:$C133,"Hunter Power")</f>
        <v/>
      </c>
      <c r="AF133">
        <f>COUNTIFS($B$3:$B133,"Buy upgrade",$C$3:$C133,"Bigger Hits")</f>
        <v/>
      </c>
      <c r="AG133">
        <f>COUNTIFS($B$3:$B133,"Buy upgrade",$C$3:$C133,"Swift Walk")</f>
        <v/>
      </c>
      <c r="AH133">
        <f>COUNTIFS($B$3:$B133,"Buy upgrade",$C$3:$C133,"Loot Luck")</f>
        <v/>
      </c>
      <c r="AI133">
        <f>COUNTIFS($B$3:$B133,"Buy upgrade",$C$3:$C133,"Offline Cap")</f>
        <v/>
      </c>
      <c r="AJ133">
        <f>COUNTIFS($B$3:$B133,"Buy upgrade",$C$3:$C133,"Bigger Food Stock")</f>
        <v/>
      </c>
      <c r="AK133">
        <f>COUNTIFS($B$3:$B133,"Buy upgrade",$C$3:$C133,"Food Efficiency")</f>
        <v/>
      </c>
    </row>
    <row r="134">
      <c r="A134" t="n">
        <v>132</v>
      </c>
      <c r="B134" s="6" t="n"/>
      <c r="C134" s="6" t="n"/>
      <c r="D134" s="6" t="n"/>
      <c r="E134" s="7">
        <f>IF(B134="","",IF(OR(B134="Hunt",B134="Go AFK"),IF(C134="","Can't","OK"),IF(B134="Fight boss",IF(I133&lt;IF((IFERROR(VLOOKUP(C134,Monsters!$T$4:$AH$15,15,FALSE),0))=0,120,IFERROR(VLOOKUP(C134,Monsters!$T$4:$AH$15,15,FALSE),0)),"Can't","OK"),IF(B134="Hire hunter",IF(AND(C134="Briar",AD133&gt;=1),"Can't",IF(H133&lt;IF(C134="Briar",140,IF(C134="Quill",3650,IF(C134="Moss",4850,IF(C134="Ember",12200,0)))),"Can't","OK")),IF(OR(B134="Buy upgrade",B134="Forge/Scrapwork buy"),IF(IFERROR(VLOOKUP(C134,Upgrades!$N$4:$T$47,2,FALSE),0)="points","Can't",IF(IFERROR(VLOOKUP(C134,Upgrades!$N$4:$T$47,2,FALSE),0)="gold",IF(H133&lt;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buy",$C$3:$C133,C134))),1),0),"Can't","OK"),IF(IFERROR(VLOOKUP(C134,Upgrades!$N$4:$T$47,2,FALSE),0)="scraps",IF(J133&lt;IFERROR(FLOOR(IFERROR(VLOOKUP(C134,Upgrades!$N$4:$T$47,3,FALSE),0)*(IFERROR(VLOOKUP(C134,Upgrades!$N$4:$T$47,4,FALSE),0)^(COUNTIFS($B$3:$B133,"Buy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buy",$C$3:$C133,C134))),1),0),"Can't","OK"),IF(IFERROR(VLOOKUP(C134,Upgrades!$N$4:$T$47,2,FALSE),0)="mats","Can't","OK")))),"Check")))))</f>
        <v/>
      </c>
      <c r="F134" s="7">
        <f>IF(B134="","",IF(AND(B134="Fight boss",I133&lt;IF((IFERROR(VLOOKUP(C134,Monsters!$T$4:$AH$15,15,FALSE),0))=0,120,IFERROR(VLOOKUP(C134,Monsters!$T$4:$AH$15,15,FALSE),0))),"Can't — need "&amp;TEXT(IF((IFERROR(VLOOKUP(C134,Monsters!$T$4:$AH$15,15,FALSE),0))=0,120,IFERROR(VLOOKUP(C134,Monsters!$T$4:$AH$15,15,FALSE),0))-I133,"0.0")&amp;" more Slayer points on the meter",IF(AND(B134="Hire hunter",C134="Briar",AD133&gt;=1),"Can't — already hired",IF(AND(B134="Hire hunter",H133&lt;IF(C134="Briar",140,IF(C134="Quill",3650,IF(C134="Moss",4850,IF(C134="Ember",12200,0))))),"Can't — need "&amp;TEXT(IF(C134="Briar",140,IF(C134="Quill",3650,IF(C134="Moss",4850,IF(C134="Ember",12200,0))))-H133,"0")&amp;" more gold",IF(AND(OR(B134="Buy upgrade",B134="Forge/Scrapwork buy"),IFERROR(VLOOKUP(C134,Upgrades!$N$4:$T$47,2,FALSE),0)="points"),"Can't — Sp-wallet spends not tracked here",IF(AND(OR(B134="Buy upgrade",B134="Forge/Scrapwork buy"),IFERROR(VLOOKUP(C134,Upgrades!$N$4:$T$47,2,FALSE),0)="gold",H133&lt;IFERROR(FLOOR(IFERROR(VLOOKUP(C134,Upgrades!$N$4:$T$47,3,FALSE),0)*(IFERROR(VLOOKUP(C134,Upgrades!$N$4:$T$47,4,FALSE),0)^(COUNTIFS($B$3:$B133,"Buy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buy",$C$3:$C133,C134))),1),0)),"Can't — need "&amp;TEXT(IFERROR(FLOOR(IFERROR(VLOOKUP(C134,Upgrades!$N$4:$T$47,3,FALSE),0)*(IFERROR(VLOOKUP(C134,Upgrades!$N$4:$T$47,4,FALSE),0)^(COUNTIFS($B$3:$B133,"Buy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buy",$C$3:$C133,C134))),1),0)-H133,"0")&amp;" more gold",IF(AND(OR(B134="Buy upgrade",B134="Forge/Scrapwork buy"),IFERROR(VLOOKUP(C134,Upgrades!$N$4:$T$47,2,FALSE),0)="scraps",J133&lt;IFERROR(FLOOR(IFERROR(VLOOKUP(C134,Upgrades!$N$4:$T$47,3,FALSE),0)*(IFERROR(VLOOKUP(C134,Upgrades!$N$4:$T$47,4,FALSE),0)^(COUNTIFS($B$3:$B133,"Buy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buy",$C$3:$C133,C134))),1),0)),"Can't — need "&amp;TEXT(IFERROR(FLOOR(IFERROR(VLOOKUP(C134,Upgrades!$N$4:$T$47,3,FALSE),0)*(IFERROR(VLOOKUP(C134,Upgrades!$N$4:$T$47,4,FALSE),0)^(COUNTIFS($B$3:$B133,"Buy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buy",$C$3:$C133,C134))),1),0)-J133,"0")&amp;" more scraps",IF(AND(B134="Fight boss",E134="OK",(IF((((105/'Rules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Formulas'!B12)),"WIN — boss down, next Level unlocks",IF(AND(B134="Fight boss",E134="OK"),"LOSE — TTK "&amp;TEXT(IF((((105/'Rules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Formulas'!B20*SQRT(1+0.55*(AG133&gt;=1))),0)))),"0")&amp;"s &gt; patience "&amp;TEXT('Rules &amp; Formulas'!B12,"0")&amp;"s (leave resets HP)",IF(B134="Go AFK","AFK resolved (see AFK counted h)","Applied")))))))))</f>
        <v/>
      </c>
      <c r="G134" s="7">
        <f>IF(AND((E134="OK"),B134="Fight boss",(IF((((105/'Rules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Formulas'!B12),C134="Elder Thornpelt"),2,IF(AND((E134="OK"),B134="Fight boss",(IF((((105/'Rules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Formulas'!B12),C134="Ashfang Alpha"),3,G133))</f>
        <v/>
      </c>
      <c r="H134" s="7">
        <f>MAX(0,H133+IF(AND((E134="OK"),B134="Hunt"),(IF(B134="Hunt",(('Rules &amp; Formulas'!B4*N133*('Rules &amp; Formulas'!B5+O133)*IFERROR(VLOOKUP(C134,Monsters!$T$4:$AH$15,10,FALSE),0)*IFERROR(VLOOKUP(C134,Monsters!$T$4:$AH$15,9,FALSE),0))*'Rules &amp; Formulas'!B6)*IF(D134="",0,D134),0))*(IFERROR(VLOOKUP(C134,Monsters!$T$4:$AH$15,3,FALSE),0))*(1+0.1*AH133)+(IF(OR(B134&lt;&gt;"Hunt",IFERROR(VLOOKUP(C134,Monsters!$T$4:$AH$15,6,FALSE),0)=0),0,FLOOR((IF(B134="Hunt",(('Rules &amp; Formulas'!B4*N133*('Rules &amp; Formulas'!B5+O133)*IFERROR(VLOOKUP(C134,Monsters!$T$4:$AH$15,10,FALSE),0)*IFERROR(VLOOKUP(C134,Monsters!$T$4:$AH$15,9,FALSE),0))*'Rules &amp; Formulas'!B6)*IF(D134="",0,D134),0))/MAX(1,IFERROR(VLOOKUP(C134,Monsters!$T$4:$AH$15,6,FALSE),0)),1)))*(IFERROR(VLOOKUP(C134,Monsters!$T$4:$AH$15,7,FALSE),0))*0.5*(1+0.1*AH133),0)+IF(AND((E134="OK"),B134="Go AFK"),(IF(B134="Go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AFK",IF(D134="",0,D134),0),Z133/60)*60)),0))*(IFERROR(VLOOKUP(C134,Monsters!$T$4:$AH$15,3,FALSE),0))*(1+0.1*AH133)+(IF(OR(B134&lt;&gt;"Go AFK",IFERROR(VLOOKUP(C134,Monsters!$T$4:$AH$15,6,FALSE),0)=0),0,FLOOR((IF(B134="Go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AFK",IF(D134="",0,D134),0),Z133/60)*60)),0))/MAX(1,IFERROR(VLOOKUP(C134,Monsters!$T$4:$AH$15,6,FALSE),0)),1)))*(IFERROR(VLOOKUP(C134,Monsters!$T$4:$AH$15,7,FALSE),0))*0.5*(1+0.1*AH133),0)+IF(AND((E134="OK"),B134="Fight boss",(IF((((105/'Rules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Formulas'!B12)),IFERROR(VLOOKUP(C134,Monsters!$T$4:$AH$15,3,FALSE),0),0)-IF(AND((E134="OK"),OR(B134="Buy upgrade",B134="Forge/Scrapwork buy"),IFERROR(VLOOKUP(C134,Upgrades!$N$4:$T$47,2,FALSE),0)="gold"),IFERROR(FLOOR(IFERROR(VLOOKUP(C134,Upgrades!$N$4:$T$47,3,FALSE),0)*(IFERROR(VLOOKUP(C134,Upgrades!$N$4:$T$47,4,FALSE),0)^(COUNTIFS($B$3:$B133,"Buy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buy",$C$3:$C133,C134))),1),0),0)-IF(AND((E134="OK"),B134="Hire hunter"),IF(C134="Briar",140,IF(C134="Quill",3650,IF(C134="Moss",4850,IF(C134="Ember",12200,0)))),0))</f>
        <v/>
      </c>
      <c r="I134" s="7">
        <f>IF(AND((E134="OK"),B134="Fight boss",(IF((((105/'Rules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Formulas'!B12)),0,MIN(IF(G133&lt;=1,120,IF(G133=2,280,600)),I133+IF(AND((E134="OK"),B134="Hunt"),((IF(B134="Hunt",(('Rules &amp; Formulas'!B4*N133*('Rules &amp; Formulas'!B5+O133)*IFERROR(VLOOKUP(C134,Monsters!$T$4:$AH$15,10,FALSE),0)*IFERROR(VLOOKUP(C134,Monsters!$T$4:$AH$15,9,FALSE),0))*'Rules &amp; Formulas'!B6)*IF(D134="",0,D134),0))*(IFERROR(VLOOKUP(C134,Monsters!$T$4:$AH$15,4,FALSE),0))+(IF(OR(B134&lt;&gt;"Hunt",IFERROR(VLOOKUP(C134,Monsters!$T$4:$AH$15,6,FALSE),0)=0),0,FLOOR((IF(B134="Hunt",(('Rules &amp; Formulas'!B4*N133*('Rules &amp; Formulas'!B5+O133)*IFERROR(VLOOKUP(C134,Monsters!$T$4:$AH$15,10,FALSE),0)*IFERROR(VLOOKUP(C134,Monsters!$T$4:$AH$15,9,FALSE),0))*'Rules &amp; Formulas'!B6)*IF(D134="",0,D134),0))/MAX(1,IFERROR(VLOOKUP(C134,Monsters!$T$4:$AH$15,6,FALSE),0)),1)))*(IFERROR(VLOOKUP(C134,Monsters!$T$4:$AH$15,7,FALSE),0))),0)+IF(AND((E134="OK"),B134="Go AFK"),((IF(B134="Go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AFK",IF(D134="",0,D134),0),Z133/60)*60)),0))*(IFERROR(VLOOKUP(C134,Monsters!$T$4:$AH$15,4,FALSE),0))+(IF(OR(B134&lt;&gt;"Go AFK",IFERROR(VLOOKUP(C134,Monsters!$T$4:$AH$15,6,FALSE),0)=0),0,FLOOR((IF(B134="Go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AFK",IF(D134="",0,D134),0),Z133/60)*60)),0))/MAX(1,IFERROR(VLOOKUP(C134,Monsters!$T$4:$AH$15,6,FALSE),0)),1)))*(IFERROR(VLOOKUP(C134,Monsters!$T$4:$AH$15,7,FALSE),0))),0)))</f>
        <v/>
      </c>
      <c r="J134" s="7">
        <f>MAX(0,J133+IF(AND((E134="OK"),B134="Hunt"),(IF(B134="Hunt",(('Rules &amp; Formulas'!B4*N133*('Rules &amp; Formulas'!B5+O133)*IFERROR(VLOOKUP(C134,Monsters!$T$4:$AH$15,10,FALSE),0)*IFERROR(VLOOKUP(C134,Monsters!$T$4:$AH$15,9,FALSE),0))*'Rules &amp; Formulas'!B6)*IF(D134="",0,D134),0))*(IFERROR(VLOOKUP(C134,Monsters!$T$4:$AH$15,5,FALSE),0)),0)+IF(AND((E134="OK"),B134="Go AFK"),(IF(B134="Go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AFK",IF(D134="",0,D134),0),Z133/60)*60)),0))*(IFERROR(VLOOKUP(C134,Monsters!$T$4:$AH$15,5,FALSE),0)),0)-IF(AND((E134="OK"),OR(B134="Buy upgrade",B134="Forge/Scrapwork buy"),IFERROR(VLOOKUP(C134,Upgrades!$N$4:$T$47,2,FALSE),0)="scraps"),IFERROR(FLOOR(IFERROR(VLOOKUP(C134,Upgrades!$N$4:$T$47,3,FALSE),0)*(IFERROR(VLOOKUP(C134,Upgrades!$N$4:$T$47,4,FALSE),0)^(COUNTIFS($B$3:$B133,"Buy upgrade",$C$3:$C133,C134)+COUNTIFS($B$3:$B133,"Hire hunter",$C$3:$C133,C134)+COUNTIFS($B$3:$B133,"Forge/Scrapwork buy",$C$3:$C133,C134))),1),0),0))</f>
        <v/>
      </c>
      <c r="K134" s="7">
        <f>MAX(0,K133+IF(AND((E134="OK"),B134="Hunt"),IF(C134="Thornpelt Bear",(IF(B134="Hunt",(('Rules &amp; Formulas'!B4*N133*('Rules &amp; Formulas'!B5+O133)*IFERROR(VLOOKUP(C134,Monsters!$T$4:$AH$15,10,FALSE),0)*IFERROR(VLOOKUP(C134,Monsters!$T$4:$AH$15,9,FALSE),0))*'Rules &amp; Formulas'!B6)*IF(D134="",0,D134),0))*0.12,0),0)+IF(AND((E134="OK"),B134="Go AFK"),IF(C134="Thornpelt Bear",(IF(B134="Go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AFK",IF(D134="",0,D134),0),Z133/60)*60)),0))*0.12,0),0))</f>
        <v/>
      </c>
      <c r="L134" s="7">
        <f>MAX(0,L133+IF(AND((E134="OK"),B134="Hunt"),IF(C134="Dire Thornpelt",(IF(B134="Hunt",(('Rules &amp; Formulas'!B4*N133*('Rules &amp; Formulas'!B5+O133)*IFERROR(VLOOKUP(C134,Monsters!$T$4:$AH$15,10,FALSE),0)*IFERROR(VLOOKUP(C134,Monsters!$T$4:$AH$15,9,FALSE),0))*'Rules &amp; Formulas'!B6)*IF(D134="",0,D134),0))*0.1,0),0)+IF(AND((E134="OK"),B134="Go AFK"),IF(C134="Dire Thornpelt",(IF(B134="Go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AFK",IF(D134="",0,D134),0),Z133/60)*60)),0))*0.1,0),0))</f>
        <v/>
      </c>
      <c r="M134" s="7">
        <f>IF(AND((E134="OK"),B134="Go AFK"),MAX(0,MIN(('Rules &amp; Formulas'!B15+25*AJ133),M133+('Rules &amp; Formulas'!B14+0.4*AJ133)*(MIN(IF(B134="Go AFK",IF(D134="",0,D134),0),Z133/60)*60))-(IF(B134="Go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AFK",IF(D134="",0,D134),0),Z133/60)*60)),0))*(IF((IFERROR(VLOOKUP(C134,Monsters!$T$4:$AH$15,8,FALSE),0))=0,0.35,IFERROR(VLOOKUP(C134,Monsters!$T$4:$AH$15,8,FALSE),0))/(1+0.08*AK133))),MIN(('Rules &amp; Formulas'!B15+25*AJ134),M133))</f>
        <v/>
      </c>
      <c r="N134" s="7">
        <f>(1+0.08+0.12*AA134+0.12*AB134+0.16*AC134)</f>
        <v/>
      </c>
      <c r="O134" s="7">
        <f>((AD134&gt;=1)*1*(1+0.3*AE134))</f>
        <v/>
      </c>
      <c r="P134" s="7">
        <f>IF(OR(B134="Hunt",B134="Go AFK"),(('Rules &amp; Formulas'!B4*N133*('Rules &amp; Formulas'!B5+O133)*IFERROR(VLOOKUP(C134,Monsters!$T$4:$AH$15,10,FALSE),0)*IFERROR(VLOOKUP(C134,Monsters!$T$4:$AH$15,9,FALSE),0))*'Rules &amp; Formulas'!B6),"")</f>
        <v/>
      </c>
      <c r="Q134" s="7">
        <f>IF(OR(B134="Hunt",B134="Go AFK"),('Rules &amp; Formulas'!B4*N133*('Rules &amp; Formulas'!B5+O133)*IFERROR(VLOOKUP(C134,Monsters!$T$4:$AH$15,10,FALSE),0)*IFERROR(VLOOKUP(C134,Monsters!$T$4:$AH$15,9,FALSE),0)),"")</f>
        <v/>
      </c>
      <c r="R134" s="7">
        <f>IF(AND((E134="OK"),B134="Hunt"),IF(B134="Hunt",(('Rules &amp; Formulas'!B4*N133*('Rules &amp; Formulas'!B5+O133)*IFERROR(VLOOKUP(C134,Monsters!$T$4:$AH$15,10,FALSE),0)*IFERROR(VLOOKUP(C134,Monsters!$T$4:$AH$15,9,FALSE),0))*'Rules &amp; Formulas'!B6)*IF(D134="",0,D134),0),IF(AND((E134="OK"),B134="Go AFK"),IF(B134="Go AFK",MIN(IF((IF((IFERROR(VLOOKUP(C134,Monsters!$T$4:$AH$15,8,FALSE),0))=0,0.35,IFERROR(VLOOKUP(C134,Monsters!$T$4:$AH$15,8,FALSE),0))/(1+0.08*AK133))&lt;=0,999999,FLOOR(MIN(('Rules &amp; Formulas'!B15+25*AJ133),M133+('Rules &amp; Formulas'!B14+0.4*AJ133)*(MIN(IF(B134="Go AFK",IF(D134="",0,D134),0),Z133/60)*60))/(IF((IFERROR(VLOOKUP(C134,Monsters!$T$4:$AH$15,8,FALSE),0))=0,0.35,IFERROR(VLOOKUP(C134,Monsters!$T$4:$AH$15,8,FALSE),0))/(1+0.08*AK133)),1)),('Rules &amp; Formulas'!B4*N133*('Rules &amp; Formulas'!B5+O133)*IFERROR(VLOOKUP(C134,Monsters!$T$4:$AH$15,10,FALSE),0)*IFERROR(VLOOKUP(C134,Monsters!$T$4:$AH$15,9,FALSE),0))*(MIN(IF(B134="Go AFK",IF(D134="",0,D134),0),Z133/60)*60)),0),0))</f>
        <v/>
      </c>
      <c r="S134" s="7">
        <f>(105/'Rules &amp; Formulas'!B10)*'Rules &amp; Formulas'!B11</f>
        <v/>
      </c>
      <c r="T134" s="7">
        <f>IF(AD133&gt;=1,(MAX(1,ROUND('Rules &amp; Formulas'!B18*(1+0.3*AE133)*(1+0.4*AF133),0)))*(1000/'Rules &amp; Formulas'!B19)*MIN(0.95,'Rules &amp; Formulas'!B20*SQRT(1+0.55*(AG133&gt;=1))),0)</f>
        <v/>
      </c>
      <c r="U134" s="7">
        <f>S134+T134</f>
        <v/>
      </c>
      <c r="V134" s="7">
        <f>IF(I133&gt;=IF((IFERROR(VLOOKUP(C134,Monsters!$T$4:$AH$15,15,FALSE),0))=0,120,IFERROR(VLOOKUP(C134,Monsters!$T$4:$AH$15,15,FALSE),0)),"YES","no")</f>
        <v/>
      </c>
      <c r="W134" s="7">
        <f>IF(AND(B134="Fight boss",E134="OK"),IF((((105/'Rules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Formulas'!B20*SQRT(1+0.55*(AG133&gt;=1))),0)))),"")</f>
        <v/>
      </c>
      <c r="X134" s="7">
        <f>IF(AND(B134="Fight boss",E134="OK"),IF((IF((((105/'Rules &amp; Formulas'!B10)*'Rules &amp; Formulas'!B11+IF(AD133&gt;=1,(MAX(1,ROUND('Rules &amp; Formulas'!B18*(1+0.3*AE133)*(1+0.4*AF133),0)))*(1000/'Rules &amp; Formulas'!B19)*MIN(0.95,'Rules &amp; Formulas'!B20*SQRT(1+0.55*(AG133&gt;=1))),0)))&lt;=0,9999,(IFERROR(VLOOKUP(C134,Monsters!$T$4:$AH$15,2,FALSE),0))/(((105/'Rules &amp; Formulas'!B10)*'Rules &amp; Formulas'!B11+IF(AD133&gt;=1,(MAX(1,ROUND('Rules &amp; Formulas'!B18*(1+0.3*AE133)*(1+0.4*AF133),0)))*(1000/'Rules &amp; Formulas'!B19)*MIN(0.95,'Rules &amp; Formulas'!B20*SQRT(1+0.55*(AG133&gt;=1))),0))))&lt;='Rules &amp; Formulas'!B12),"WIN","LOSE"),"")</f>
        <v/>
      </c>
      <c r="Y134" s="7">
        <f>IF(B134="Go AFK",MIN(IF(B134="Go AFK",IF(D134="",0,D134),0),Z133/60),"")</f>
        <v/>
      </c>
      <c r="Z134" s="7">
        <f>('Rules &amp; Formulas'!B13+30*AI134)</f>
        <v/>
      </c>
      <c r="AA134">
        <f>COUNTIFS($B$3:$B134,"Buy upgrade",$C$3:$C134,"Idle Power")</f>
        <v/>
      </c>
      <c r="AB134">
        <f>COUNTIFS($B$3:$B134,"Buy upgrade",$C$3:$C134,"Iron Blade")</f>
        <v/>
      </c>
      <c r="AC134">
        <f>COUNTIFS($B$3:$B134,"Buy upgrade",$C$3:$C134,"Steel Blade")</f>
        <v/>
      </c>
      <c r="AD134">
        <f>COUNTIFS($B$3:$B134,"Hire hunter",$C$3:$C134,"Briar")+COUNTIFS($B$3:$B134,"Buy upgrade",$C$3:$C134,"Hire Briar")</f>
        <v/>
      </c>
      <c r="AE134">
        <f>COUNTIFS($B$3:$B134,"Buy upgrade",$C$3:$C134,"Hunter Power")</f>
        <v/>
      </c>
      <c r="AF134">
        <f>COUNTIFS($B$3:$B134,"Buy upgrade",$C$3:$C134,"Bigger Hits")</f>
        <v/>
      </c>
      <c r="AG134">
        <f>COUNTIFS($B$3:$B134,"Buy upgrade",$C$3:$C134,"Swift Walk")</f>
        <v/>
      </c>
      <c r="AH134">
        <f>COUNTIFS($B$3:$B134,"Buy upgrade",$C$3:$C134,"Loot Luck")</f>
        <v/>
      </c>
      <c r="AI134">
        <f>COUNTIFS($B$3:$B134,"Buy upgrade",$C$3:$C134,"Offline Cap")</f>
        <v/>
      </c>
      <c r="AJ134">
        <f>COUNTIFS($B$3:$B134,"Buy upgrade",$C$3:$C134,"Bigger Food Stock")</f>
        <v/>
      </c>
      <c r="AK134">
        <f>COUNTIFS($B$3:$B134,"Buy upgrade",$C$3:$C134,"Food Efficiency")</f>
        <v/>
      </c>
    </row>
    <row r="135">
      <c r="A135" t="n">
        <v>133</v>
      </c>
      <c r="B135" s="6" t="n"/>
      <c r="C135" s="6" t="n"/>
      <c r="D135" s="6" t="n"/>
      <c r="E135" s="7">
        <f>IF(B135="","",IF(OR(B135="Hunt",B135="Go AFK"),IF(C135="","Can't","OK"),IF(B135="Fight boss",IF(I134&lt;IF((IFERROR(VLOOKUP(C135,Monsters!$T$4:$AH$15,15,FALSE),0))=0,120,IFERROR(VLOOKUP(C135,Monsters!$T$4:$AH$15,15,FALSE),0)),"Can't","OK"),IF(B135="Hire hunter",IF(AND(C135="Briar",AD134&gt;=1),"Can't",IF(H134&lt;IF(C135="Briar",140,IF(C135="Quill",3650,IF(C135="Moss",4850,IF(C135="Ember",12200,0)))),"Can't","OK")),IF(OR(B135="Buy upgrade",B135="Forge/Scrapwork buy"),IF(IFERROR(VLOOKUP(C135,Upgrades!$N$4:$T$47,2,FALSE),0)="points","Can't",IF(IFERROR(VLOOKUP(C135,Upgrades!$N$4:$T$47,2,FALSE),0)="gold",IF(H134&lt;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buy",$C$3:$C134,C135))),1),0),"Can't","OK"),IF(IFERROR(VLOOKUP(C135,Upgrades!$N$4:$T$47,2,FALSE),0)="scraps",IF(J134&lt;IFERROR(FLOOR(IFERROR(VLOOKUP(C135,Upgrades!$N$4:$T$47,3,FALSE),0)*(IFERROR(VLOOKUP(C135,Upgrades!$N$4:$T$47,4,FALSE),0)^(COUNTIFS($B$3:$B134,"Buy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buy",$C$3:$C134,C135))),1),0),"Can't","OK"),IF(IFERROR(VLOOKUP(C135,Upgrades!$N$4:$T$47,2,FALSE),0)="mats","Can't","OK")))),"Check")))))</f>
        <v/>
      </c>
      <c r="F135" s="7">
        <f>IF(B135="","",IF(AND(B135="Fight boss",I134&lt;IF((IFERROR(VLOOKUP(C135,Monsters!$T$4:$AH$15,15,FALSE),0))=0,120,IFERROR(VLOOKUP(C135,Monsters!$T$4:$AH$15,15,FALSE),0))),"Can't — need "&amp;TEXT(IF((IFERROR(VLOOKUP(C135,Monsters!$T$4:$AH$15,15,FALSE),0))=0,120,IFERROR(VLOOKUP(C135,Monsters!$T$4:$AH$15,15,FALSE),0))-I134,"0.0")&amp;" more Slayer points on the meter",IF(AND(B135="Hire hunter",C135="Briar",AD134&gt;=1),"Can't — already hired",IF(AND(B135="Hire hunter",H134&lt;IF(C135="Briar",140,IF(C135="Quill",3650,IF(C135="Moss",4850,IF(C135="Ember",12200,0))))),"Can't — need "&amp;TEXT(IF(C135="Briar",140,IF(C135="Quill",3650,IF(C135="Moss",4850,IF(C135="Ember",12200,0))))-H134,"0")&amp;" more gold",IF(AND(OR(B135="Buy upgrade",B135="Forge/Scrapwork buy"),IFERROR(VLOOKUP(C135,Upgrades!$N$4:$T$47,2,FALSE),0)="points"),"Can't — Sp-wallet spends not tracked here",IF(AND(OR(B135="Buy upgrade",B135="Forge/Scrapwork buy"),IFERROR(VLOOKUP(C135,Upgrades!$N$4:$T$47,2,FALSE),0)="gold",H134&lt;IFERROR(FLOOR(IFERROR(VLOOKUP(C135,Upgrades!$N$4:$T$47,3,FALSE),0)*(IFERROR(VLOOKUP(C135,Upgrades!$N$4:$T$47,4,FALSE),0)^(COUNTIFS($B$3:$B134,"Buy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buy",$C$3:$C134,C135))),1),0)),"Can't — need "&amp;TEXT(IFERROR(FLOOR(IFERROR(VLOOKUP(C135,Upgrades!$N$4:$T$47,3,FALSE),0)*(IFERROR(VLOOKUP(C135,Upgrades!$N$4:$T$47,4,FALSE),0)^(COUNTIFS($B$3:$B134,"Buy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buy",$C$3:$C134,C135))),1),0)-H134,"0")&amp;" more gold",IF(AND(OR(B135="Buy upgrade",B135="Forge/Scrapwork buy"),IFERROR(VLOOKUP(C135,Upgrades!$N$4:$T$47,2,FALSE),0)="scraps",J134&lt;IFERROR(FLOOR(IFERROR(VLOOKUP(C135,Upgrades!$N$4:$T$47,3,FALSE),0)*(IFERROR(VLOOKUP(C135,Upgrades!$N$4:$T$47,4,FALSE),0)^(COUNTIFS($B$3:$B134,"Buy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buy",$C$3:$C134,C135))),1),0)),"Can't — need "&amp;TEXT(IFERROR(FLOOR(IFERROR(VLOOKUP(C135,Upgrades!$N$4:$T$47,3,FALSE),0)*(IFERROR(VLOOKUP(C135,Upgrades!$N$4:$T$47,4,FALSE),0)^(COUNTIFS($B$3:$B134,"Buy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buy",$C$3:$C134,C135))),1),0)-J134,"0")&amp;" more scraps",IF(AND(B135="Fight boss",E135="OK",(IF((((105/'Rules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Formulas'!B12)),"WIN — boss down, next Level unlocks",IF(AND(B135="Fight boss",E135="OK"),"LOSE — TTK "&amp;TEXT(IF((((105/'Rules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Formulas'!B20*SQRT(1+0.55*(AG134&gt;=1))),0)))),"0")&amp;"s &gt; patience "&amp;TEXT('Rules &amp; Formulas'!B12,"0")&amp;"s (leave resets HP)",IF(B135="Go AFK","AFK resolved (see AFK counted h)","Applied")))))))))</f>
        <v/>
      </c>
      <c r="G135" s="7">
        <f>IF(AND((E135="OK"),B135="Fight boss",(IF((((105/'Rules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Formulas'!B12),C135="Elder Thornpelt"),2,IF(AND((E135="OK"),B135="Fight boss",(IF((((105/'Rules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Formulas'!B12),C135="Ashfang Alpha"),3,G134))</f>
        <v/>
      </c>
      <c r="H135" s="7">
        <f>MAX(0,H134+IF(AND((E135="OK"),B135="Hunt"),(IF(B135="Hunt",(('Rules &amp; Formulas'!B4*N134*('Rules &amp; Formulas'!B5+O134)*IFERROR(VLOOKUP(C135,Monsters!$T$4:$AH$15,10,FALSE),0)*IFERROR(VLOOKUP(C135,Monsters!$T$4:$AH$15,9,FALSE),0))*'Rules &amp; Formulas'!B6)*IF(D135="",0,D135),0))*(IFERROR(VLOOKUP(C135,Monsters!$T$4:$AH$15,3,FALSE),0))*(1+0.1*AH134)+(IF(OR(B135&lt;&gt;"Hunt",IFERROR(VLOOKUP(C135,Monsters!$T$4:$AH$15,6,FALSE),0)=0),0,FLOOR((IF(B135="Hunt",(('Rules &amp; Formulas'!B4*N134*('Rules &amp; Formulas'!B5+O134)*IFERROR(VLOOKUP(C135,Monsters!$T$4:$AH$15,10,FALSE),0)*IFERROR(VLOOKUP(C135,Monsters!$T$4:$AH$15,9,FALSE),0))*'Rules &amp; Formulas'!B6)*IF(D135="",0,D135),0))/MAX(1,IFERROR(VLOOKUP(C135,Monsters!$T$4:$AH$15,6,FALSE),0)),1)))*(IFERROR(VLOOKUP(C135,Monsters!$T$4:$AH$15,7,FALSE),0))*0.5*(1+0.1*AH134),0)+IF(AND((E135="OK"),B135="Go AFK"),(IF(B135="Go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AFK",IF(D135="",0,D135),0),Z134/60)*60)),0))*(IFERROR(VLOOKUP(C135,Monsters!$T$4:$AH$15,3,FALSE),0))*(1+0.1*AH134)+(IF(OR(B135&lt;&gt;"Go AFK",IFERROR(VLOOKUP(C135,Monsters!$T$4:$AH$15,6,FALSE),0)=0),0,FLOOR((IF(B135="Go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AFK",IF(D135="",0,D135),0),Z134/60)*60)),0))/MAX(1,IFERROR(VLOOKUP(C135,Monsters!$T$4:$AH$15,6,FALSE),0)),1)))*(IFERROR(VLOOKUP(C135,Monsters!$T$4:$AH$15,7,FALSE),0))*0.5*(1+0.1*AH134),0)+IF(AND((E135="OK"),B135="Fight boss",(IF((((105/'Rules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Formulas'!B12)),IFERROR(VLOOKUP(C135,Monsters!$T$4:$AH$15,3,FALSE),0),0)-IF(AND((E135="OK"),OR(B135="Buy upgrade",B135="Forge/Scrapwork buy"),IFERROR(VLOOKUP(C135,Upgrades!$N$4:$T$47,2,FALSE),0)="gold"),IFERROR(FLOOR(IFERROR(VLOOKUP(C135,Upgrades!$N$4:$T$47,3,FALSE),0)*(IFERROR(VLOOKUP(C135,Upgrades!$N$4:$T$47,4,FALSE),0)^(COUNTIFS($B$3:$B134,"Buy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buy",$C$3:$C134,C135))),1),0),0)-IF(AND((E135="OK"),B135="Hire hunter"),IF(C135="Briar",140,IF(C135="Quill",3650,IF(C135="Moss",4850,IF(C135="Ember",12200,0)))),0))</f>
        <v/>
      </c>
      <c r="I135" s="7">
        <f>IF(AND((E135="OK"),B135="Fight boss",(IF((((105/'Rules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Formulas'!B12)),0,MIN(IF(G134&lt;=1,120,IF(G134=2,280,600)),I134+IF(AND((E135="OK"),B135="Hunt"),((IF(B135="Hunt",(('Rules &amp; Formulas'!B4*N134*('Rules &amp; Formulas'!B5+O134)*IFERROR(VLOOKUP(C135,Monsters!$T$4:$AH$15,10,FALSE),0)*IFERROR(VLOOKUP(C135,Monsters!$T$4:$AH$15,9,FALSE),0))*'Rules &amp; Formulas'!B6)*IF(D135="",0,D135),0))*(IFERROR(VLOOKUP(C135,Monsters!$T$4:$AH$15,4,FALSE),0))+(IF(OR(B135&lt;&gt;"Hunt",IFERROR(VLOOKUP(C135,Monsters!$T$4:$AH$15,6,FALSE),0)=0),0,FLOOR((IF(B135="Hunt",(('Rules &amp; Formulas'!B4*N134*('Rules &amp; Formulas'!B5+O134)*IFERROR(VLOOKUP(C135,Monsters!$T$4:$AH$15,10,FALSE),0)*IFERROR(VLOOKUP(C135,Monsters!$T$4:$AH$15,9,FALSE),0))*'Rules &amp; Formulas'!B6)*IF(D135="",0,D135),0))/MAX(1,IFERROR(VLOOKUP(C135,Monsters!$T$4:$AH$15,6,FALSE),0)),1)))*(IFERROR(VLOOKUP(C135,Monsters!$T$4:$AH$15,7,FALSE),0))),0)+IF(AND((E135="OK"),B135="Go AFK"),((IF(B135="Go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AFK",IF(D135="",0,D135),0),Z134/60)*60)),0))*(IFERROR(VLOOKUP(C135,Monsters!$T$4:$AH$15,4,FALSE),0))+(IF(OR(B135&lt;&gt;"Go AFK",IFERROR(VLOOKUP(C135,Monsters!$T$4:$AH$15,6,FALSE),0)=0),0,FLOOR((IF(B135="Go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AFK",IF(D135="",0,D135),0),Z134/60)*60)),0))/MAX(1,IFERROR(VLOOKUP(C135,Monsters!$T$4:$AH$15,6,FALSE),0)),1)))*(IFERROR(VLOOKUP(C135,Monsters!$T$4:$AH$15,7,FALSE),0))),0)))</f>
        <v/>
      </c>
      <c r="J135" s="7">
        <f>MAX(0,J134+IF(AND((E135="OK"),B135="Hunt"),(IF(B135="Hunt",(('Rules &amp; Formulas'!B4*N134*('Rules &amp; Formulas'!B5+O134)*IFERROR(VLOOKUP(C135,Monsters!$T$4:$AH$15,10,FALSE),0)*IFERROR(VLOOKUP(C135,Monsters!$T$4:$AH$15,9,FALSE),0))*'Rules &amp; Formulas'!B6)*IF(D135="",0,D135),0))*(IFERROR(VLOOKUP(C135,Monsters!$T$4:$AH$15,5,FALSE),0)),0)+IF(AND((E135="OK"),B135="Go AFK"),(IF(B135="Go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AFK",IF(D135="",0,D135),0),Z134/60)*60)),0))*(IFERROR(VLOOKUP(C135,Monsters!$T$4:$AH$15,5,FALSE),0)),0)-IF(AND((E135="OK"),OR(B135="Buy upgrade",B135="Forge/Scrapwork buy"),IFERROR(VLOOKUP(C135,Upgrades!$N$4:$T$47,2,FALSE),0)="scraps"),IFERROR(FLOOR(IFERROR(VLOOKUP(C135,Upgrades!$N$4:$T$47,3,FALSE),0)*(IFERROR(VLOOKUP(C135,Upgrades!$N$4:$T$47,4,FALSE),0)^(COUNTIFS($B$3:$B134,"Buy upgrade",$C$3:$C134,C135)+COUNTIFS($B$3:$B134,"Hire hunter",$C$3:$C134,C135)+COUNTIFS($B$3:$B134,"Forge/Scrapwork buy",$C$3:$C134,C135))),1),0),0))</f>
        <v/>
      </c>
      <c r="K135" s="7">
        <f>MAX(0,K134+IF(AND((E135="OK"),B135="Hunt"),IF(C135="Thornpelt Bear",(IF(B135="Hunt",(('Rules &amp; Formulas'!B4*N134*('Rules &amp; Formulas'!B5+O134)*IFERROR(VLOOKUP(C135,Monsters!$T$4:$AH$15,10,FALSE),0)*IFERROR(VLOOKUP(C135,Monsters!$T$4:$AH$15,9,FALSE),0))*'Rules &amp; Formulas'!B6)*IF(D135="",0,D135),0))*0.12,0),0)+IF(AND((E135="OK"),B135="Go AFK"),IF(C135="Thornpelt Bear",(IF(B135="Go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AFK",IF(D135="",0,D135),0),Z134/60)*60)),0))*0.12,0),0))</f>
        <v/>
      </c>
      <c r="L135" s="7">
        <f>MAX(0,L134+IF(AND((E135="OK"),B135="Hunt"),IF(C135="Dire Thornpelt",(IF(B135="Hunt",(('Rules &amp; Formulas'!B4*N134*('Rules &amp; Formulas'!B5+O134)*IFERROR(VLOOKUP(C135,Monsters!$T$4:$AH$15,10,FALSE),0)*IFERROR(VLOOKUP(C135,Monsters!$T$4:$AH$15,9,FALSE),0))*'Rules &amp; Formulas'!B6)*IF(D135="",0,D135),0))*0.1,0),0)+IF(AND((E135="OK"),B135="Go AFK"),IF(C135="Dire Thornpelt",(IF(B135="Go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AFK",IF(D135="",0,D135),0),Z134/60)*60)),0))*0.1,0),0))</f>
        <v/>
      </c>
      <c r="M135" s="7">
        <f>IF(AND((E135="OK"),B135="Go AFK"),MAX(0,MIN(('Rules &amp; Formulas'!B15+25*AJ134),M134+('Rules &amp; Formulas'!B14+0.4*AJ134)*(MIN(IF(B135="Go AFK",IF(D135="",0,D135),0),Z134/60)*60))-(IF(B135="Go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AFK",IF(D135="",0,D135),0),Z134/60)*60)),0))*(IF((IFERROR(VLOOKUP(C135,Monsters!$T$4:$AH$15,8,FALSE),0))=0,0.35,IFERROR(VLOOKUP(C135,Monsters!$T$4:$AH$15,8,FALSE),0))/(1+0.08*AK134))),MIN(('Rules &amp; Formulas'!B15+25*AJ135),M134))</f>
        <v/>
      </c>
      <c r="N135" s="7">
        <f>(1+0.08+0.12*AA135+0.12*AB135+0.16*AC135)</f>
        <v/>
      </c>
      <c r="O135" s="7">
        <f>((AD135&gt;=1)*1*(1+0.3*AE135))</f>
        <v/>
      </c>
      <c r="P135" s="7">
        <f>IF(OR(B135="Hunt",B135="Go AFK"),(('Rules &amp; Formulas'!B4*N134*('Rules &amp; Formulas'!B5+O134)*IFERROR(VLOOKUP(C135,Monsters!$T$4:$AH$15,10,FALSE),0)*IFERROR(VLOOKUP(C135,Monsters!$T$4:$AH$15,9,FALSE),0))*'Rules &amp; Formulas'!B6),"")</f>
        <v/>
      </c>
      <c r="Q135" s="7">
        <f>IF(OR(B135="Hunt",B135="Go AFK"),('Rules &amp; Formulas'!B4*N134*('Rules &amp; Formulas'!B5+O134)*IFERROR(VLOOKUP(C135,Monsters!$T$4:$AH$15,10,FALSE),0)*IFERROR(VLOOKUP(C135,Monsters!$T$4:$AH$15,9,FALSE),0)),"")</f>
        <v/>
      </c>
      <c r="R135" s="7">
        <f>IF(AND((E135="OK"),B135="Hunt"),IF(B135="Hunt",(('Rules &amp; Formulas'!B4*N134*('Rules &amp; Formulas'!B5+O134)*IFERROR(VLOOKUP(C135,Monsters!$T$4:$AH$15,10,FALSE),0)*IFERROR(VLOOKUP(C135,Monsters!$T$4:$AH$15,9,FALSE),0))*'Rules &amp; Formulas'!B6)*IF(D135="",0,D135),0),IF(AND((E135="OK"),B135="Go AFK"),IF(B135="Go AFK",MIN(IF((IF((IFERROR(VLOOKUP(C135,Monsters!$T$4:$AH$15,8,FALSE),0))=0,0.35,IFERROR(VLOOKUP(C135,Monsters!$T$4:$AH$15,8,FALSE),0))/(1+0.08*AK134))&lt;=0,999999,FLOOR(MIN(('Rules &amp; Formulas'!B15+25*AJ134),M134+('Rules &amp; Formulas'!B14+0.4*AJ134)*(MIN(IF(B135="Go AFK",IF(D135="",0,D135),0),Z134/60)*60))/(IF((IFERROR(VLOOKUP(C135,Monsters!$T$4:$AH$15,8,FALSE),0))=0,0.35,IFERROR(VLOOKUP(C135,Monsters!$T$4:$AH$15,8,FALSE),0))/(1+0.08*AK134)),1)),('Rules &amp; Formulas'!B4*N134*('Rules &amp; Formulas'!B5+O134)*IFERROR(VLOOKUP(C135,Monsters!$T$4:$AH$15,10,FALSE),0)*IFERROR(VLOOKUP(C135,Monsters!$T$4:$AH$15,9,FALSE),0))*(MIN(IF(B135="Go AFK",IF(D135="",0,D135),0),Z134/60)*60)),0),0))</f>
        <v/>
      </c>
      <c r="S135" s="7">
        <f>(105/'Rules &amp; Formulas'!B10)*'Rules &amp; Formulas'!B11</f>
        <v/>
      </c>
      <c r="T135" s="7">
        <f>IF(AD134&gt;=1,(MAX(1,ROUND('Rules &amp; Formulas'!B18*(1+0.3*AE134)*(1+0.4*AF134),0)))*(1000/'Rules &amp; Formulas'!B19)*MIN(0.95,'Rules &amp; Formulas'!B20*SQRT(1+0.55*(AG134&gt;=1))),0)</f>
        <v/>
      </c>
      <c r="U135" s="7">
        <f>S135+T135</f>
        <v/>
      </c>
      <c r="V135" s="7">
        <f>IF(I134&gt;=IF((IFERROR(VLOOKUP(C135,Monsters!$T$4:$AH$15,15,FALSE),0))=0,120,IFERROR(VLOOKUP(C135,Monsters!$T$4:$AH$15,15,FALSE),0)),"YES","no")</f>
        <v/>
      </c>
      <c r="W135" s="7">
        <f>IF(AND(B135="Fight boss",E135="OK"),IF((((105/'Rules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Formulas'!B20*SQRT(1+0.55*(AG134&gt;=1))),0)))),"")</f>
        <v/>
      </c>
      <c r="X135" s="7">
        <f>IF(AND(B135="Fight boss",E135="OK"),IF((IF((((105/'Rules &amp; Formulas'!B10)*'Rules &amp; Formulas'!B11+IF(AD134&gt;=1,(MAX(1,ROUND('Rules &amp; Formulas'!B18*(1+0.3*AE134)*(1+0.4*AF134),0)))*(1000/'Rules &amp; Formulas'!B19)*MIN(0.95,'Rules &amp; Formulas'!B20*SQRT(1+0.55*(AG134&gt;=1))),0)))&lt;=0,9999,(IFERROR(VLOOKUP(C135,Monsters!$T$4:$AH$15,2,FALSE),0))/(((105/'Rules &amp; Formulas'!B10)*'Rules &amp; Formulas'!B11+IF(AD134&gt;=1,(MAX(1,ROUND('Rules &amp; Formulas'!B18*(1+0.3*AE134)*(1+0.4*AF134),0)))*(1000/'Rules &amp; Formulas'!B19)*MIN(0.95,'Rules &amp; Formulas'!B20*SQRT(1+0.55*(AG134&gt;=1))),0))))&lt;='Rules &amp; Formulas'!B12),"WIN","LOSE"),"")</f>
        <v/>
      </c>
      <c r="Y135" s="7">
        <f>IF(B135="Go AFK",MIN(IF(B135="Go AFK",IF(D135="",0,D135),0),Z134/60),"")</f>
        <v/>
      </c>
      <c r="Z135" s="7">
        <f>('Rules &amp; Formulas'!B13+30*AI135)</f>
        <v/>
      </c>
      <c r="AA135">
        <f>COUNTIFS($B$3:$B135,"Buy upgrade",$C$3:$C135,"Idle Power")</f>
        <v/>
      </c>
      <c r="AB135">
        <f>COUNTIFS($B$3:$B135,"Buy upgrade",$C$3:$C135,"Iron Blade")</f>
        <v/>
      </c>
      <c r="AC135">
        <f>COUNTIFS($B$3:$B135,"Buy upgrade",$C$3:$C135,"Steel Blade")</f>
        <v/>
      </c>
      <c r="AD135">
        <f>COUNTIFS($B$3:$B135,"Hire hunter",$C$3:$C135,"Briar")+COUNTIFS($B$3:$B135,"Buy upgrade",$C$3:$C135,"Hire Briar")</f>
        <v/>
      </c>
      <c r="AE135">
        <f>COUNTIFS($B$3:$B135,"Buy upgrade",$C$3:$C135,"Hunter Power")</f>
        <v/>
      </c>
      <c r="AF135">
        <f>COUNTIFS($B$3:$B135,"Buy upgrade",$C$3:$C135,"Bigger Hits")</f>
        <v/>
      </c>
      <c r="AG135">
        <f>COUNTIFS($B$3:$B135,"Buy upgrade",$C$3:$C135,"Swift Walk")</f>
        <v/>
      </c>
      <c r="AH135">
        <f>COUNTIFS($B$3:$B135,"Buy upgrade",$C$3:$C135,"Loot Luck")</f>
        <v/>
      </c>
      <c r="AI135">
        <f>COUNTIFS($B$3:$B135,"Buy upgrade",$C$3:$C135,"Offline Cap")</f>
        <v/>
      </c>
      <c r="AJ135">
        <f>COUNTIFS($B$3:$B135,"Buy upgrade",$C$3:$C135,"Bigger Food Stock")</f>
        <v/>
      </c>
      <c r="AK135">
        <f>COUNTIFS($B$3:$B135,"Buy upgrade",$C$3:$C135,"Food Efficiency")</f>
        <v/>
      </c>
    </row>
    <row r="136">
      <c r="A136" t="n">
        <v>134</v>
      </c>
      <c r="B136" s="6" t="n"/>
      <c r="C136" s="6" t="n"/>
      <c r="D136" s="6" t="n"/>
      <c r="E136" s="7">
        <f>IF(B136="","",IF(OR(B136="Hunt",B136="Go AFK"),IF(C136="","Can't","OK"),IF(B136="Fight boss",IF(I135&lt;IF((IFERROR(VLOOKUP(C136,Monsters!$T$4:$AH$15,15,FALSE),0))=0,120,IFERROR(VLOOKUP(C136,Monsters!$T$4:$AH$15,15,FALSE),0)),"Can't","OK"),IF(B136="Hire hunter",IF(AND(C136="Briar",AD135&gt;=1),"Can't",IF(H135&lt;IF(C136="Briar",140,IF(C136="Quill",3650,IF(C136="Moss",4850,IF(C136="Ember",12200,0)))),"Can't","OK")),IF(OR(B136="Buy upgrade",B136="Forge/Scrapwork buy"),IF(IFERROR(VLOOKUP(C136,Upgrades!$N$4:$T$47,2,FALSE),0)="points","Can't",IF(IFERROR(VLOOKUP(C136,Upgrades!$N$4:$T$47,2,FALSE),0)="gold",IF(H135&lt;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buy",$C$3:$C135,C136))),1),0),"Can't","OK"),IF(IFERROR(VLOOKUP(C136,Upgrades!$N$4:$T$47,2,FALSE),0)="scraps",IF(J135&lt;IFERROR(FLOOR(IFERROR(VLOOKUP(C136,Upgrades!$N$4:$T$47,3,FALSE),0)*(IFERROR(VLOOKUP(C136,Upgrades!$N$4:$T$47,4,FALSE),0)^(COUNTIFS($B$3:$B135,"Buy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buy",$C$3:$C135,C136))),1),0),"Can't","OK"),IF(IFERROR(VLOOKUP(C136,Upgrades!$N$4:$T$47,2,FALSE),0)="mats","Can't","OK")))),"Check")))))</f>
        <v/>
      </c>
      <c r="F136" s="7">
        <f>IF(B136="","",IF(AND(B136="Fight boss",I135&lt;IF((IFERROR(VLOOKUP(C136,Monsters!$T$4:$AH$15,15,FALSE),0))=0,120,IFERROR(VLOOKUP(C136,Monsters!$T$4:$AH$15,15,FALSE),0))),"Can't — need "&amp;TEXT(IF((IFERROR(VLOOKUP(C136,Monsters!$T$4:$AH$15,15,FALSE),0))=0,120,IFERROR(VLOOKUP(C136,Monsters!$T$4:$AH$15,15,FALSE),0))-I135,"0.0")&amp;" more Slayer points on the meter",IF(AND(B136="Hire hunter",C136="Briar",AD135&gt;=1),"Can't — already hired",IF(AND(B136="Hire hunter",H135&lt;IF(C136="Briar",140,IF(C136="Quill",3650,IF(C136="Moss",4850,IF(C136="Ember",12200,0))))),"Can't — need "&amp;TEXT(IF(C136="Briar",140,IF(C136="Quill",3650,IF(C136="Moss",4850,IF(C136="Ember",12200,0))))-H135,"0")&amp;" more gold",IF(AND(OR(B136="Buy upgrade",B136="Forge/Scrapwork buy"),IFERROR(VLOOKUP(C136,Upgrades!$N$4:$T$47,2,FALSE),0)="points"),"Can't — Sp-wallet spends not tracked here",IF(AND(OR(B136="Buy upgrade",B136="Forge/Scrapwork buy"),IFERROR(VLOOKUP(C136,Upgrades!$N$4:$T$47,2,FALSE),0)="gold",H135&lt;IFERROR(FLOOR(IFERROR(VLOOKUP(C136,Upgrades!$N$4:$T$47,3,FALSE),0)*(IFERROR(VLOOKUP(C136,Upgrades!$N$4:$T$47,4,FALSE),0)^(COUNTIFS($B$3:$B135,"Buy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buy",$C$3:$C135,C136))),1),0)),"Can't — need "&amp;TEXT(IFERROR(FLOOR(IFERROR(VLOOKUP(C136,Upgrades!$N$4:$T$47,3,FALSE),0)*(IFERROR(VLOOKUP(C136,Upgrades!$N$4:$T$47,4,FALSE),0)^(COUNTIFS($B$3:$B135,"Buy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buy",$C$3:$C135,C136))),1),0)-H135,"0")&amp;" more gold",IF(AND(OR(B136="Buy upgrade",B136="Forge/Scrapwork buy"),IFERROR(VLOOKUP(C136,Upgrades!$N$4:$T$47,2,FALSE),0)="scraps",J135&lt;IFERROR(FLOOR(IFERROR(VLOOKUP(C136,Upgrades!$N$4:$T$47,3,FALSE),0)*(IFERROR(VLOOKUP(C136,Upgrades!$N$4:$T$47,4,FALSE),0)^(COUNTIFS($B$3:$B135,"Buy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buy",$C$3:$C135,C136))),1),0)),"Can't — need "&amp;TEXT(IFERROR(FLOOR(IFERROR(VLOOKUP(C136,Upgrades!$N$4:$T$47,3,FALSE),0)*(IFERROR(VLOOKUP(C136,Upgrades!$N$4:$T$47,4,FALSE),0)^(COUNTIFS($B$3:$B135,"Buy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buy",$C$3:$C135,C136))),1),0)-J135,"0")&amp;" more scraps",IF(AND(B136="Fight boss",E136="OK",(IF((((105/'Rules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Formulas'!B12)),"WIN — boss down, next Level unlocks",IF(AND(B136="Fight boss",E136="OK"),"LOSE — TTK "&amp;TEXT(IF((((105/'Rules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Formulas'!B20*SQRT(1+0.55*(AG135&gt;=1))),0)))),"0")&amp;"s &gt; patience "&amp;TEXT('Rules &amp; Formulas'!B12,"0")&amp;"s (leave resets HP)",IF(B136="Go AFK","AFK resolved (see AFK counted h)","Applied")))))))))</f>
        <v/>
      </c>
      <c r="G136" s="7">
        <f>IF(AND((E136="OK"),B136="Fight boss",(IF((((105/'Rules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Formulas'!B12),C136="Elder Thornpelt"),2,IF(AND((E136="OK"),B136="Fight boss",(IF((((105/'Rules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Formulas'!B12),C136="Ashfang Alpha"),3,G135))</f>
        <v/>
      </c>
      <c r="H136" s="7">
        <f>MAX(0,H135+IF(AND((E136="OK"),B136="Hunt"),(IF(B136="Hunt",(('Rules &amp; Formulas'!B4*N135*('Rules &amp; Formulas'!B5+O135)*IFERROR(VLOOKUP(C136,Monsters!$T$4:$AH$15,10,FALSE),0)*IFERROR(VLOOKUP(C136,Monsters!$T$4:$AH$15,9,FALSE),0))*'Rules &amp; Formulas'!B6)*IF(D136="",0,D136),0))*(IFERROR(VLOOKUP(C136,Monsters!$T$4:$AH$15,3,FALSE),0))*(1+0.1*AH135)+(IF(OR(B136&lt;&gt;"Hunt",IFERROR(VLOOKUP(C136,Monsters!$T$4:$AH$15,6,FALSE),0)=0),0,FLOOR((IF(B136="Hunt",(('Rules &amp; Formulas'!B4*N135*('Rules &amp; Formulas'!B5+O135)*IFERROR(VLOOKUP(C136,Monsters!$T$4:$AH$15,10,FALSE),0)*IFERROR(VLOOKUP(C136,Monsters!$T$4:$AH$15,9,FALSE),0))*'Rules &amp; Formulas'!B6)*IF(D136="",0,D136),0))/MAX(1,IFERROR(VLOOKUP(C136,Monsters!$T$4:$AH$15,6,FALSE),0)),1)))*(IFERROR(VLOOKUP(C136,Monsters!$T$4:$AH$15,7,FALSE),0))*0.5*(1+0.1*AH135),0)+IF(AND((E136="OK"),B136="Go AFK"),(IF(B136="Go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AFK",IF(D136="",0,D136),0),Z135/60)*60)),0))*(IFERROR(VLOOKUP(C136,Monsters!$T$4:$AH$15,3,FALSE),0))*(1+0.1*AH135)+(IF(OR(B136&lt;&gt;"Go AFK",IFERROR(VLOOKUP(C136,Monsters!$T$4:$AH$15,6,FALSE),0)=0),0,FLOOR((IF(B136="Go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AFK",IF(D136="",0,D136),0),Z135/60)*60)),0))/MAX(1,IFERROR(VLOOKUP(C136,Monsters!$T$4:$AH$15,6,FALSE),0)),1)))*(IFERROR(VLOOKUP(C136,Monsters!$T$4:$AH$15,7,FALSE),0))*0.5*(1+0.1*AH135),0)+IF(AND((E136="OK"),B136="Fight boss",(IF((((105/'Rules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Formulas'!B12)),IFERROR(VLOOKUP(C136,Monsters!$T$4:$AH$15,3,FALSE),0),0)-IF(AND((E136="OK"),OR(B136="Buy upgrade",B136="Forge/Scrapwork buy"),IFERROR(VLOOKUP(C136,Upgrades!$N$4:$T$47,2,FALSE),0)="gold"),IFERROR(FLOOR(IFERROR(VLOOKUP(C136,Upgrades!$N$4:$T$47,3,FALSE),0)*(IFERROR(VLOOKUP(C136,Upgrades!$N$4:$T$47,4,FALSE),0)^(COUNTIFS($B$3:$B135,"Buy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buy",$C$3:$C135,C136))),1),0),0)-IF(AND((E136="OK"),B136="Hire hunter"),IF(C136="Briar",140,IF(C136="Quill",3650,IF(C136="Moss",4850,IF(C136="Ember",12200,0)))),0))</f>
        <v/>
      </c>
      <c r="I136" s="7">
        <f>IF(AND((E136="OK"),B136="Fight boss",(IF((((105/'Rules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Formulas'!B12)),0,MIN(IF(G135&lt;=1,120,IF(G135=2,280,600)),I135+IF(AND((E136="OK"),B136="Hunt"),((IF(B136="Hunt",(('Rules &amp; Formulas'!B4*N135*('Rules &amp; Formulas'!B5+O135)*IFERROR(VLOOKUP(C136,Monsters!$T$4:$AH$15,10,FALSE),0)*IFERROR(VLOOKUP(C136,Monsters!$T$4:$AH$15,9,FALSE),0))*'Rules &amp; Formulas'!B6)*IF(D136="",0,D136),0))*(IFERROR(VLOOKUP(C136,Monsters!$T$4:$AH$15,4,FALSE),0))+(IF(OR(B136&lt;&gt;"Hunt",IFERROR(VLOOKUP(C136,Monsters!$T$4:$AH$15,6,FALSE),0)=0),0,FLOOR((IF(B136="Hunt",(('Rules &amp; Formulas'!B4*N135*('Rules &amp; Formulas'!B5+O135)*IFERROR(VLOOKUP(C136,Monsters!$T$4:$AH$15,10,FALSE),0)*IFERROR(VLOOKUP(C136,Monsters!$T$4:$AH$15,9,FALSE),0))*'Rules &amp; Formulas'!B6)*IF(D136="",0,D136),0))/MAX(1,IFERROR(VLOOKUP(C136,Monsters!$T$4:$AH$15,6,FALSE),0)),1)))*(IFERROR(VLOOKUP(C136,Monsters!$T$4:$AH$15,7,FALSE),0))),0)+IF(AND((E136="OK"),B136="Go AFK"),((IF(B136="Go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AFK",IF(D136="",0,D136),0),Z135/60)*60)),0))*(IFERROR(VLOOKUP(C136,Monsters!$T$4:$AH$15,4,FALSE),0))+(IF(OR(B136&lt;&gt;"Go AFK",IFERROR(VLOOKUP(C136,Monsters!$T$4:$AH$15,6,FALSE),0)=0),0,FLOOR((IF(B136="Go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AFK",IF(D136="",0,D136),0),Z135/60)*60)),0))/MAX(1,IFERROR(VLOOKUP(C136,Monsters!$T$4:$AH$15,6,FALSE),0)),1)))*(IFERROR(VLOOKUP(C136,Monsters!$T$4:$AH$15,7,FALSE),0))),0)))</f>
        <v/>
      </c>
      <c r="J136" s="7">
        <f>MAX(0,J135+IF(AND((E136="OK"),B136="Hunt"),(IF(B136="Hunt",(('Rules &amp; Formulas'!B4*N135*('Rules &amp; Formulas'!B5+O135)*IFERROR(VLOOKUP(C136,Monsters!$T$4:$AH$15,10,FALSE),0)*IFERROR(VLOOKUP(C136,Monsters!$T$4:$AH$15,9,FALSE),0))*'Rules &amp; Formulas'!B6)*IF(D136="",0,D136),0))*(IFERROR(VLOOKUP(C136,Monsters!$T$4:$AH$15,5,FALSE),0)),0)+IF(AND((E136="OK"),B136="Go AFK"),(IF(B136="Go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AFK",IF(D136="",0,D136),0),Z135/60)*60)),0))*(IFERROR(VLOOKUP(C136,Monsters!$T$4:$AH$15,5,FALSE),0)),0)-IF(AND((E136="OK"),OR(B136="Buy upgrade",B136="Forge/Scrapwork buy"),IFERROR(VLOOKUP(C136,Upgrades!$N$4:$T$47,2,FALSE),0)="scraps"),IFERROR(FLOOR(IFERROR(VLOOKUP(C136,Upgrades!$N$4:$T$47,3,FALSE),0)*(IFERROR(VLOOKUP(C136,Upgrades!$N$4:$T$47,4,FALSE),0)^(COUNTIFS($B$3:$B135,"Buy upgrade",$C$3:$C135,C136)+COUNTIFS($B$3:$B135,"Hire hunter",$C$3:$C135,C136)+COUNTIFS($B$3:$B135,"Forge/Scrapwork buy",$C$3:$C135,C136))),1),0),0))</f>
        <v/>
      </c>
      <c r="K136" s="7">
        <f>MAX(0,K135+IF(AND((E136="OK"),B136="Hunt"),IF(C136="Thornpelt Bear",(IF(B136="Hunt",(('Rules &amp; Formulas'!B4*N135*('Rules &amp; Formulas'!B5+O135)*IFERROR(VLOOKUP(C136,Monsters!$T$4:$AH$15,10,FALSE),0)*IFERROR(VLOOKUP(C136,Monsters!$T$4:$AH$15,9,FALSE),0))*'Rules &amp; Formulas'!B6)*IF(D136="",0,D136),0))*0.12,0),0)+IF(AND((E136="OK"),B136="Go AFK"),IF(C136="Thornpelt Bear",(IF(B136="Go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AFK",IF(D136="",0,D136),0),Z135/60)*60)),0))*0.12,0),0))</f>
        <v/>
      </c>
      <c r="L136" s="7">
        <f>MAX(0,L135+IF(AND((E136="OK"),B136="Hunt"),IF(C136="Dire Thornpelt",(IF(B136="Hunt",(('Rules &amp; Formulas'!B4*N135*('Rules &amp; Formulas'!B5+O135)*IFERROR(VLOOKUP(C136,Monsters!$T$4:$AH$15,10,FALSE),0)*IFERROR(VLOOKUP(C136,Monsters!$T$4:$AH$15,9,FALSE),0))*'Rules &amp; Formulas'!B6)*IF(D136="",0,D136),0))*0.1,0),0)+IF(AND((E136="OK"),B136="Go AFK"),IF(C136="Dire Thornpelt",(IF(B136="Go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AFK",IF(D136="",0,D136),0),Z135/60)*60)),0))*0.1,0),0))</f>
        <v/>
      </c>
      <c r="M136" s="7">
        <f>IF(AND((E136="OK"),B136="Go AFK"),MAX(0,MIN(('Rules &amp; Formulas'!B15+25*AJ135),M135+('Rules &amp; Formulas'!B14+0.4*AJ135)*(MIN(IF(B136="Go AFK",IF(D136="",0,D136),0),Z135/60)*60))-(IF(B136="Go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AFK",IF(D136="",0,D136),0),Z135/60)*60)),0))*(IF((IFERROR(VLOOKUP(C136,Monsters!$T$4:$AH$15,8,FALSE),0))=0,0.35,IFERROR(VLOOKUP(C136,Monsters!$T$4:$AH$15,8,FALSE),0))/(1+0.08*AK135))),MIN(('Rules &amp; Formulas'!B15+25*AJ136),M135))</f>
        <v/>
      </c>
      <c r="N136" s="7">
        <f>(1+0.08+0.12*AA136+0.12*AB136+0.16*AC136)</f>
        <v/>
      </c>
      <c r="O136" s="7">
        <f>((AD136&gt;=1)*1*(1+0.3*AE136))</f>
        <v/>
      </c>
      <c r="P136" s="7">
        <f>IF(OR(B136="Hunt",B136="Go AFK"),(('Rules &amp; Formulas'!B4*N135*('Rules &amp; Formulas'!B5+O135)*IFERROR(VLOOKUP(C136,Monsters!$T$4:$AH$15,10,FALSE),0)*IFERROR(VLOOKUP(C136,Monsters!$T$4:$AH$15,9,FALSE),0))*'Rules &amp; Formulas'!B6),"")</f>
        <v/>
      </c>
      <c r="Q136" s="7">
        <f>IF(OR(B136="Hunt",B136="Go AFK"),('Rules &amp; Formulas'!B4*N135*('Rules &amp; Formulas'!B5+O135)*IFERROR(VLOOKUP(C136,Monsters!$T$4:$AH$15,10,FALSE),0)*IFERROR(VLOOKUP(C136,Monsters!$T$4:$AH$15,9,FALSE),0)),"")</f>
        <v/>
      </c>
      <c r="R136" s="7">
        <f>IF(AND((E136="OK"),B136="Hunt"),IF(B136="Hunt",(('Rules &amp; Formulas'!B4*N135*('Rules &amp; Formulas'!B5+O135)*IFERROR(VLOOKUP(C136,Monsters!$T$4:$AH$15,10,FALSE),0)*IFERROR(VLOOKUP(C136,Monsters!$T$4:$AH$15,9,FALSE),0))*'Rules &amp; Formulas'!B6)*IF(D136="",0,D136),0),IF(AND((E136="OK"),B136="Go AFK"),IF(B136="Go AFK",MIN(IF((IF((IFERROR(VLOOKUP(C136,Monsters!$T$4:$AH$15,8,FALSE),0))=0,0.35,IFERROR(VLOOKUP(C136,Monsters!$T$4:$AH$15,8,FALSE),0))/(1+0.08*AK135))&lt;=0,999999,FLOOR(MIN(('Rules &amp; Formulas'!B15+25*AJ135),M135+('Rules &amp; Formulas'!B14+0.4*AJ135)*(MIN(IF(B136="Go AFK",IF(D136="",0,D136),0),Z135/60)*60))/(IF((IFERROR(VLOOKUP(C136,Monsters!$T$4:$AH$15,8,FALSE),0))=0,0.35,IFERROR(VLOOKUP(C136,Monsters!$T$4:$AH$15,8,FALSE),0))/(1+0.08*AK135)),1)),('Rules &amp; Formulas'!B4*N135*('Rules &amp; Formulas'!B5+O135)*IFERROR(VLOOKUP(C136,Monsters!$T$4:$AH$15,10,FALSE),0)*IFERROR(VLOOKUP(C136,Monsters!$T$4:$AH$15,9,FALSE),0))*(MIN(IF(B136="Go AFK",IF(D136="",0,D136),0),Z135/60)*60)),0),0))</f>
        <v/>
      </c>
      <c r="S136" s="7">
        <f>(105/'Rules &amp; Formulas'!B10)*'Rules &amp; Formulas'!B11</f>
        <v/>
      </c>
      <c r="T136" s="7">
        <f>IF(AD135&gt;=1,(MAX(1,ROUND('Rules &amp; Formulas'!B18*(1+0.3*AE135)*(1+0.4*AF135),0)))*(1000/'Rules &amp; Formulas'!B19)*MIN(0.95,'Rules &amp; Formulas'!B20*SQRT(1+0.55*(AG135&gt;=1))),0)</f>
        <v/>
      </c>
      <c r="U136" s="7">
        <f>S136+T136</f>
        <v/>
      </c>
      <c r="V136" s="7">
        <f>IF(I135&gt;=IF((IFERROR(VLOOKUP(C136,Monsters!$T$4:$AH$15,15,FALSE),0))=0,120,IFERROR(VLOOKUP(C136,Monsters!$T$4:$AH$15,15,FALSE),0)),"YES","no")</f>
        <v/>
      </c>
      <c r="W136" s="7">
        <f>IF(AND(B136="Fight boss",E136="OK"),IF((((105/'Rules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Formulas'!B20*SQRT(1+0.55*(AG135&gt;=1))),0)))),"")</f>
        <v/>
      </c>
      <c r="X136" s="7">
        <f>IF(AND(B136="Fight boss",E136="OK"),IF((IF((((105/'Rules &amp; Formulas'!B10)*'Rules &amp; Formulas'!B11+IF(AD135&gt;=1,(MAX(1,ROUND('Rules &amp; Formulas'!B18*(1+0.3*AE135)*(1+0.4*AF135),0)))*(1000/'Rules &amp; Formulas'!B19)*MIN(0.95,'Rules &amp; Formulas'!B20*SQRT(1+0.55*(AG135&gt;=1))),0)))&lt;=0,9999,(IFERROR(VLOOKUP(C136,Monsters!$T$4:$AH$15,2,FALSE),0))/(((105/'Rules &amp; Formulas'!B10)*'Rules &amp; Formulas'!B11+IF(AD135&gt;=1,(MAX(1,ROUND('Rules &amp; Formulas'!B18*(1+0.3*AE135)*(1+0.4*AF135),0)))*(1000/'Rules &amp; Formulas'!B19)*MIN(0.95,'Rules &amp; Formulas'!B20*SQRT(1+0.55*(AG135&gt;=1))),0))))&lt;='Rules &amp; Formulas'!B12),"WIN","LOSE"),"")</f>
        <v/>
      </c>
      <c r="Y136" s="7">
        <f>IF(B136="Go AFK",MIN(IF(B136="Go AFK",IF(D136="",0,D136),0),Z135/60),"")</f>
        <v/>
      </c>
      <c r="Z136" s="7">
        <f>('Rules &amp; Formulas'!B13+30*AI136)</f>
        <v/>
      </c>
      <c r="AA136">
        <f>COUNTIFS($B$3:$B136,"Buy upgrade",$C$3:$C136,"Idle Power")</f>
        <v/>
      </c>
      <c r="AB136">
        <f>COUNTIFS($B$3:$B136,"Buy upgrade",$C$3:$C136,"Iron Blade")</f>
        <v/>
      </c>
      <c r="AC136">
        <f>COUNTIFS($B$3:$B136,"Buy upgrade",$C$3:$C136,"Steel Blade")</f>
        <v/>
      </c>
      <c r="AD136">
        <f>COUNTIFS($B$3:$B136,"Hire hunter",$C$3:$C136,"Briar")+COUNTIFS($B$3:$B136,"Buy upgrade",$C$3:$C136,"Hire Briar")</f>
        <v/>
      </c>
      <c r="AE136">
        <f>COUNTIFS($B$3:$B136,"Buy upgrade",$C$3:$C136,"Hunter Power")</f>
        <v/>
      </c>
      <c r="AF136">
        <f>COUNTIFS($B$3:$B136,"Buy upgrade",$C$3:$C136,"Bigger Hits")</f>
        <v/>
      </c>
      <c r="AG136">
        <f>COUNTIFS($B$3:$B136,"Buy upgrade",$C$3:$C136,"Swift Walk")</f>
        <v/>
      </c>
      <c r="AH136">
        <f>COUNTIFS($B$3:$B136,"Buy upgrade",$C$3:$C136,"Loot Luck")</f>
        <v/>
      </c>
      <c r="AI136">
        <f>COUNTIFS($B$3:$B136,"Buy upgrade",$C$3:$C136,"Offline Cap")</f>
        <v/>
      </c>
      <c r="AJ136">
        <f>COUNTIFS($B$3:$B136,"Buy upgrade",$C$3:$C136,"Bigger Food Stock")</f>
        <v/>
      </c>
      <c r="AK136">
        <f>COUNTIFS($B$3:$B136,"Buy upgrade",$C$3:$C136,"Food Efficiency")</f>
        <v/>
      </c>
    </row>
    <row r="137">
      <c r="A137" t="n">
        <v>135</v>
      </c>
      <c r="B137" s="6" t="n"/>
      <c r="C137" s="6" t="n"/>
      <c r="D137" s="6" t="n"/>
      <c r="E137" s="7">
        <f>IF(B137="","",IF(OR(B137="Hunt",B137="Go AFK"),IF(C137="","Can't","OK"),IF(B137="Fight boss",IF(I136&lt;IF((IFERROR(VLOOKUP(C137,Monsters!$T$4:$AH$15,15,FALSE),0))=0,120,IFERROR(VLOOKUP(C137,Monsters!$T$4:$AH$15,15,FALSE),0)),"Can't","OK"),IF(B137="Hire hunter",IF(AND(C137="Briar",AD136&gt;=1),"Can't",IF(H136&lt;IF(C137="Briar",140,IF(C137="Quill",3650,IF(C137="Moss",4850,IF(C137="Ember",12200,0)))),"Can't","OK")),IF(OR(B137="Buy upgrade",B137="Forge/Scrapwork buy"),IF(IFERROR(VLOOKUP(C137,Upgrades!$N$4:$T$47,2,FALSE),0)="points","Can't",IF(IFERROR(VLOOKUP(C137,Upgrades!$N$4:$T$47,2,FALSE),0)="gold",IF(H136&lt;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buy",$C$3:$C136,C137))),1),0),"Can't","OK"),IF(IFERROR(VLOOKUP(C137,Upgrades!$N$4:$T$47,2,FALSE),0)="scraps",IF(J136&lt;IFERROR(FLOOR(IFERROR(VLOOKUP(C137,Upgrades!$N$4:$T$47,3,FALSE),0)*(IFERROR(VLOOKUP(C137,Upgrades!$N$4:$T$47,4,FALSE),0)^(COUNTIFS($B$3:$B136,"Buy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buy",$C$3:$C136,C137))),1),0),"Can't","OK"),IF(IFERROR(VLOOKUP(C137,Upgrades!$N$4:$T$47,2,FALSE),0)="mats","Can't","OK")))),"Check")))))</f>
        <v/>
      </c>
      <c r="F137" s="7">
        <f>IF(B137="","",IF(AND(B137="Fight boss",I136&lt;IF((IFERROR(VLOOKUP(C137,Monsters!$T$4:$AH$15,15,FALSE),0))=0,120,IFERROR(VLOOKUP(C137,Monsters!$T$4:$AH$15,15,FALSE),0))),"Can't — need "&amp;TEXT(IF((IFERROR(VLOOKUP(C137,Monsters!$T$4:$AH$15,15,FALSE),0))=0,120,IFERROR(VLOOKUP(C137,Monsters!$T$4:$AH$15,15,FALSE),0))-I136,"0.0")&amp;" more Slayer points on the meter",IF(AND(B137="Hire hunter",C137="Briar",AD136&gt;=1),"Can't — already hired",IF(AND(B137="Hire hunter",H136&lt;IF(C137="Briar",140,IF(C137="Quill",3650,IF(C137="Moss",4850,IF(C137="Ember",12200,0))))),"Can't — need "&amp;TEXT(IF(C137="Briar",140,IF(C137="Quill",3650,IF(C137="Moss",4850,IF(C137="Ember",12200,0))))-H136,"0")&amp;" more gold",IF(AND(OR(B137="Buy upgrade",B137="Forge/Scrapwork buy"),IFERROR(VLOOKUP(C137,Upgrades!$N$4:$T$47,2,FALSE),0)="points"),"Can't — Sp-wallet spends not tracked here",IF(AND(OR(B137="Buy upgrade",B137="Forge/Scrapwork buy"),IFERROR(VLOOKUP(C137,Upgrades!$N$4:$T$47,2,FALSE),0)="gold",H136&lt;IFERROR(FLOOR(IFERROR(VLOOKUP(C137,Upgrades!$N$4:$T$47,3,FALSE),0)*(IFERROR(VLOOKUP(C137,Upgrades!$N$4:$T$47,4,FALSE),0)^(COUNTIFS($B$3:$B136,"Buy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buy",$C$3:$C136,C137))),1),0)),"Can't — need "&amp;TEXT(IFERROR(FLOOR(IFERROR(VLOOKUP(C137,Upgrades!$N$4:$T$47,3,FALSE),0)*(IFERROR(VLOOKUP(C137,Upgrades!$N$4:$T$47,4,FALSE),0)^(COUNTIFS($B$3:$B136,"Buy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buy",$C$3:$C136,C137))),1),0)-H136,"0")&amp;" more gold",IF(AND(OR(B137="Buy upgrade",B137="Forge/Scrapwork buy"),IFERROR(VLOOKUP(C137,Upgrades!$N$4:$T$47,2,FALSE),0)="scraps",J136&lt;IFERROR(FLOOR(IFERROR(VLOOKUP(C137,Upgrades!$N$4:$T$47,3,FALSE),0)*(IFERROR(VLOOKUP(C137,Upgrades!$N$4:$T$47,4,FALSE),0)^(COUNTIFS($B$3:$B136,"Buy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buy",$C$3:$C136,C137))),1),0)),"Can't — need "&amp;TEXT(IFERROR(FLOOR(IFERROR(VLOOKUP(C137,Upgrades!$N$4:$T$47,3,FALSE),0)*(IFERROR(VLOOKUP(C137,Upgrades!$N$4:$T$47,4,FALSE),0)^(COUNTIFS($B$3:$B136,"Buy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buy",$C$3:$C136,C137))),1),0)-J136,"0")&amp;" more scraps",IF(AND(B137="Fight boss",E137="OK",(IF((((105/'Rules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Formulas'!B12)),"WIN — boss down, next Level unlocks",IF(AND(B137="Fight boss",E137="OK"),"LOSE — TTK "&amp;TEXT(IF((((105/'Rules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Formulas'!B20*SQRT(1+0.55*(AG136&gt;=1))),0)))),"0")&amp;"s &gt; patience "&amp;TEXT('Rules &amp; Formulas'!B12,"0")&amp;"s (leave resets HP)",IF(B137="Go AFK","AFK resolved (see AFK counted h)","Applied")))))))))</f>
        <v/>
      </c>
      <c r="G137" s="7">
        <f>IF(AND((E137="OK"),B137="Fight boss",(IF((((105/'Rules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Formulas'!B12),C137="Elder Thornpelt"),2,IF(AND((E137="OK"),B137="Fight boss",(IF((((105/'Rules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Formulas'!B12),C137="Ashfang Alpha"),3,G136))</f>
        <v/>
      </c>
      <c r="H137" s="7">
        <f>MAX(0,H136+IF(AND((E137="OK"),B137="Hunt"),(IF(B137="Hunt",(('Rules &amp; Formulas'!B4*N136*('Rules &amp; Formulas'!B5+O136)*IFERROR(VLOOKUP(C137,Monsters!$T$4:$AH$15,10,FALSE),0)*IFERROR(VLOOKUP(C137,Monsters!$T$4:$AH$15,9,FALSE),0))*'Rules &amp; Formulas'!B6)*IF(D137="",0,D137),0))*(IFERROR(VLOOKUP(C137,Monsters!$T$4:$AH$15,3,FALSE),0))*(1+0.1*AH136)+(IF(OR(B137&lt;&gt;"Hunt",IFERROR(VLOOKUP(C137,Monsters!$T$4:$AH$15,6,FALSE),0)=0),0,FLOOR((IF(B137="Hunt",(('Rules &amp; Formulas'!B4*N136*('Rules &amp; Formulas'!B5+O136)*IFERROR(VLOOKUP(C137,Monsters!$T$4:$AH$15,10,FALSE),0)*IFERROR(VLOOKUP(C137,Monsters!$T$4:$AH$15,9,FALSE),0))*'Rules &amp; Formulas'!B6)*IF(D137="",0,D137),0))/MAX(1,IFERROR(VLOOKUP(C137,Monsters!$T$4:$AH$15,6,FALSE),0)),1)))*(IFERROR(VLOOKUP(C137,Monsters!$T$4:$AH$15,7,FALSE),0))*0.5*(1+0.1*AH136),0)+IF(AND((E137="OK"),B137="Go AFK"),(IF(B137="Go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AFK",IF(D137="",0,D137),0),Z136/60)*60)),0))*(IFERROR(VLOOKUP(C137,Monsters!$T$4:$AH$15,3,FALSE),0))*(1+0.1*AH136)+(IF(OR(B137&lt;&gt;"Go AFK",IFERROR(VLOOKUP(C137,Monsters!$T$4:$AH$15,6,FALSE),0)=0),0,FLOOR((IF(B137="Go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AFK",IF(D137="",0,D137),0),Z136/60)*60)),0))/MAX(1,IFERROR(VLOOKUP(C137,Monsters!$T$4:$AH$15,6,FALSE),0)),1)))*(IFERROR(VLOOKUP(C137,Monsters!$T$4:$AH$15,7,FALSE),0))*0.5*(1+0.1*AH136),0)+IF(AND((E137="OK"),B137="Fight boss",(IF((((105/'Rules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Formulas'!B12)),IFERROR(VLOOKUP(C137,Monsters!$T$4:$AH$15,3,FALSE),0),0)-IF(AND((E137="OK"),OR(B137="Buy upgrade",B137="Forge/Scrapwork buy"),IFERROR(VLOOKUP(C137,Upgrades!$N$4:$T$47,2,FALSE),0)="gold"),IFERROR(FLOOR(IFERROR(VLOOKUP(C137,Upgrades!$N$4:$T$47,3,FALSE),0)*(IFERROR(VLOOKUP(C137,Upgrades!$N$4:$T$47,4,FALSE),0)^(COUNTIFS($B$3:$B136,"Buy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buy",$C$3:$C136,C137))),1),0),0)-IF(AND((E137="OK"),B137="Hire hunter"),IF(C137="Briar",140,IF(C137="Quill",3650,IF(C137="Moss",4850,IF(C137="Ember",12200,0)))),0))</f>
        <v/>
      </c>
      <c r="I137" s="7">
        <f>IF(AND((E137="OK"),B137="Fight boss",(IF((((105/'Rules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Formulas'!B12)),0,MIN(IF(G136&lt;=1,120,IF(G136=2,280,600)),I136+IF(AND((E137="OK"),B137="Hunt"),((IF(B137="Hunt",(('Rules &amp; Formulas'!B4*N136*('Rules &amp; Formulas'!B5+O136)*IFERROR(VLOOKUP(C137,Monsters!$T$4:$AH$15,10,FALSE),0)*IFERROR(VLOOKUP(C137,Monsters!$T$4:$AH$15,9,FALSE),0))*'Rules &amp; Formulas'!B6)*IF(D137="",0,D137),0))*(IFERROR(VLOOKUP(C137,Monsters!$T$4:$AH$15,4,FALSE),0))+(IF(OR(B137&lt;&gt;"Hunt",IFERROR(VLOOKUP(C137,Monsters!$T$4:$AH$15,6,FALSE),0)=0),0,FLOOR((IF(B137="Hunt",(('Rules &amp; Formulas'!B4*N136*('Rules &amp; Formulas'!B5+O136)*IFERROR(VLOOKUP(C137,Monsters!$T$4:$AH$15,10,FALSE),0)*IFERROR(VLOOKUP(C137,Monsters!$T$4:$AH$15,9,FALSE),0))*'Rules &amp; Formulas'!B6)*IF(D137="",0,D137),0))/MAX(1,IFERROR(VLOOKUP(C137,Monsters!$T$4:$AH$15,6,FALSE),0)),1)))*(IFERROR(VLOOKUP(C137,Monsters!$T$4:$AH$15,7,FALSE),0))),0)+IF(AND((E137="OK"),B137="Go AFK"),((IF(B137="Go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AFK",IF(D137="",0,D137),0),Z136/60)*60)),0))*(IFERROR(VLOOKUP(C137,Monsters!$T$4:$AH$15,4,FALSE),0))+(IF(OR(B137&lt;&gt;"Go AFK",IFERROR(VLOOKUP(C137,Monsters!$T$4:$AH$15,6,FALSE),0)=0),0,FLOOR((IF(B137="Go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AFK",IF(D137="",0,D137),0),Z136/60)*60)),0))/MAX(1,IFERROR(VLOOKUP(C137,Monsters!$T$4:$AH$15,6,FALSE),0)),1)))*(IFERROR(VLOOKUP(C137,Monsters!$T$4:$AH$15,7,FALSE),0))),0)))</f>
        <v/>
      </c>
      <c r="J137" s="7">
        <f>MAX(0,J136+IF(AND((E137="OK"),B137="Hunt"),(IF(B137="Hunt",(('Rules &amp; Formulas'!B4*N136*('Rules &amp; Formulas'!B5+O136)*IFERROR(VLOOKUP(C137,Monsters!$T$4:$AH$15,10,FALSE),0)*IFERROR(VLOOKUP(C137,Monsters!$T$4:$AH$15,9,FALSE),0))*'Rules &amp; Formulas'!B6)*IF(D137="",0,D137),0))*(IFERROR(VLOOKUP(C137,Monsters!$T$4:$AH$15,5,FALSE),0)),0)+IF(AND((E137="OK"),B137="Go AFK"),(IF(B137="Go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AFK",IF(D137="",0,D137),0),Z136/60)*60)),0))*(IFERROR(VLOOKUP(C137,Monsters!$T$4:$AH$15,5,FALSE),0)),0)-IF(AND((E137="OK"),OR(B137="Buy upgrade",B137="Forge/Scrapwork buy"),IFERROR(VLOOKUP(C137,Upgrades!$N$4:$T$47,2,FALSE),0)="scraps"),IFERROR(FLOOR(IFERROR(VLOOKUP(C137,Upgrades!$N$4:$T$47,3,FALSE),0)*(IFERROR(VLOOKUP(C137,Upgrades!$N$4:$T$47,4,FALSE),0)^(COUNTIFS($B$3:$B136,"Buy upgrade",$C$3:$C136,C137)+COUNTIFS($B$3:$B136,"Hire hunter",$C$3:$C136,C137)+COUNTIFS($B$3:$B136,"Forge/Scrapwork buy",$C$3:$C136,C137))),1),0),0))</f>
        <v/>
      </c>
      <c r="K137" s="7">
        <f>MAX(0,K136+IF(AND((E137="OK"),B137="Hunt"),IF(C137="Thornpelt Bear",(IF(B137="Hunt",(('Rules &amp; Formulas'!B4*N136*('Rules &amp; Formulas'!B5+O136)*IFERROR(VLOOKUP(C137,Monsters!$T$4:$AH$15,10,FALSE),0)*IFERROR(VLOOKUP(C137,Monsters!$T$4:$AH$15,9,FALSE),0))*'Rules &amp; Formulas'!B6)*IF(D137="",0,D137),0))*0.12,0),0)+IF(AND((E137="OK"),B137="Go AFK"),IF(C137="Thornpelt Bear",(IF(B137="Go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AFK",IF(D137="",0,D137),0),Z136/60)*60)),0))*0.12,0),0))</f>
        <v/>
      </c>
      <c r="L137" s="7">
        <f>MAX(0,L136+IF(AND((E137="OK"),B137="Hunt"),IF(C137="Dire Thornpelt",(IF(B137="Hunt",(('Rules &amp; Formulas'!B4*N136*('Rules &amp; Formulas'!B5+O136)*IFERROR(VLOOKUP(C137,Monsters!$T$4:$AH$15,10,FALSE),0)*IFERROR(VLOOKUP(C137,Monsters!$T$4:$AH$15,9,FALSE),0))*'Rules &amp; Formulas'!B6)*IF(D137="",0,D137),0))*0.1,0),0)+IF(AND((E137="OK"),B137="Go AFK"),IF(C137="Dire Thornpelt",(IF(B137="Go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AFK",IF(D137="",0,D137),0),Z136/60)*60)),0))*0.1,0),0))</f>
        <v/>
      </c>
      <c r="M137" s="7">
        <f>IF(AND((E137="OK"),B137="Go AFK"),MAX(0,MIN(('Rules &amp; Formulas'!B15+25*AJ136),M136+('Rules &amp; Formulas'!B14+0.4*AJ136)*(MIN(IF(B137="Go AFK",IF(D137="",0,D137),0),Z136/60)*60))-(IF(B137="Go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AFK",IF(D137="",0,D137),0),Z136/60)*60)),0))*(IF((IFERROR(VLOOKUP(C137,Monsters!$T$4:$AH$15,8,FALSE),0))=0,0.35,IFERROR(VLOOKUP(C137,Monsters!$T$4:$AH$15,8,FALSE),0))/(1+0.08*AK136))),MIN(('Rules &amp; Formulas'!B15+25*AJ137),M136))</f>
        <v/>
      </c>
      <c r="N137" s="7">
        <f>(1+0.08+0.12*AA137+0.12*AB137+0.16*AC137)</f>
        <v/>
      </c>
      <c r="O137" s="7">
        <f>((AD137&gt;=1)*1*(1+0.3*AE137))</f>
        <v/>
      </c>
      <c r="P137" s="7">
        <f>IF(OR(B137="Hunt",B137="Go AFK"),(('Rules &amp; Formulas'!B4*N136*('Rules &amp; Formulas'!B5+O136)*IFERROR(VLOOKUP(C137,Monsters!$T$4:$AH$15,10,FALSE),0)*IFERROR(VLOOKUP(C137,Monsters!$T$4:$AH$15,9,FALSE),0))*'Rules &amp; Formulas'!B6),"")</f>
        <v/>
      </c>
      <c r="Q137" s="7">
        <f>IF(OR(B137="Hunt",B137="Go AFK"),('Rules &amp; Formulas'!B4*N136*('Rules &amp; Formulas'!B5+O136)*IFERROR(VLOOKUP(C137,Monsters!$T$4:$AH$15,10,FALSE),0)*IFERROR(VLOOKUP(C137,Monsters!$T$4:$AH$15,9,FALSE),0)),"")</f>
        <v/>
      </c>
      <c r="R137" s="7">
        <f>IF(AND((E137="OK"),B137="Hunt"),IF(B137="Hunt",(('Rules &amp; Formulas'!B4*N136*('Rules &amp; Formulas'!B5+O136)*IFERROR(VLOOKUP(C137,Monsters!$T$4:$AH$15,10,FALSE),0)*IFERROR(VLOOKUP(C137,Monsters!$T$4:$AH$15,9,FALSE),0))*'Rules &amp; Formulas'!B6)*IF(D137="",0,D137),0),IF(AND((E137="OK"),B137="Go AFK"),IF(B137="Go AFK",MIN(IF((IF((IFERROR(VLOOKUP(C137,Monsters!$T$4:$AH$15,8,FALSE),0))=0,0.35,IFERROR(VLOOKUP(C137,Monsters!$T$4:$AH$15,8,FALSE),0))/(1+0.08*AK136))&lt;=0,999999,FLOOR(MIN(('Rules &amp; Formulas'!B15+25*AJ136),M136+('Rules &amp; Formulas'!B14+0.4*AJ136)*(MIN(IF(B137="Go AFK",IF(D137="",0,D137),0),Z136/60)*60))/(IF((IFERROR(VLOOKUP(C137,Monsters!$T$4:$AH$15,8,FALSE),0))=0,0.35,IFERROR(VLOOKUP(C137,Monsters!$T$4:$AH$15,8,FALSE),0))/(1+0.08*AK136)),1)),('Rules &amp; Formulas'!B4*N136*('Rules &amp; Formulas'!B5+O136)*IFERROR(VLOOKUP(C137,Monsters!$T$4:$AH$15,10,FALSE),0)*IFERROR(VLOOKUP(C137,Monsters!$T$4:$AH$15,9,FALSE),0))*(MIN(IF(B137="Go AFK",IF(D137="",0,D137),0),Z136/60)*60)),0),0))</f>
        <v/>
      </c>
      <c r="S137" s="7">
        <f>(105/'Rules &amp; Formulas'!B10)*'Rules &amp; Formulas'!B11</f>
        <v/>
      </c>
      <c r="T137" s="7">
        <f>IF(AD136&gt;=1,(MAX(1,ROUND('Rules &amp; Formulas'!B18*(1+0.3*AE136)*(1+0.4*AF136),0)))*(1000/'Rules &amp; Formulas'!B19)*MIN(0.95,'Rules &amp; Formulas'!B20*SQRT(1+0.55*(AG136&gt;=1))),0)</f>
        <v/>
      </c>
      <c r="U137" s="7">
        <f>S137+T137</f>
        <v/>
      </c>
      <c r="V137" s="7">
        <f>IF(I136&gt;=IF((IFERROR(VLOOKUP(C137,Monsters!$T$4:$AH$15,15,FALSE),0))=0,120,IFERROR(VLOOKUP(C137,Monsters!$T$4:$AH$15,15,FALSE),0)),"YES","no")</f>
        <v/>
      </c>
      <c r="W137" s="7">
        <f>IF(AND(B137="Fight boss",E137="OK"),IF((((105/'Rules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Formulas'!B20*SQRT(1+0.55*(AG136&gt;=1))),0)))),"")</f>
        <v/>
      </c>
      <c r="X137" s="7">
        <f>IF(AND(B137="Fight boss",E137="OK"),IF((IF((((105/'Rules &amp; Formulas'!B10)*'Rules &amp; Formulas'!B11+IF(AD136&gt;=1,(MAX(1,ROUND('Rules &amp; Formulas'!B18*(1+0.3*AE136)*(1+0.4*AF136),0)))*(1000/'Rules &amp; Formulas'!B19)*MIN(0.95,'Rules &amp; Formulas'!B20*SQRT(1+0.55*(AG136&gt;=1))),0)))&lt;=0,9999,(IFERROR(VLOOKUP(C137,Monsters!$T$4:$AH$15,2,FALSE),0))/(((105/'Rules &amp; Formulas'!B10)*'Rules &amp; Formulas'!B11+IF(AD136&gt;=1,(MAX(1,ROUND('Rules &amp; Formulas'!B18*(1+0.3*AE136)*(1+0.4*AF136),0)))*(1000/'Rules &amp; Formulas'!B19)*MIN(0.95,'Rules &amp; Formulas'!B20*SQRT(1+0.55*(AG136&gt;=1))),0))))&lt;='Rules &amp; Formulas'!B12),"WIN","LOSE"),"")</f>
        <v/>
      </c>
      <c r="Y137" s="7">
        <f>IF(B137="Go AFK",MIN(IF(B137="Go AFK",IF(D137="",0,D137),0),Z136/60),"")</f>
        <v/>
      </c>
      <c r="Z137" s="7">
        <f>('Rules &amp; Formulas'!B13+30*AI137)</f>
        <v/>
      </c>
      <c r="AA137">
        <f>COUNTIFS($B$3:$B137,"Buy upgrade",$C$3:$C137,"Idle Power")</f>
        <v/>
      </c>
      <c r="AB137">
        <f>COUNTIFS($B$3:$B137,"Buy upgrade",$C$3:$C137,"Iron Blade")</f>
        <v/>
      </c>
      <c r="AC137">
        <f>COUNTIFS($B$3:$B137,"Buy upgrade",$C$3:$C137,"Steel Blade")</f>
        <v/>
      </c>
      <c r="AD137">
        <f>COUNTIFS($B$3:$B137,"Hire hunter",$C$3:$C137,"Briar")+COUNTIFS($B$3:$B137,"Buy upgrade",$C$3:$C137,"Hire Briar")</f>
        <v/>
      </c>
      <c r="AE137">
        <f>COUNTIFS($B$3:$B137,"Buy upgrade",$C$3:$C137,"Hunter Power")</f>
        <v/>
      </c>
      <c r="AF137">
        <f>COUNTIFS($B$3:$B137,"Buy upgrade",$C$3:$C137,"Bigger Hits")</f>
        <v/>
      </c>
      <c r="AG137">
        <f>COUNTIFS($B$3:$B137,"Buy upgrade",$C$3:$C137,"Swift Walk")</f>
        <v/>
      </c>
      <c r="AH137">
        <f>COUNTIFS($B$3:$B137,"Buy upgrade",$C$3:$C137,"Loot Luck")</f>
        <v/>
      </c>
      <c r="AI137">
        <f>COUNTIFS($B$3:$B137,"Buy upgrade",$C$3:$C137,"Offline Cap")</f>
        <v/>
      </c>
      <c r="AJ137">
        <f>COUNTIFS($B$3:$B137,"Buy upgrade",$C$3:$C137,"Bigger Food Stock")</f>
        <v/>
      </c>
      <c r="AK137">
        <f>COUNTIFS($B$3:$B137,"Buy upgrade",$C$3:$C137,"Food Efficiency")</f>
        <v/>
      </c>
    </row>
    <row r="138">
      <c r="A138" t="n">
        <v>136</v>
      </c>
      <c r="B138" s="6" t="n"/>
      <c r="C138" s="6" t="n"/>
      <c r="D138" s="6" t="n"/>
      <c r="E138" s="7">
        <f>IF(B138="","",IF(OR(B138="Hunt",B138="Go AFK"),IF(C138="","Can't","OK"),IF(B138="Fight boss",IF(I137&lt;IF((IFERROR(VLOOKUP(C138,Monsters!$T$4:$AH$15,15,FALSE),0))=0,120,IFERROR(VLOOKUP(C138,Monsters!$T$4:$AH$15,15,FALSE),0)),"Can't","OK"),IF(B138="Hire hunter",IF(AND(C138="Briar",AD137&gt;=1),"Can't",IF(H137&lt;IF(C138="Briar",140,IF(C138="Quill",3650,IF(C138="Moss",4850,IF(C138="Ember",12200,0)))),"Can't","OK")),IF(OR(B138="Buy upgrade",B138="Forge/Scrapwork buy"),IF(IFERROR(VLOOKUP(C138,Upgrades!$N$4:$T$47,2,FALSE),0)="points","Can't",IF(IFERROR(VLOOKUP(C138,Upgrades!$N$4:$T$47,2,FALSE),0)="gold",IF(H137&lt;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buy",$C$3:$C137,C138))),1),0),"Can't","OK"),IF(IFERROR(VLOOKUP(C138,Upgrades!$N$4:$T$47,2,FALSE),0)="scraps",IF(J137&lt;IFERROR(FLOOR(IFERROR(VLOOKUP(C138,Upgrades!$N$4:$T$47,3,FALSE),0)*(IFERROR(VLOOKUP(C138,Upgrades!$N$4:$T$47,4,FALSE),0)^(COUNTIFS($B$3:$B137,"Buy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buy",$C$3:$C137,C138))),1),0),"Can't","OK"),IF(IFERROR(VLOOKUP(C138,Upgrades!$N$4:$T$47,2,FALSE),0)="mats","Can't","OK")))),"Check")))))</f>
        <v/>
      </c>
      <c r="F138" s="7">
        <f>IF(B138="","",IF(AND(B138="Fight boss",I137&lt;IF((IFERROR(VLOOKUP(C138,Monsters!$T$4:$AH$15,15,FALSE),0))=0,120,IFERROR(VLOOKUP(C138,Monsters!$T$4:$AH$15,15,FALSE),0))),"Can't — need "&amp;TEXT(IF((IFERROR(VLOOKUP(C138,Monsters!$T$4:$AH$15,15,FALSE),0))=0,120,IFERROR(VLOOKUP(C138,Monsters!$T$4:$AH$15,15,FALSE),0))-I137,"0.0")&amp;" more Slayer points on the meter",IF(AND(B138="Hire hunter",C138="Briar",AD137&gt;=1),"Can't — already hired",IF(AND(B138="Hire hunter",H137&lt;IF(C138="Briar",140,IF(C138="Quill",3650,IF(C138="Moss",4850,IF(C138="Ember",12200,0))))),"Can't — need "&amp;TEXT(IF(C138="Briar",140,IF(C138="Quill",3650,IF(C138="Moss",4850,IF(C138="Ember",12200,0))))-H137,"0")&amp;" more gold",IF(AND(OR(B138="Buy upgrade",B138="Forge/Scrapwork buy"),IFERROR(VLOOKUP(C138,Upgrades!$N$4:$T$47,2,FALSE),0)="points"),"Can't — Sp-wallet spends not tracked here",IF(AND(OR(B138="Buy upgrade",B138="Forge/Scrapwork buy"),IFERROR(VLOOKUP(C138,Upgrades!$N$4:$T$47,2,FALSE),0)="gold",H137&lt;IFERROR(FLOOR(IFERROR(VLOOKUP(C138,Upgrades!$N$4:$T$47,3,FALSE),0)*(IFERROR(VLOOKUP(C138,Upgrades!$N$4:$T$47,4,FALSE),0)^(COUNTIFS($B$3:$B137,"Buy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buy",$C$3:$C137,C138))),1),0)),"Can't — need "&amp;TEXT(IFERROR(FLOOR(IFERROR(VLOOKUP(C138,Upgrades!$N$4:$T$47,3,FALSE),0)*(IFERROR(VLOOKUP(C138,Upgrades!$N$4:$T$47,4,FALSE),0)^(COUNTIFS($B$3:$B137,"Buy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buy",$C$3:$C137,C138))),1),0)-H137,"0")&amp;" more gold",IF(AND(OR(B138="Buy upgrade",B138="Forge/Scrapwork buy"),IFERROR(VLOOKUP(C138,Upgrades!$N$4:$T$47,2,FALSE),0)="scraps",J137&lt;IFERROR(FLOOR(IFERROR(VLOOKUP(C138,Upgrades!$N$4:$T$47,3,FALSE),0)*(IFERROR(VLOOKUP(C138,Upgrades!$N$4:$T$47,4,FALSE),0)^(COUNTIFS($B$3:$B137,"Buy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buy",$C$3:$C137,C138))),1),0)),"Can't — need "&amp;TEXT(IFERROR(FLOOR(IFERROR(VLOOKUP(C138,Upgrades!$N$4:$T$47,3,FALSE),0)*(IFERROR(VLOOKUP(C138,Upgrades!$N$4:$T$47,4,FALSE),0)^(COUNTIFS($B$3:$B137,"Buy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buy",$C$3:$C137,C138))),1),0)-J137,"0")&amp;" more scraps",IF(AND(B138="Fight boss",E138="OK",(IF((((105/'Rules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Formulas'!B12)),"WIN — boss down, next Level unlocks",IF(AND(B138="Fight boss",E138="OK"),"LOSE — TTK "&amp;TEXT(IF((((105/'Rules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Formulas'!B20*SQRT(1+0.55*(AG137&gt;=1))),0)))),"0")&amp;"s &gt; patience "&amp;TEXT('Rules &amp; Formulas'!B12,"0")&amp;"s (leave resets HP)",IF(B138="Go AFK","AFK resolved (see AFK counted h)","Applied")))))))))</f>
        <v/>
      </c>
      <c r="G138" s="7">
        <f>IF(AND((E138="OK"),B138="Fight boss",(IF((((105/'Rules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Formulas'!B12),C138="Elder Thornpelt"),2,IF(AND((E138="OK"),B138="Fight boss",(IF((((105/'Rules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Formulas'!B12),C138="Ashfang Alpha"),3,G137))</f>
        <v/>
      </c>
      <c r="H138" s="7">
        <f>MAX(0,H137+IF(AND((E138="OK"),B138="Hunt"),(IF(B138="Hunt",(('Rules &amp; Formulas'!B4*N137*('Rules &amp; Formulas'!B5+O137)*IFERROR(VLOOKUP(C138,Monsters!$T$4:$AH$15,10,FALSE),0)*IFERROR(VLOOKUP(C138,Monsters!$T$4:$AH$15,9,FALSE),0))*'Rules &amp; Formulas'!B6)*IF(D138="",0,D138),0))*(IFERROR(VLOOKUP(C138,Monsters!$T$4:$AH$15,3,FALSE),0))*(1+0.1*AH137)+(IF(OR(B138&lt;&gt;"Hunt",IFERROR(VLOOKUP(C138,Monsters!$T$4:$AH$15,6,FALSE),0)=0),0,FLOOR((IF(B138="Hunt",(('Rules &amp; Formulas'!B4*N137*('Rules &amp; Formulas'!B5+O137)*IFERROR(VLOOKUP(C138,Monsters!$T$4:$AH$15,10,FALSE),0)*IFERROR(VLOOKUP(C138,Monsters!$T$4:$AH$15,9,FALSE),0))*'Rules &amp; Formulas'!B6)*IF(D138="",0,D138),0))/MAX(1,IFERROR(VLOOKUP(C138,Monsters!$T$4:$AH$15,6,FALSE),0)),1)))*(IFERROR(VLOOKUP(C138,Monsters!$T$4:$AH$15,7,FALSE),0))*0.5*(1+0.1*AH137),0)+IF(AND((E138="OK"),B138="Go AFK"),(IF(B138="Go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AFK",IF(D138="",0,D138),0),Z137/60)*60)),0))*(IFERROR(VLOOKUP(C138,Monsters!$T$4:$AH$15,3,FALSE),0))*(1+0.1*AH137)+(IF(OR(B138&lt;&gt;"Go AFK",IFERROR(VLOOKUP(C138,Monsters!$T$4:$AH$15,6,FALSE),0)=0),0,FLOOR((IF(B138="Go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AFK",IF(D138="",0,D138),0),Z137/60)*60)),0))/MAX(1,IFERROR(VLOOKUP(C138,Monsters!$T$4:$AH$15,6,FALSE),0)),1)))*(IFERROR(VLOOKUP(C138,Monsters!$T$4:$AH$15,7,FALSE),0))*0.5*(1+0.1*AH137),0)+IF(AND((E138="OK"),B138="Fight boss",(IF((((105/'Rules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Formulas'!B12)),IFERROR(VLOOKUP(C138,Monsters!$T$4:$AH$15,3,FALSE),0),0)-IF(AND((E138="OK"),OR(B138="Buy upgrade",B138="Forge/Scrapwork buy"),IFERROR(VLOOKUP(C138,Upgrades!$N$4:$T$47,2,FALSE),0)="gold"),IFERROR(FLOOR(IFERROR(VLOOKUP(C138,Upgrades!$N$4:$T$47,3,FALSE),0)*(IFERROR(VLOOKUP(C138,Upgrades!$N$4:$T$47,4,FALSE),0)^(COUNTIFS($B$3:$B137,"Buy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buy",$C$3:$C137,C138))),1),0),0)-IF(AND((E138="OK"),B138="Hire hunter"),IF(C138="Briar",140,IF(C138="Quill",3650,IF(C138="Moss",4850,IF(C138="Ember",12200,0)))),0))</f>
        <v/>
      </c>
      <c r="I138" s="7">
        <f>IF(AND((E138="OK"),B138="Fight boss",(IF((((105/'Rules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Formulas'!B12)),0,MIN(IF(G137&lt;=1,120,IF(G137=2,280,600)),I137+IF(AND((E138="OK"),B138="Hunt"),((IF(B138="Hunt",(('Rules &amp; Formulas'!B4*N137*('Rules &amp; Formulas'!B5+O137)*IFERROR(VLOOKUP(C138,Monsters!$T$4:$AH$15,10,FALSE),0)*IFERROR(VLOOKUP(C138,Monsters!$T$4:$AH$15,9,FALSE),0))*'Rules &amp; Formulas'!B6)*IF(D138="",0,D138),0))*(IFERROR(VLOOKUP(C138,Monsters!$T$4:$AH$15,4,FALSE),0))+(IF(OR(B138&lt;&gt;"Hunt",IFERROR(VLOOKUP(C138,Monsters!$T$4:$AH$15,6,FALSE),0)=0),0,FLOOR((IF(B138="Hunt",(('Rules &amp; Formulas'!B4*N137*('Rules &amp; Formulas'!B5+O137)*IFERROR(VLOOKUP(C138,Monsters!$T$4:$AH$15,10,FALSE),0)*IFERROR(VLOOKUP(C138,Monsters!$T$4:$AH$15,9,FALSE),0))*'Rules &amp; Formulas'!B6)*IF(D138="",0,D138),0))/MAX(1,IFERROR(VLOOKUP(C138,Monsters!$T$4:$AH$15,6,FALSE),0)),1)))*(IFERROR(VLOOKUP(C138,Monsters!$T$4:$AH$15,7,FALSE),0))),0)+IF(AND((E138="OK"),B138="Go AFK"),((IF(B138="Go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AFK",IF(D138="",0,D138),0),Z137/60)*60)),0))*(IFERROR(VLOOKUP(C138,Monsters!$T$4:$AH$15,4,FALSE),0))+(IF(OR(B138&lt;&gt;"Go AFK",IFERROR(VLOOKUP(C138,Monsters!$T$4:$AH$15,6,FALSE),0)=0),0,FLOOR((IF(B138="Go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AFK",IF(D138="",0,D138),0),Z137/60)*60)),0))/MAX(1,IFERROR(VLOOKUP(C138,Monsters!$T$4:$AH$15,6,FALSE),0)),1)))*(IFERROR(VLOOKUP(C138,Monsters!$T$4:$AH$15,7,FALSE),0))),0)))</f>
        <v/>
      </c>
      <c r="J138" s="7">
        <f>MAX(0,J137+IF(AND((E138="OK"),B138="Hunt"),(IF(B138="Hunt",(('Rules &amp; Formulas'!B4*N137*('Rules &amp; Formulas'!B5+O137)*IFERROR(VLOOKUP(C138,Monsters!$T$4:$AH$15,10,FALSE),0)*IFERROR(VLOOKUP(C138,Monsters!$T$4:$AH$15,9,FALSE),0))*'Rules &amp; Formulas'!B6)*IF(D138="",0,D138),0))*(IFERROR(VLOOKUP(C138,Monsters!$T$4:$AH$15,5,FALSE),0)),0)+IF(AND((E138="OK"),B138="Go AFK"),(IF(B138="Go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AFK",IF(D138="",0,D138),0),Z137/60)*60)),0))*(IFERROR(VLOOKUP(C138,Monsters!$T$4:$AH$15,5,FALSE),0)),0)-IF(AND((E138="OK"),OR(B138="Buy upgrade",B138="Forge/Scrapwork buy"),IFERROR(VLOOKUP(C138,Upgrades!$N$4:$T$47,2,FALSE),0)="scraps"),IFERROR(FLOOR(IFERROR(VLOOKUP(C138,Upgrades!$N$4:$T$47,3,FALSE),0)*(IFERROR(VLOOKUP(C138,Upgrades!$N$4:$T$47,4,FALSE),0)^(COUNTIFS($B$3:$B137,"Buy upgrade",$C$3:$C137,C138)+COUNTIFS($B$3:$B137,"Hire hunter",$C$3:$C137,C138)+COUNTIFS($B$3:$B137,"Forge/Scrapwork buy",$C$3:$C137,C138))),1),0),0))</f>
        <v/>
      </c>
      <c r="K138" s="7">
        <f>MAX(0,K137+IF(AND((E138="OK"),B138="Hunt"),IF(C138="Thornpelt Bear",(IF(B138="Hunt",(('Rules &amp; Formulas'!B4*N137*('Rules &amp; Formulas'!B5+O137)*IFERROR(VLOOKUP(C138,Monsters!$T$4:$AH$15,10,FALSE),0)*IFERROR(VLOOKUP(C138,Monsters!$T$4:$AH$15,9,FALSE),0))*'Rules &amp; Formulas'!B6)*IF(D138="",0,D138),0))*0.12,0),0)+IF(AND((E138="OK"),B138="Go AFK"),IF(C138="Thornpelt Bear",(IF(B138="Go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AFK",IF(D138="",0,D138),0),Z137/60)*60)),0))*0.12,0),0))</f>
        <v/>
      </c>
      <c r="L138" s="7">
        <f>MAX(0,L137+IF(AND((E138="OK"),B138="Hunt"),IF(C138="Dire Thornpelt",(IF(B138="Hunt",(('Rules &amp; Formulas'!B4*N137*('Rules &amp; Formulas'!B5+O137)*IFERROR(VLOOKUP(C138,Monsters!$T$4:$AH$15,10,FALSE),0)*IFERROR(VLOOKUP(C138,Monsters!$T$4:$AH$15,9,FALSE),0))*'Rules &amp; Formulas'!B6)*IF(D138="",0,D138),0))*0.1,0),0)+IF(AND((E138="OK"),B138="Go AFK"),IF(C138="Dire Thornpelt",(IF(B138="Go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AFK",IF(D138="",0,D138),0),Z137/60)*60)),0))*0.1,0),0))</f>
        <v/>
      </c>
      <c r="M138" s="7">
        <f>IF(AND((E138="OK"),B138="Go AFK"),MAX(0,MIN(('Rules &amp; Formulas'!B15+25*AJ137),M137+('Rules &amp; Formulas'!B14+0.4*AJ137)*(MIN(IF(B138="Go AFK",IF(D138="",0,D138),0),Z137/60)*60))-(IF(B138="Go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AFK",IF(D138="",0,D138),0),Z137/60)*60)),0))*(IF((IFERROR(VLOOKUP(C138,Monsters!$T$4:$AH$15,8,FALSE),0))=0,0.35,IFERROR(VLOOKUP(C138,Monsters!$T$4:$AH$15,8,FALSE),0))/(1+0.08*AK137))),MIN(('Rules &amp; Formulas'!B15+25*AJ138),M137))</f>
        <v/>
      </c>
      <c r="N138" s="7">
        <f>(1+0.08+0.12*AA138+0.12*AB138+0.16*AC138)</f>
        <v/>
      </c>
      <c r="O138" s="7">
        <f>((AD138&gt;=1)*1*(1+0.3*AE138))</f>
        <v/>
      </c>
      <c r="P138" s="7">
        <f>IF(OR(B138="Hunt",B138="Go AFK"),(('Rules &amp; Formulas'!B4*N137*('Rules &amp; Formulas'!B5+O137)*IFERROR(VLOOKUP(C138,Monsters!$T$4:$AH$15,10,FALSE),0)*IFERROR(VLOOKUP(C138,Monsters!$T$4:$AH$15,9,FALSE),0))*'Rules &amp; Formulas'!B6),"")</f>
        <v/>
      </c>
      <c r="Q138" s="7">
        <f>IF(OR(B138="Hunt",B138="Go AFK"),('Rules &amp; Formulas'!B4*N137*('Rules &amp; Formulas'!B5+O137)*IFERROR(VLOOKUP(C138,Monsters!$T$4:$AH$15,10,FALSE),0)*IFERROR(VLOOKUP(C138,Monsters!$T$4:$AH$15,9,FALSE),0)),"")</f>
        <v/>
      </c>
      <c r="R138" s="7">
        <f>IF(AND((E138="OK"),B138="Hunt"),IF(B138="Hunt",(('Rules &amp; Formulas'!B4*N137*('Rules &amp; Formulas'!B5+O137)*IFERROR(VLOOKUP(C138,Monsters!$T$4:$AH$15,10,FALSE),0)*IFERROR(VLOOKUP(C138,Monsters!$T$4:$AH$15,9,FALSE),0))*'Rules &amp; Formulas'!B6)*IF(D138="",0,D138),0),IF(AND((E138="OK"),B138="Go AFK"),IF(B138="Go AFK",MIN(IF((IF((IFERROR(VLOOKUP(C138,Monsters!$T$4:$AH$15,8,FALSE),0))=0,0.35,IFERROR(VLOOKUP(C138,Monsters!$T$4:$AH$15,8,FALSE),0))/(1+0.08*AK137))&lt;=0,999999,FLOOR(MIN(('Rules &amp; Formulas'!B15+25*AJ137),M137+('Rules &amp; Formulas'!B14+0.4*AJ137)*(MIN(IF(B138="Go AFK",IF(D138="",0,D138),0),Z137/60)*60))/(IF((IFERROR(VLOOKUP(C138,Monsters!$T$4:$AH$15,8,FALSE),0))=0,0.35,IFERROR(VLOOKUP(C138,Monsters!$T$4:$AH$15,8,FALSE),0))/(1+0.08*AK137)),1)),('Rules &amp; Formulas'!B4*N137*('Rules &amp; Formulas'!B5+O137)*IFERROR(VLOOKUP(C138,Monsters!$T$4:$AH$15,10,FALSE),0)*IFERROR(VLOOKUP(C138,Monsters!$T$4:$AH$15,9,FALSE),0))*(MIN(IF(B138="Go AFK",IF(D138="",0,D138),0),Z137/60)*60)),0),0))</f>
        <v/>
      </c>
      <c r="S138" s="7">
        <f>(105/'Rules &amp; Formulas'!B10)*'Rules &amp; Formulas'!B11</f>
        <v/>
      </c>
      <c r="T138" s="7">
        <f>IF(AD137&gt;=1,(MAX(1,ROUND('Rules &amp; Formulas'!B18*(1+0.3*AE137)*(1+0.4*AF137),0)))*(1000/'Rules &amp; Formulas'!B19)*MIN(0.95,'Rules &amp; Formulas'!B20*SQRT(1+0.55*(AG137&gt;=1))),0)</f>
        <v/>
      </c>
      <c r="U138" s="7">
        <f>S138+T138</f>
        <v/>
      </c>
      <c r="V138" s="7">
        <f>IF(I137&gt;=IF((IFERROR(VLOOKUP(C138,Monsters!$T$4:$AH$15,15,FALSE),0))=0,120,IFERROR(VLOOKUP(C138,Monsters!$T$4:$AH$15,15,FALSE),0)),"YES","no")</f>
        <v/>
      </c>
      <c r="W138" s="7">
        <f>IF(AND(B138="Fight boss",E138="OK"),IF((((105/'Rules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Formulas'!B20*SQRT(1+0.55*(AG137&gt;=1))),0)))),"")</f>
        <v/>
      </c>
      <c r="X138" s="7">
        <f>IF(AND(B138="Fight boss",E138="OK"),IF((IF((((105/'Rules &amp; Formulas'!B10)*'Rules &amp; Formulas'!B11+IF(AD137&gt;=1,(MAX(1,ROUND('Rules &amp; Formulas'!B18*(1+0.3*AE137)*(1+0.4*AF137),0)))*(1000/'Rules &amp; Formulas'!B19)*MIN(0.95,'Rules &amp; Formulas'!B20*SQRT(1+0.55*(AG137&gt;=1))),0)))&lt;=0,9999,(IFERROR(VLOOKUP(C138,Monsters!$T$4:$AH$15,2,FALSE),0))/(((105/'Rules &amp; Formulas'!B10)*'Rules &amp; Formulas'!B11+IF(AD137&gt;=1,(MAX(1,ROUND('Rules &amp; Formulas'!B18*(1+0.3*AE137)*(1+0.4*AF137),0)))*(1000/'Rules &amp; Formulas'!B19)*MIN(0.95,'Rules &amp; Formulas'!B20*SQRT(1+0.55*(AG137&gt;=1))),0))))&lt;='Rules &amp; Formulas'!B12),"WIN","LOSE"),"")</f>
        <v/>
      </c>
      <c r="Y138" s="7">
        <f>IF(B138="Go AFK",MIN(IF(B138="Go AFK",IF(D138="",0,D138),0),Z137/60),"")</f>
        <v/>
      </c>
      <c r="Z138" s="7">
        <f>('Rules &amp; Formulas'!B13+30*AI138)</f>
        <v/>
      </c>
      <c r="AA138">
        <f>COUNTIFS($B$3:$B138,"Buy upgrade",$C$3:$C138,"Idle Power")</f>
        <v/>
      </c>
      <c r="AB138">
        <f>COUNTIFS($B$3:$B138,"Buy upgrade",$C$3:$C138,"Iron Blade")</f>
        <v/>
      </c>
      <c r="AC138">
        <f>COUNTIFS($B$3:$B138,"Buy upgrade",$C$3:$C138,"Steel Blade")</f>
        <v/>
      </c>
      <c r="AD138">
        <f>COUNTIFS($B$3:$B138,"Hire hunter",$C$3:$C138,"Briar")+COUNTIFS($B$3:$B138,"Buy upgrade",$C$3:$C138,"Hire Briar")</f>
        <v/>
      </c>
      <c r="AE138">
        <f>COUNTIFS($B$3:$B138,"Buy upgrade",$C$3:$C138,"Hunter Power")</f>
        <v/>
      </c>
      <c r="AF138">
        <f>COUNTIFS($B$3:$B138,"Buy upgrade",$C$3:$C138,"Bigger Hits")</f>
        <v/>
      </c>
      <c r="AG138">
        <f>COUNTIFS($B$3:$B138,"Buy upgrade",$C$3:$C138,"Swift Walk")</f>
        <v/>
      </c>
      <c r="AH138">
        <f>COUNTIFS($B$3:$B138,"Buy upgrade",$C$3:$C138,"Loot Luck")</f>
        <v/>
      </c>
      <c r="AI138">
        <f>COUNTIFS($B$3:$B138,"Buy upgrade",$C$3:$C138,"Offline Cap")</f>
        <v/>
      </c>
      <c r="AJ138">
        <f>COUNTIFS($B$3:$B138,"Buy upgrade",$C$3:$C138,"Bigger Food Stock")</f>
        <v/>
      </c>
      <c r="AK138">
        <f>COUNTIFS($B$3:$B138,"Buy upgrade",$C$3:$C138,"Food Efficiency")</f>
        <v/>
      </c>
    </row>
    <row r="139">
      <c r="A139" t="n">
        <v>137</v>
      </c>
      <c r="B139" s="6" t="n"/>
      <c r="C139" s="6" t="n"/>
      <c r="D139" s="6" t="n"/>
      <c r="E139" s="7">
        <f>IF(B139="","",IF(OR(B139="Hunt",B139="Go AFK"),IF(C139="","Can't","OK"),IF(B139="Fight boss",IF(I138&lt;IF((IFERROR(VLOOKUP(C139,Monsters!$T$4:$AH$15,15,FALSE),0))=0,120,IFERROR(VLOOKUP(C139,Monsters!$T$4:$AH$15,15,FALSE),0)),"Can't","OK"),IF(B139="Hire hunter",IF(AND(C139="Briar",AD138&gt;=1),"Can't",IF(H138&lt;IF(C139="Briar",140,IF(C139="Quill",3650,IF(C139="Moss",4850,IF(C139="Ember",12200,0)))),"Can't","OK")),IF(OR(B139="Buy upgrade",B139="Forge/Scrapwork buy"),IF(IFERROR(VLOOKUP(C139,Upgrades!$N$4:$T$47,2,FALSE),0)="points","Can't",IF(IFERROR(VLOOKUP(C139,Upgrades!$N$4:$T$47,2,FALSE),0)="gold",IF(H138&lt;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buy",$C$3:$C138,C139))),1),0),"Can't","OK"),IF(IFERROR(VLOOKUP(C139,Upgrades!$N$4:$T$47,2,FALSE),0)="scraps",IF(J138&lt;IFERROR(FLOOR(IFERROR(VLOOKUP(C139,Upgrades!$N$4:$T$47,3,FALSE),0)*(IFERROR(VLOOKUP(C139,Upgrades!$N$4:$T$47,4,FALSE),0)^(COUNTIFS($B$3:$B138,"Buy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buy",$C$3:$C138,C139))),1),0),"Can't","OK"),IF(IFERROR(VLOOKUP(C139,Upgrades!$N$4:$T$47,2,FALSE),0)="mats","Can't","OK")))),"Check")))))</f>
        <v/>
      </c>
      <c r="F139" s="7">
        <f>IF(B139="","",IF(AND(B139="Fight boss",I138&lt;IF((IFERROR(VLOOKUP(C139,Monsters!$T$4:$AH$15,15,FALSE),0))=0,120,IFERROR(VLOOKUP(C139,Monsters!$T$4:$AH$15,15,FALSE),0))),"Can't — need "&amp;TEXT(IF((IFERROR(VLOOKUP(C139,Monsters!$T$4:$AH$15,15,FALSE),0))=0,120,IFERROR(VLOOKUP(C139,Monsters!$T$4:$AH$15,15,FALSE),0))-I138,"0.0")&amp;" more Slayer points on the meter",IF(AND(B139="Hire hunter",C139="Briar",AD138&gt;=1),"Can't — already hired",IF(AND(B139="Hire hunter",H138&lt;IF(C139="Briar",140,IF(C139="Quill",3650,IF(C139="Moss",4850,IF(C139="Ember",12200,0))))),"Can't — need "&amp;TEXT(IF(C139="Briar",140,IF(C139="Quill",3650,IF(C139="Moss",4850,IF(C139="Ember",12200,0))))-H138,"0")&amp;" more gold",IF(AND(OR(B139="Buy upgrade",B139="Forge/Scrapwork buy"),IFERROR(VLOOKUP(C139,Upgrades!$N$4:$T$47,2,FALSE),0)="points"),"Can't — Sp-wallet spends not tracked here",IF(AND(OR(B139="Buy upgrade",B139="Forge/Scrapwork buy"),IFERROR(VLOOKUP(C139,Upgrades!$N$4:$T$47,2,FALSE),0)="gold",H138&lt;IFERROR(FLOOR(IFERROR(VLOOKUP(C139,Upgrades!$N$4:$T$47,3,FALSE),0)*(IFERROR(VLOOKUP(C139,Upgrades!$N$4:$T$47,4,FALSE),0)^(COUNTIFS($B$3:$B138,"Buy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buy",$C$3:$C138,C139))),1),0)),"Can't — need "&amp;TEXT(IFERROR(FLOOR(IFERROR(VLOOKUP(C139,Upgrades!$N$4:$T$47,3,FALSE),0)*(IFERROR(VLOOKUP(C139,Upgrades!$N$4:$T$47,4,FALSE),0)^(COUNTIFS($B$3:$B138,"Buy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buy",$C$3:$C138,C139))),1),0)-H138,"0")&amp;" more gold",IF(AND(OR(B139="Buy upgrade",B139="Forge/Scrapwork buy"),IFERROR(VLOOKUP(C139,Upgrades!$N$4:$T$47,2,FALSE),0)="scraps",J138&lt;IFERROR(FLOOR(IFERROR(VLOOKUP(C139,Upgrades!$N$4:$T$47,3,FALSE),0)*(IFERROR(VLOOKUP(C139,Upgrades!$N$4:$T$47,4,FALSE),0)^(COUNTIFS($B$3:$B138,"Buy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buy",$C$3:$C138,C139))),1),0)),"Can't — need "&amp;TEXT(IFERROR(FLOOR(IFERROR(VLOOKUP(C139,Upgrades!$N$4:$T$47,3,FALSE),0)*(IFERROR(VLOOKUP(C139,Upgrades!$N$4:$T$47,4,FALSE),0)^(COUNTIFS($B$3:$B138,"Buy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buy",$C$3:$C138,C139))),1),0)-J138,"0")&amp;" more scraps",IF(AND(B139="Fight boss",E139="OK",(IF((((105/'Rules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Formulas'!B12)),"WIN — boss down, next Level unlocks",IF(AND(B139="Fight boss",E139="OK"),"LOSE — TTK "&amp;TEXT(IF((((105/'Rules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Formulas'!B20*SQRT(1+0.55*(AG138&gt;=1))),0)))),"0")&amp;"s &gt; patience "&amp;TEXT('Rules &amp; Formulas'!B12,"0")&amp;"s (leave resets HP)",IF(B139="Go AFK","AFK resolved (see AFK counted h)","Applied")))))))))</f>
        <v/>
      </c>
      <c r="G139" s="7">
        <f>IF(AND((E139="OK"),B139="Fight boss",(IF((((105/'Rules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Formulas'!B12),C139="Elder Thornpelt"),2,IF(AND((E139="OK"),B139="Fight boss",(IF((((105/'Rules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Formulas'!B12),C139="Ashfang Alpha"),3,G138))</f>
        <v/>
      </c>
      <c r="H139" s="7">
        <f>MAX(0,H138+IF(AND((E139="OK"),B139="Hunt"),(IF(B139="Hunt",(('Rules &amp; Formulas'!B4*N138*('Rules &amp; Formulas'!B5+O138)*IFERROR(VLOOKUP(C139,Monsters!$T$4:$AH$15,10,FALSE),0)*IFERROR(VLOOKUP(C139,Monsters!$T$4:$AH$15,9,FALSE),0))*'Rules &amp; Formulas'!B6)*IF(D139="",0,D139),0))*(IFERROR(VLOOKUP(C139,Monsters!$T$4:$AH$15,3,FALSE),0))*(1+0.1*AH138)+(IF(OR(B139&lt;&gt;"Hunt",IFERROR(VLOOKUP(C139,Monsters!$T$4:$AH$15,6,FALSE),0)=0),0,FLOOR((IF(B139="Hunt",(('Rules &amp; Formulas'!B4*N138*('Rules &amp; Formulas'!B5+O138)*IFERROR(VLOOKUP(C139,Monsters!$T$4:$AH$15,10,FALSE),0)*IFERROR(VLOOKUP(C139,Monsters!$T$4:$AH$15,9,FALSE),0))*'Rules &amp; Formulas'!B6)*IF(D139="",0,D139),0))/MAX(1,IFERROR(VLOOKUP(C139,Monsters!$T$4:$AH$15,6,FALSE),0)),1)))*(IFERROR(VLOOKUP(C139,Monsters!$T$4:$AH$15,7,FALSE),0))*0.5*(1+0.1*AH138),0)+IF(AND((E139="OK"),B139="Go AFK"),(IF(B139="Go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AFK",IF(D139="",0,D139),0),Z138/60)*60)),0))*(IFERROR(VLOOKUP(C139,Monsters!$T$4:$AH$15,3,FALSE),0))*(1+0.1*AH138)+(IF(OR(B139&lt;&gt;"Go AFK",IFERROR(VLOOKUP(C139,Monsters!$T$4:$AH$15,6,FALSE),0)=0),0,FLOOR((IF(B139="Go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AFK",IF(D139="",0,D139),0),Z138/60)*60)),0))/MAX(1,IFERROR(VLOOKUP(C139,Monsters!$T$4:$AH$15,6,FALSE),0)),1)))*(IFERROR(VLOOKUP(C139,Monsters!$T$4:$AH$15,7,FALSE),0))*0.5*(1+0.1*AH138),0)+IF(AND((E139="OK"),B139="Fight boss",(IF((((105/'Rules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Formulas'!B12)),IFERROR(VLOOKUP(C139,Monsters!$T$4:$AH$15,3,FALSE),0),0)-IF(AND((E139="OK"),OR(B139="Buy upgrade",B139="Forge/Scrapwork buy"),IFERROR(VLOOKUP(C139,Upgrades!$N$4:$T$47,2,FALSE),0)="gold"),IFERROR(FLOOR(IFERROR(VLOOKUP(C139,Upgrades!$N$4:$T$47,3,FALSE),0)*(IFERROR(VLOOKUP(C139,Upgrades!$N$4:$T$47,4,FALSE),0)^(COUNTIFS($B$3:$B138,"Buy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buy",$C$3:$C138,C139))),1),0),0)-IF(AND((E139="OK"),B139="Hire hunter"),IF(C139="Briar",140,IF(C139="Quill",3650,IF(C139="Moss",4850,IF(C139="Ember",12200,0)))),0))</f>
        <v/>
      </c>
      <c r="I139" s="7">
        <f>IF(AND((E139="OK"),B139="Fight boss",(IF((((105/'Rules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Formulas'!B12)),0,MIN(IF(G138&lt;=1,120,IF(G138=2,280,600)),I138+IF(AND((E139="OK"),B139="Hunt"),((IF(B139="Hunt",(('Rules &amp; Formulas'!B4*N138*('Rules &amp; Formulas'!B5+O138)*IFERROR(VLOOKUP(C139,Monsters!$T$4:$AH$15,10,FALSE),0)*IFERROR(VLOOKUP(C139,Monsters!$T$4:$AH$15,9,FALSE),0))*'Rules &amp; Formulas'!B6)*IF(D139="",0,D139),0))*(IFERROR(VLOOKUP(C139,Monsters!$T$4:$AH$15,4,FALSE),0))+(IF(OR(B139&lt;&gt;"Hunt",IFERROR(VLOOKUP(C139,Monsters!$T$4:$AH$15,6,FALSE),0)=0),0,FLOOR((IF(B139="Hunt",(('Rules &amp; Formulas'!B4*N138*('Rules &amp; Formulas'!B5+O138)*IFERROR(VLOOKUP(C139,Monsters!$T$4:$AH$15,10,FALSE),0)*IFERROR(VLOOKUP(C139,Monsters!$T$4:$AH$15,9,FALSE),0))*'Rules &amp; Formulas'!B6)*IF(D139="",0,D139),0))/MAX(1,IFERROR(VLOOKUP(C139,Monsters!$T$4:$AH$15,6,FALSE),0)),1)))*(IFERROR(VLOOKUP(C139,Monsters!$T$4:$AH$15,7,FALSE),0))),0)+IF(AND((E139="OK"),B139="Go AFK"),((IF(B139="Go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AFK",IF(D139="",0,D139),0),Z138/60)*60)),0))*(IFERROR(VLOOKUP(C139,Monsters!$T$4:$AH$15,4,FALSE),0))+(IF(OR(B139&lt;&gt;"Go AFK",IFERROR(VLOOKUP(C139,Monsters!$T$4:$AH$15,6,FALSE),0)=0),0,FLOOR((IF(B139="Go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AFK",IF(D139="",0,D139),0),Z138/60)*60)),0))/MAX(1,IFERROR(VLOOKUP(C139,Monsters!$T$4:$AH$15,6,FALSE),0)),1)))*(IFERROR(VLOOKUP(C139,Monsters!$T$4:$AH$15,7,FALSE),0))),0)))</f>
        <v/>
      </c>
      <c r="J139" s="7">
        <f>MAX(0,J138+IF(AND((E139="OK"),B139="Hunt"),(IF(B139="Hunt",(('Rules &amp; Formulas'!B4*N138*('Rules &amp; Formulas'!B5+O138)*IFERROR(VLOOKUP(C139,Monsters!$T$4:$AH$15,10,FALSE),0)*IFERROR(VLOOKUP(C139,Monsters!$T$4:$AH$15,9,FALSE),0))*'Rules &amp; Formulas'!B6)*IF(D139="",0,D139),0))*(IFERROR(VLOOKUP(C139,Monsters!$T$4:$AH$15,5,FALSE),0)),0)+IF(AND((E139="OK"),B139="Go AFK"),(IF(B139="Go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AFK",IF(D139="",0,D139),0),Z138/60)*60)),0))*(IFERROR(VLOOKUP(C139,Monsters!$T$4:$AH$15,5,FALSE),0)),0)-IF(AND((E139="OK"),OR(B139="Buy upgrade",B139="Forge/Scrapwork buy"),IFERROR(VLOOKUP(C139,Upgrades!$N$4:$T$47,2,FALSE),0)="scraps"),IFERROR(FLOOR(IFERROR(VLOOKUP(C139,Upgrades!$N$4:$T$47,3,FALSE),0)*(IFERROR(VLOOKUP(C139,Upgrades!$N$4:$T$47,4,FALSE),0)^(COUNTIFS($B$3:$B138,"Buy upgrade",$C$3:$C138,C139)+COUNTIFS($B$3:$B138,"Hire hunter",$C$3:$C138,C139)+COUNTIFS($B$3:$B138,"Forge/Scrapwork buy",$C$3:$C138,C139))),1),0),0))</f>
        <v/>
      </c>
      <c r="K139" s="7">
        <f>MAX(0,K138+IF(AND((E139="OK"),B139="Hunt"),IF(C139="Thornpelt Bear",(IF(B139="Hunt",(('Rules &amp; Formulas'!B4*N138*('Rules &amp; Formulas'!B5+O138)*IFERROR(VLOOKUP(C139,Monsters!$T$4:$AH$15,10,FALSE),0)*IFERROR(VLOOKUP(C139,Monsters!$T$4:$AH$15,9,FALSE),0))*'Rules &amp; Formulas'!B6)*IF(D139="",0,D139),0))*0.12,0),0)+IF(AND((E139="OK"),B139="Go AFK"),IF(C139="Thornpelt Bear",(IF(B139="Go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AFK",IF(D139="",0,D139),0),Z138/60)*60)),0))*0.12,0),0))</f>
        <v/>
      </c>
      <c r="L139" s="7">
        <f>MAX(0,L138+IF(AND((E139="OK"),B139="Hunt"),IF(C139="Dire Thornpelt",(IF(B139="Hunt",(('Rules &amp; Formulas'!B4*N138*('Rules &amp; Formulas'!B5+O138)*IFERROR(VLOOKUP(C139,Monsters!$T$4:$AH$15,10,FALSE),0)*IFERROR(VLOOKUP(C139,Monsters!$T$4:$AH$15,9,FALSE),0))*'Rules &amp; Formulas'!B6)*IF(D139="",0,D139),0))*0.1,0),0)+IF(AND((E139="OK"),B139="Go AFK"),IF(C139="Dire Thornpelt",(IF(B139="Go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AFK",IF(D139="",0,D139),0),Z138/60)*60)),0))*0.1,0),0))</f>
        <v/>
      </c>
      <c r="M139" s="7">
        <f>IF(AND((E139="OK"),B139="Go AFK"),MAX(0,MIN(('Rules &amp; Formulas'!B15+25*AJ138),M138+('Rules &amp; Formulas'!B14+0.4*AJ138)*(MIN(IF(B139="Go AFK",IF(D139="",0,D139),0),Z138/60)*60))-(IF(B139="Go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AFK",IF(D139="",0,D139),0),Z138/60)*60)),0))*(IF((IFERROR(VLOOKUP(C139,Monsters!$T$4:$AH$15,8,FALSE),0))=0,0.35,IFERROR(VLOOKUP(C139,Monsters!$T$4:$AH$15,8,FALSE),0))/(1+0.08*AK138))),MIN(('Rules &amp; Formulas'!B15+25*AJ139),M138))</f>
        <v/>
      </c>
      <c r="N139" s="7">
        <f>(1+0.08+0.12*AA139+0.12*AB139+0.16*AC139)</f>
        <v/>
      </c>
      <c r="O139" s="7">
        <f>((AD139&gt;=1)*1*(1+0.3*AE139))</f>
        <v/>
      </c>
      <c r="P139" s="7">
        <f>IF(OR(B139="Hunt",B139="Go AFK"),(('Rules &amp; Formulas'!B4*N138*('Rules &amp; Formulas'!B5+O138)*IFERROR(VLOOKUP(C139,Monsters!$T$4:$AH$15,10,FALSE),0)*IFERROR(VLOOKUP(C139,Monsters!$T$4:$AH$15,9,FALSE),0))*'Rules &amp; Formulas'!B6),"")</f>
        <v/>
      </c>
      <c r="Q139" s="7">
        <f>IF(OR(B139="Hunt",B139="Go AFK"),('Rules &amp; Formulas'!B4*N138*('Rules &amp; Formulas'!B5+O138)*IFERROR(VLOOKUP(C139,Monsters!$T$4:$AH$15,10,FALSE),0)*IFERROR(VLOOKUP(C139,Monsters!$T$4:$AH$15,9,FALSE),0)),"")</f>
        <v/>
      </c>
      <c r="R139" s="7">
        <f>IF(AND((E139="OK"),B139="Hunt"),IF(B139="Hunt",(('Rules &amp; Formulas'!B4*N138*('Rules &amp; Formulas'!B5+O138)*IFERROR(VLOOKUP(C139,Monsters!$T$4:$AH$15,10,FALSE),0)*IFERROR(VLOOKUP(C139,Monsters!$T$4:$AH$15,9,FALSE),0))*'Rules &amp; Formulas'!B6)*IF(D139="",0,D139),0),IF(AND((E139="OK"),B139="Go AFK"),IF(B139="Go AFK",MIN(IF((IF((IFERROR(VLOOKUP(C139,Monsters!$T$4:$AH$15,8,FALSE),0))=0,0.35,IFERROR(VLOOKUP(C139,Monsters!$T$4:$AH$15,8,FALSE),0))/(1+0.08*AK138))&lt;=0,999999,FLOOR(MIN(('Rules &amp; Formulas'!B15+25*AJ138),M138+('Rules &amp; Formulas'!B14+0.4*AJ138)*(MIN(IF(B139="Go AFK",IF(D139="",0,D139),0),Z138/60)*60))/(IF((IFERROR(VLOOKUP(C139,Monsters!$T$4:$AH$15,8,FALSE),0))=0,0.35,IFERROR(VLOOKUP(C139,Monsters!$T$4:$AH$15,8,FALSE),0))/(1+0.08*AK138)),1)),('Rules &amp; Formulas'!B4*N138*('Rules &amp; Formulas'!B5+O138)*IFERROR(VLOOKUP(C139,Monsters!$T$4:$AH$15,10,FALSE),0)*IFERROR(VLOOKUP(C139,Monsters!$T$4:$AH$15,9,FALSE),0))*(MIN(IF(B139="Go AFK",IF(D139="",0,D139),0),Z138/60)*60)),0),0))</f>
        <v/>
      </c>
      <c r="S139" s="7">
        <f>(105/'Rules &amp; Formulas'!B10)*'Rules &amp; Formulas'!B11</f>
        <v/>
      </c>
      <c r="T139" s="7">
        <f>IF(AD138&gt;=1,(MAX(1,ROUND('Rules &amp; Formulas'!B18*(1+0.3*AE138)*(1+0.4*AF138),0)))*(1000/'Rules &amp; Formulas'!B19)*MIN(0.95,'Rules &amp; Formulas'!B20*SQRT(1+0.55*(AG138&gt;=1))),0)</f>
        <v/>
      </c>
      <c r="U139" s="7">
        <f>S139+T139</f>
        <v/>
      </c>
      <c r="V139" s="7">
        <f>IF(I138&gt;=IF((IFERROR(VLOOKUP(C139,Monsters!$T$4:$AH$15,15,FALSE),0))=0,120,IFERROR(VLOOKUP(C139,Monsters!$T$4:$AH$15,15,FALSE),0)),"YES","no")</f>
        <v/>
      </c>
      <c r="W139" s="7">
        <f>IF(AND(B139="Fight boss",E139="OK"),IF((((105/'Rules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Formulas'!B20*SQRT(1+0.55*(AG138&gt;=1))),0)))),"")</f>
        <v/>
      </c>
      <c r="X139" s="7">
        <f>IF(AND(B139="Fight boss",E139="OK"),IF((IF((((105/'Rules &amp; Formulas'!B10)*'Rules &amp; Formulas'!B11+IF(AD138&gt;=1,(MAX(1,ROUND('Rules &amp; Formulas'!B18*(1+0.3*AE138)*(1+0.4*AF138),0)))*(1000/'Rules &amp; Formulas'!B19)*MIN(0.95,'Rules &amp; Formulas'!B20*SQRT(1+0.55*(AG138&gt;=1))),0)))&lt;=0,9999,(IFERROR(VLOOKUP(C139,Monsters!$T$4:$AH$15,2,FALSE),0))/(((105/'Rules &amp; Formulas'!B10)*'Rules &amp; Formulas'!B11+IF(AD138&gt;=1,(MAX(1,ROUND('Rules &amp; Formulas'!B18*(1+0.3*AE138)*(1+0.4*AF138),0)))*(1000/'Rules &amp; Formulas'!B19)*MIN(0.95,'Rules &amp; Formulas'!B20*SQRT(1+0.55*(AG138&gt;=1))),0))))&lt;='Rules &amp; Formulas'!B12),"WIN","LOSE"),"")</f>
        <v/>
      </c>
      <c r="Y139" s="7">
        <f>IF(B139="Go AFK",MIN(IF(B139="Go AFK",IF(D139="",0,D139),0),Z138/60),"")</f>
        <v/>
      </c>
      <c r="Z139" s="7">
        <f>('Rules &amp; Formulas'!B13+30*AI139)</f>
        <v/>
      </c>
      <c r="AA139">
        <f>COUNTIFS($B$3:$B139,"Buy upgrade",$C$3:$C139,"Idle Power")</f>
        <v/>
      </c>
      <c r="AB139">
        <f>COUNTIFS($B$3:$B139,"Buy upgrade",$C$3:$C139,"Iron Blade")</f>
        <v/>
      </c>
      <c r="AC139">
        <f>COUNTIFS($B$3:$B139,"Buy upgrade",$C$3:$C139,"Steel Blade")</f>
        <v/>
      </c>
      <c r="AD139">
        <f>COUNTIFS($B$3:$B139,"Hire hunter",$C$3:$C139,"Briar")+COUNTIFS($B$3:$B139,"Buy upgrade",$C$3:$C139,"Hire Briar")</f>
        <v/>
      </c>
      <c r="AE139">
        <f>COUNTIFS($B$3:$B139,"Buy upgrade",$C$3:$C139,"Hunter Power")</f>
        <v/>
      </c>
      <c r="AF139">
        <f>COUNTIFS($B$3:$B139,"Buy upgrade",$C$3:$C139,"Bigger Hits")</f>
        <v/>
      </c>
      <c r="AG139">
        <f>COUNTIFS($B$3:$B139,"Buy upgrade",$C$3:$C139,"Swift Walk")</f>
        <v/>
      </c>
      <c r="AH139">
        <f>COUNTIFS($B$3:$B139,"Buy upgrade",$C$3:$C139,"Loot Luck")</f>
        <v/>
      </c>
      <c r="AI139">
        <f>COUNTIFS($B$3:$B139,"Buy upgrade",$C$3:$C139,"Offline Cap")</f>
        <v/>
      </c>
      <c r="AJ139">
        <f>COUNTIFS($B$3:$B139,"Buy upgrade",$C$3:$C139,"Bigger Food Stock")</f>
        <v/>
      </c>
      <c r="AK139">
        <f>COUNTIFS($B$3:$B139,"Buy upgrade",$C$3:$C139,"Food Efficiency")</f>
        <v/>
      </c>
    </row>
    <row r="140">
      <c r="A140" t="n">
        <v>138</v>
      </c>
      <c r="B140" s="6" t="n"/>
      <c r="C140" s="6" t="n"/>
      <c r="D140" s="6" t="n"/>
      <c r="E140" s="7">
        <f>IF(B140="","",IF(OR(B140="Hunt",B140="Go AFK"),IF(C140="","Can't","OK"),IF(B140="Fight boss",IF(I139&lt;IF((IFERROR(VLOOKUP(C140,Monsters!$T$4:$AH$15,15,FALSE),0))=0,120,IFERROR(VLOOKUP(C140,Monsters!$T$4:$AH$15,15,FALSE),0)),"Can't","OK"),IF(B140="Hire hunter",IF(AND(C140="Briar",AD139&gt;=1),"Can't",IF(H139&lt;IF(C140="Briar",140,IF(C140="Quill",3650,IF(C140="Moss",4850,IF(C140="Ember",12200,0)))),"Can't","OK")),IF(OR(B140="Buy upgrade",B140="Forge/Scrapwork buy"),IF(IFERROR(VLOOKUP(C140,Upgrades!$N$4:$T$47,2,FALSE),0)="points","Can't",IF(IFERROR(VLOOKUP(C140,Upgrades!$N$4:$T$47,2,FALSE),0)="gold",IF(H139&lt;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buy",$C$3:$C139,C140))),1),0),"Can't","OK"),IF(IFERROR(VLOOKUP(C140,Upgrades!$N$4:$T$47,2,FALSE),0)="scraps",IF(J139&lt;IFERROR(FLOOR(IFERROR(VLOOKUP(C140,Upgrades!$N$4:$T$47,3,FALSE),0)*(IFERROR(VLOOKUP(C140,Upgrades!$N$4:$T$47,4,FALSE),0)^(COUNTIFS($B$3:$B139,"Buy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buy",$C$3:$C139,C140))),1),0),"Can't","OK"),IF(IFERROR(VLOOKUP(C140,Upgrades!$N$4:$T$47,2,FALSE),0)="mats","Can't","OK")))),"Check")))))</f>
        <v/>
      </c>
      <c r="F140" s="7">
        <f>IF(B140="","",IF(AND(B140="Fight boss",I139&lt;IF((IFERROR(VLOOKUP(C140,Monsters!$T$4:$AH$15,15,FALSE),0))=0,120,IFERROR(VLOOKUP(C140,Monsters!$T$4:$AH$15,15,FALSE),0))),"Can't — need "&amp;TEXT(IF((IFERROR(VLOOKUP(C140,Monsters!$T$4:$AH$15,15,FALSE),0))=0,120,IFERROR(VLOOKUP(C140,Monsters!$T$4:$AH$15,15,FALSE),0))-I139,"0.0")&amp;" more Slayer points on the meter",IF(AND(B140="Hire hunter",C140="Briar",AD139&gt;=1),"Can't — already hired",IF(AND(B140="Hire hunter",H139&lt;IF(C140="Briar",140,IF(C140="Quill",3650,IF(C140="Moss",4850,IF(C140="Ember",12200,0))))),"Can't — need "&amp;TEXT(IF(C140="Briar",140,IF(C140="Quill",3650,IF(C140="Moss",4850,IF(C140="Ember",12200,0))))-H139,"0")&amp;" more gold",IF(AND(OR(B140="Buy upgrade",B140="Forge/Scrapwork buy"),IFERROR(VLOOKUP(C140,Upgrades!$N$4:$T$47,2,FALSE),0)="points"),"Can't — Sp-wallet spends not tracked here",IF(AND(OR(B140="Buy upgrade",B140="Forge/Scrapwork buy"),IFERROR(VLOOKUP(C140,Upgrades!$N$4:$T$47,2,FALSE),0)="gold",H139&lt;IFERROR(FLOOR(IFERROR(VLOOKUP(C140,Upgrades!$N$4:$T$47,3,FALSE),0)*(IFERROR(VLOOKUP(C140,Upgrades!$N$4:$T$47,4,FALSE),0)^(COUNTIFS($B$3:$B139,"Buy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buy",$C$3:$C139,C140))),1),0)),"Can't — need "&amp;TEXT(IFERROR(FLOOR(IFERROR(VLOOKUP(C140,Upgrades!$N$4:$T$47,3,FALSE),0)*(IFERROR(VLOOKUP(C140,Upgrades!$N$4:$T$47,4,FALSE),0)^(COUNTIFS($B$3:$B139,"Buy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buy",$C$3:$C139,C140))),1),0)-H139,"0")&amp;" more gold",IF(AND(OR(B140="Buy upgrade",B140="Forge/Scrapwork buy"),IFERROR(VLOOKUP(C140,Upgrades!$N$4:$T$47,2,FALSE),0)="scraps",J139&lt;IFERROR(FLOOR(IFERROR(VLOOKUP(C140,Upgrades!$N$4:$T$47,3,FALSE),0)*(IFERROR(VLOOKUP(C140,Upgrades!$N$4:$T$47,4,FALSE),0)^(COUNTIFS($B$3:$B139,"Buy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buy",$C$3:$C139,C140))),1),0)),"Can't — need "&amp;TEXT(IFERROR(FLOOR(IFERROR(VLOOKUP(C140,Upgrades!$N$4:$T$47,3,FALSE),0)*(IFERROR(VLOOKUP(C140,Upgrades!$N$4:$T$47,4,FALSE),0)^(COUNTIFS($B$3:$B139,"Buy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buy",$C$3:$C139,C140))),1),0)-J139,"0")&amp;" more scraps",IF(AND(B140="Fight boss",E140="OK",(IF((((105/'Rules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Formulas'!B12)),"WIN — boss down, next Level unlocks",IF(AND(B140="Fight boss",E140="OK"),"LOSE — TTK "&amp;TEXT(IF((((105/'Rules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Formulas'!B20*SQRT(1+0.55*(AG139&gt;=1))),0)))),"0")&amp;"s &gt; patience "&amp;TEXT('Rules &amp; Formulas'!B12,"0")&amp;"s (leave resets HP)",IF(B140="Go AFK","AFK resolved (see AFK counted h)","Applied")))))))))</f>
        <v/>
      </c>
      <c r="G140" s="7">
        <f>IF(AND((E140="OK"),B140="Fight boss",(IF((((105/'Rules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Formulas'!B12),C140="Elder Thornpelt"),2,IF(AND((E140="OK"),B140="Fight boss",(IF((((105/'Rules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Formulas'!B12),C140="Ashfang Alpha"),3,G139))</f>
        <v/>
      </c>
      <c r="H140" s="7">
        <f>MAX(0,H139+IF(AND((E140="OK"),B140="Hunt"),(IF(B140="Hunt",(('Rules &amp; Formulas'!B4*N139*('Rules &amp; Formulas'!B5+O139)*IFERROR(VLOOKUP(C140,Monsters!$T$4:$AH$15,10,FALSE),0)*IFERROR(VLOOKUP(C140,Monsters!$T$4:$AH$15,9,FALSE),0))*'Rules &amp; Formulas'!B6)*IF(D140="",0,D140),0))*(IFERROR(VLOOKUP(C140,Monsters!$T$4:$AH$15,3,FALSE),0))*(1+0.1*AH139)+(IF(OR(B140&lt;&gt;"Hunt",IFERROR(VLOOKUP(C140,Monsters!$T$4:$AH$15,6,FALSE),0)=0),0,FLOOR((IF(B140="Hunt",(('Rules &amp; Formulas'!B4*N139*('Rules &amp; Formulas'!B5+O139)*IFERROR(VLOOKUP(C140,Monsters!$T$4:$AH$15,10,FALSE),0)*IFERROR(VLOOKUP(C140,Monsters!$T$4:$AH$15,9,FALSE),0))*'Rules &amp; Formulas'!B6)*IF(D140="",0,D140),0))/MAX(1,IFERROR(VLOOKUP(C140,Monsters!$T$4:$AH$15,6,FALSE),0)),1)))*(IFERROR(VLOOKUP(C140,Monsters!$T$4:$AH$15,7,FALSE),0))*0.5*(1+0.1*AH139),0)+IF(AND((E140="OK"),B140="Go AFK"),(IF(B140="Go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AFK",IF(D140="",0,D140),0),Z139/60)*60)),0))*(IFERROR(VLOOKUP(C140,Monsters!$T$4:$AH$15,3,FALSE),0))*(1+0.1*AH139)+(IF(OR(B140&lt;&gt;"Go AFK",IFERROR(VLOOKUP(C140,Monsters!$T$4:$AH$15,6,FALSE),0)=0),0,FLOOR((IF(B140="Go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AFK",IF(D140="",0,D140),0),Z139/60)*60)),0))/MAX(1,IFERROR(VLOOKUP(C140,Monsters!$T$4:$AH$15,6,FALSE),0)),1)))*(IFERROR(VLOOKUP(C140,Monsters!$T$4:$AH$15,7,FALSE),0))*0.5*(1+0.1*AH139),0)+IF(AND((E140="OK"),B140="Fight boss",(IF((((105/'Rules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Formulas'!B12)),IFERROR(VLOOKUP(C140,Monsters!$T$4:$AH$15,3,FALSE),0),0)-IF(AND((E140="OK"),OR(B140="Buy upgrade",B140="Forge/Scrapwork buy"),IFERROR(VLOOKUP(C140,Upgrades!$N$4:$T$47,2,FALSE),0)="gold"),IFERROR(FLOOR(IFERROR(VLOOKUP(C140,Upgrades!$N$4:$T$47,3,FALSE),0)*(IFERROR(VLOOKUP(C140,Upgrades!$N$4:$T$47,4,FALSE),0)^(COUNTIFS($B$3:$B139,"Buy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buy",$C$3:$C139,C140))),1),0),0)-IF(AND((E140="OK"),B140="Hire hunter"),IF(C140="Briar",140,IF(C140="Quill",3650,IF(C140="Moss",4850,IF(C140="Ember",12200,0)))),0))</f>
        <v/>
      </c>
      <c r="I140" s="7">
        <f>IF(AND((E140="OK"),B140="Fight boss",(IF((((105/'Rules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Formulas'!B12)),0,MIN(IF(G139&lt;=1,120,IF(G139=2,280,600)),I139+IF(AND((E140="OK"),B140="Hunt"),((IF(B140="Hunt",(('Rules &amp; Formulas'!B4*N139*('Rules &amp; Formulas'!B5+O139)*IFERROR(VLOOKUP(C140,Monsters!$T$4:$AH$15,10,FALSE),0)*IFERROR(VLOOKUP(C140,Monsters!$T$4:$AH$15,9,FALSE),0))*'Rules &amp; Formulas'!B6)*IF(D140="",0,D140),0))*(IFERROR(VLOOKUP(C140,Monsters!$T$4:$AH$15,4,FALSE),0))+(IF(OR(B140&lt;&gt;"Hunt",IFERROR(VLOOKUP(C140,Monsters!$T$4:$AH$15,6,FALSE),0)=0),0,FLOOR((IF(B140="Hunt",(('Rules &amp; Formulas'!B4*N139*('Rules &amp; Formulas'!B5+O139)*IFERROR(VLOOKUP(C140,Monsters!$T$4:$AH$15,10,FALSE),0)*IFERROR(VLOOKUP(C140,Monsters!$T$4:$AH$15,9,FALSE),0))*'Rules &amp; Formulas'!B6)*IF(D140="",0,D140),0))/MAX(1,IFERROR(VLOOKUP(C140,Monsters!$T$4:$AH$15,6,FALSE),0)),1)))*(IFERROR(VLOOKUP(C140,Monsters!$T$4:$AH$15,7,FALSE),0))),0)+IF(AND((E140="OK"),B140="Go AFK"),((IF(B140="Go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AFK",IF(D140="",0,D140),0),Z139/60)*60)),0))*(IFERROR(VLOOKUP(C140,Monsters!$T$4:$AH$15,4,FALSE),0))+(IF(OR(B140&lt;&gt;"Go AFK",IFERROR(VLOOKUP(C140,Monsters!$T$4:$AH$15,6,FALSE),0)=0),0,FLOOR((IF(B140="Go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AFK",IF(D140="",0,D140),0),Z139/60)*60)),0))/MAX(1,IFERROR(VLOOKUP(C140,Monsters!$T$4:$AH$15,6,FALSE),0)),1)))*(IFERROR(VLOOKUP(C140,Monsters!$T$4:$AH$15,7,FALSE),0))),0)))</f>
        <v/>
      </c>
      <c r="J140" s="7">
        <f>MAX(0,J139+IF(AND((E140="OK"),B140="Hunt"),(IF(B140="Hunt",(('Rules &amp; Formulas'!B4*N139*('Rules &amp; Formulas'!B5+O139)*IFERROR(VLOOKUP(C140,Monsters!$T$4:$AH$15,10,FALSE),0)*IFERROR(VLOOKUP(C140,Monsters!$T$4:$AH$15,9,FALSE),0))*'Rules &amp; Formulas'!B6)*IF(D140="",0,D140),0))*(IFERROR(VLOOKUP(C140,Monsters!$T$4:$AH$15,5,FALSE),0)),0)+IF(AND((E140="OK"),B140="Go AFK"),(IF(B140="Go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AFK",IF(D140="",0,D140),0),Z139/60)*60)),0))*(IFERROR(VLOOKUP(C140,Monsters!$T$4:$AH$15,5,FALSE),0)),0)-IF(AND((E140="OK"),OR(B140="Buy upgrade",B140="Forge/Scrapwork buy"),IFERROR(VLOOKUP(C140,Upgrades!$N$4:$T$47,2,FALSE),0)="scraps"),IFERROR(FLOOR(IFERROR(VLOOKUP(C140,Upgrades!$N$4:$T$47,3,FALSE),0)*(IFERROR(VLOOKUP(C140,Upgrades!$N$4:$T$47,4,FALSE),0)^(COUNTIFS($B$3:$B139,"Buy upgrade",$C$3:$C139,C140)+COUNTIFS($B$3:$B139,"Hire hunter",$C$3:$C139,C140)+COUNTIFS($B$3:$B139,"Forge/Scrapwork buy",$C$3:$C139,C140))),1),0),0))</f>
        <v/>
      </c>
      <c r="K140" s="7">
        <f>MAX(0,K139+IF(AND((E140="OK"),B140="Hunt"),IF(C140="Thornpelt Bear",(IF(B140="Hunt",(('Rules &amp; Formulas'!B4*N139*('Rules &amp; Formulas'!B5+O139)*IFERROR(VLOOKUP(C140,Monsters!$T$4:$AH$15,10,FALSE),0)*IFERROR(VLOOKUP(C140,Monsters!$T$4:$AH$15,9,FALSE),0))*'Rules &amp; Formulas'!B6)*IF(D140="",0,D140),0))*0.12,0),0)+IF(AND((E140="OK"),B140="Go AFK"),IF(C140="Thornpelt Bear",(IF(B140="Go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AFK",IF(D140="",0,D140),0),Z139/60)*60)),0))*0.12,0),0))</f>
        <v/>
      </c>
      <c r="L140" s="7">
        <f>MAX(0,L139+IF(AND((E140="OK"),B140="Hunt"),IF(C140="Dire Thornpelt",(IF(B140="Hunt",(('Rules &amp; Formulas'!B4*N139*('Rules &amp; Formulas'!B5+O139)*IFERROR(VLOOKUP(C140,Monsters!$T$4:$AH$15,10,FALSE),0)*IFERROR(VLOOKUP(C140,Monsters!$T$4:$AH$15,9,FALSE),0))*'Rules &amp; Formulas'!B6)*IF(D140="",0,D140),0))*0.1,0),0)+IF(AND((E140="OK"),B140="Go AFK"),IF(C140="Dire Thornpelt",(IF(B140="Go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AFK",IF(D140="",0,D140),0),Z139/60)*60)),0))*0.1,0),0))</f>
        <v/>
      </c>
      <c r="M140" s="7">
        <f>IF(AND((E140="OK"),B140="Go AFK"),MAX(0,MIN(('Rules &amp; Formulas'!B15+25*AJ139),M139+('Rules &amp; Formulas'!B14+0.4*AJ139)*(MIN(IF(B140="Go AFK",IF(D140="",0,D140),0),Z139/60)*60))-(IF(B140="Go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AFK",IF(D140="",0,D140),0),Z139/60)*60)),0))*(IF((IFERROR(VLOOKUP(C140,Monsters!$T$4:$AH$15,8,FALSE),0))=0,0.35,IFERROR(VLOOKUP(C140,Monsters!$T$4:$AH$15,8,FALSE),0))/(1+0.08*AK139))),MIN(('Rules &amp; Formulas'!B15+25*AJ140),M139))</f>
        <v/>
      </c>
      <c r="N140" s="7">
        <f>(1+0.08+0.12*AA140+0.12*AB140+0.16*AC140)</f>
        <v/>
      </c>
      <c r="O140" s="7">
        <f>((AD140&gt;=1)*1*(1+0.3*AE140))</f>
        <v/>
      </c>
      <c r="P140" s="7">
        <f>IF(OR(B140="Hunt",B140="Go AFK"),(('Rules &amp; Formulas'!B4*N139*('Rules &amp; Formulas'!B5+O139)*IFERROR(VLOOKUP(C140,Monsters!$T$4:$AH$15,10,FALSE),0)*IFERROR(VLOOKUP(C140,Monsters!$T$4:$AH$15,9,FALSE),0))*'Rules &amp; Formulas'!B6),"")</f>
        <v/>
      </c>
      <c r="Q140" s="7">
        <f>IF(OR(B140="Hunt",B140="Go AFK"),('Rules &amp; Formulas'!B4*N139*('Rules &amp; Formulas'!B5+O139)*IFERROR(VLOOKUP(C140,Monsters!$T$4:$AH$15,10,FALSE),0)*IFERROR(VLOOKUP(C140,Monsters!$T$4:$AH$15,9,FALSE),0)),"")</f>
        <v/>
      </c>
      <c r="R140" s="7">
        <f>IF(AND((E140="OK"),B140="Hunt"),IF(B140="Hunt",(('Rules &amp; Formulas'!B4*N139*('Rules &amp; Formulas'!B5+O139)*IFERROR(VLOOKUP(C140,Monsters!$T$4:$AH$15,10,FALSE),0)*IFERROR(VLOOKUP(C140,Monsters!$T$4:$AH$15,9,FALSE),0))*'Rules &amp; Formulas'!B6)*IF(D140="",0,D140),0),IF(AND((E140="OK"),B140="Go AFK"),IF(B140="Go AFK",MIN(IF((IF((IFERROR(VLOOKUP(C140,Monsters!$T$4:$AH$15,8,FALSE),0))=0,0.35,IFERROR(VLOOKUP(C140,Monsters!$T$4:$AH$15,8,FALSE),0))/(1+0.08*AK139))&lt;=0,999999,FLOOR(MIN(('Rules &amp; Formulas'!B15+25*AJ139),M139+('Rules &amp; Formulas'!B14+0.4*AJ139)*(MIN(IF(B140="Go AFK",IF(D140="",0,D140),0),Z139/60)*60))/(IF((IFERROR(VLOOKUP(C140,Monsters!$T$4:$AH$15,8,FALSE),0))=0,0.35,IFERROR(VLOOKUP(C140,Monsters!$T$4:$AH$15,8,FALSE),0))/(1+0.08*AK139)),1)),('Rules &amp; Formulas'!B4*N139*('Rules &amp; Formulas'!B5+O139)*IFERROR(VLOOKUP(C140,Monsters!$T$4:$AH$15,10,FALSE),0)*IFERROR(VLOOKUP(C140,Monsters!$T$4:$AH$15,9,FALSE),0))*(MIN(IF(B140="Go AFK",IF(D140="",0,D140),0),Z139/60)*60)),0),0))</f>
        <v/>
      </c>
      <c r="S140" s="7">
        <f>(105/'Rules &amp; Formulas'!B10)*'Rules &amp; Formulas'!B11</f>
        <v/>
      </c>
      <c r="T140" s="7">
        <f>IF(AD139&gt;=1,(MAX(1,ROUND('Rules &amp; Formulas'!B18*(1+0.3*AE139)*(1+0.4*AF139),0)))*(1000/'Rules &amp; Formulas'!B19)*MIN(0.95,'Rules &amp; Formulas'!B20*SQRT(1+0.55*(AG139&gt;=1))),0)</f>
        <v/>
      </c>
      <c r="U140" s="7">
        <f>S140+T140</f>
        <v/>
      </c>
      <c r="V140" s="7">
        <f>IF(I139&gt;=IF((IFERROR(VLOOKUP(C140,Monsters!$T$4:$AH$15,15,FALSE),0))=0,120,IFERROR(VLOOKUP(C140,Monsters!$T$4:$AH$15,15,FALSE),0)),"YES","no")</f>
        <v/>
      </c>
      <c r="W140" s="7">
        <f>IF(AND(B140="Fight boss",E140="OK"),IF((((105/'Rules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Formulas'!B20*SQRT(1+0.55*(AG139&gt;=1))),0)))),"")</f>
        <v/>
      </c>
      <c r="X140" s="7">
        <f>IF(AND(B140="Fight boss",E140="OK"),IF((IF((((105/'Rules &amp; Formulas'!B10)*'Rules &amp; Formulas'!B11+IF(AD139&gt;=1,(MAX(1,ROUND('Rules &amp; Formulas'!B18*(1+0.3*AE139)*(1+0.4*AF139),0)))*(1000/'Rules &amp; Formulas'!B19)*MIN(0.95,'Rules &amp; Formulas'!B20*SQRT(1+0.55*(AG139&gt;=1))),0)))&lt;=0,9999,(IFERROR(VLOOKUP(C140,Monsters!$T$4:$AH$15,2,FALSE),0))/(((105/'Rules &amp; Formulas'!B10)*'Rules &amp; Formulas'!B11+IF(AD139&gt;=1,(MAX(1,ROUND('Rules &amp; Formulas'!B18*(1+0.3*AE139)*(1+0.4*AF139),0)))*(1000/'Rules &amp; Formulas'!B19)*MIN(0.95,'Rules &amp; Formulas'!B20*SQRT(1+0.55*(AG139&gt;=1))),0))))&lt;='Rules &amp; Formulas'!B12),"WIN","LOSE"),"")</f>
        <v/>
      </c>
      <c r="Y140" s="7">
        <f>IF(B140="Go AFK",MIN(IF(B140="Go AFK",IF(D140="",0,D140),0),Z139/60),"")</f>
        <v/>
      </c>
      <c r="Z140" s="7">
        <f>('Rules &amp; Formulas'!B13+30*AI140)</f>
        <v/>
      </c>
      <c r="AA140">
        <f>COUNTIFS($B$3:$B140,"Buy upgrade",$C$3:$C140,"Idle Power")</f>
        <v/>
      </c>
      <c r="AB140">
        <f>COUNTIFS($B$3:$B140,"Buy upgrade",$C$3:$C140,"Iron Blade")</f>
        <v/>
      </c>
      <c r="AC140">
        <f>COUNTIFS($B$3:$B140,"Buy upgrade",$C$3:$C140,"Steel Blade")</f>
        <v/>
      </c>
      <c r="AD140">
        <f>COUNTIFS($B$3:$B140,"Hire hunter",$C$3:$C140,"Briar")+COUNTIFS($B$3:$B140,"Buy upgrade",$C$3:$C140,"Hire Briar")</f>
        <v/>
      </c>
      <c r="AE140">
        <f>COUNTIFS($B$3:$B140,"Buy upgrade",$C$3:$C140,"Hunter Power")</f>
        <v/>
      </c>
      <c r="AF140">
        <f>COUNTIFS($B$3:$B140,"Buy upgrade",$C$3:$C140,"Bigger Hits")</f>
        <v/>
      </c>
      <c r="AG140">
        <f>COUNTIFS($B$3:$B140,"Buy upgrade",$C$3:$C140,"Swift Walk")</f>
        <v/>
      </c>
      <c r="AH140">
        <f>COUNTIFS($B$3:$B140,"Buy upgrade",$C$3:$C140,"Loot Luck")</f>
        <v/>
      </c>
      <c r="AI140">
        <f>COUNTIFS($B$3:$B140,"Buy upgrade",$C$3:$C140,"Offline Cap")</f>
        <v/>
      </c>
      <c r="AJ140">
        <f>COUNTIFS($B$3:$B140,"Buy upgrade",$C$3:$C140,"Bigger Food Stock")</f>
        <v/>
      </c>
      <c r="AK140">
        <f>COUNTIFS($B$3:$B140,"Buy upgrade",$C$3:$C140,"Food Efficiency")</f>
        <v/>
      </c>
    </row>
    <row r="141">
      <c r="A141" t="n">
        <v>139</v>
      </c>
      <c r="B141" s="6" t="n"/>
      <c r="C141" s="6" t="n"/>
      <c r="D141" s="6" t="n"/>
      <c r="E141" s="7">
        <f>IF(B141="","",IF(OR(B141="Hunt",B141="Go AFK"),IF(C141="","Can't","OK"),IF(B141="Fight boss",IF(I140&lt;IF((IFERROR(VLOOKUP(C141,Monsters!$T$4:$AH$15,15,FALSE),0))=0,120,IFERROR(VLOOKUP(C141,Monsters!$T$4:$AH$15,15,FALSE),0)),"Can't","OK"),IF(B141="Hire hunter",IF(AND(C141="Briar",AD140&gt;=1),"Can't",IF(H140&lt;IF(C141="Briar",140,IF(C141="Quill",3650,IF(C141="Moss",4850,IF(C141="Ember",12200,0)))),"Can't","OK")),IF(OR(B141="Buy upgrade",B141="Forge/Scrapwork buy"),IF(IFERROR(VLOOKUP(C141,Upgrades!$N$4:$T$47,2,FALSE),0)="points","Can't",IF(IFERROR(VLOOKUP(C141,Upgrades!$N$4:$T$47,2,FALSE),0)="gold",IF(H140&lt;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buy",$C$3:$C140,C141))),1),0),"Can't","OK"),IF(IFERROR(VLOOKUP(C141,Upgrades!$N$4:$T$47,2,FALSE),0)="scraps",IF(J140&lt;IFERROR(FLOOR(IFERROR(VLOOKUP(C141,Upgrades!$N$4:$T$47,3,FALSE),0)*(IFERROR(VLOOKUP(C141,Upgrades!$N$4:$T$47,4,FALSE),0)^(COUNTIFS($B$3:$B140,"Buy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buy",$C$3:$C140,C141))),1),0),"Can't","OK"),IF(IFERROR(VLOOKUP(C141,Upgrades!$N$4:$T$47,2,FALSE),0)="mats","Can't","OK")))),"Check")))))</f>
        <v/>
      </c>
      <c r="F141" s="7">
        <f>IF(B141="","",IF(AND(B141="Fight boss",I140&lt;IF((IFERROR(VLOOKUP(C141,Monsters!$T$4:$AH$15,15,FALSE),0))=0,120,IFERROR(VLOOKUP(C141,Monsters!$T$4:$AH$15,15,FALSE),0))),"Can't — need "&amp;TEXT(IF((IFERROR(VLOOKUP(C141,Monsters!$T$4:$AH$15,15,FALSE),0))=0,120,IFERROR(VLOOKUP(C141,Monsters!$T$4:$AH$15,15,FALSE),0))-I140,"0.0")&amp;" more Slayer points on the meter",IF(AND(B141="Hire hunter",C141="Briar",AD140&gt;=1),"Can't — already hired",IF(AND(B141="Hire hunter",H140&lt;IF(C141="Briar",140,IF(C141="Quill",3650,IF(C141="Moss",4850,IF(C141="Ember",12200,0))))),"Can't — need "&amp;TEXT(IF(C141="Briar",140,IF(C141="Quill",3650,IF(C141="Moss",4850,IF(C141="Ember",12200,0))))-H140,"0")&amp;" more gold",IF(AND(OR(B141="Buy upgrade",B141="Forge/Scrapwork buy"),IFERROR(VLOOKUP(C141,Upgrades!$N$4:$T$47,2,FALSE),0)="points"),"Can't — Sp-wallet spends not tracked here",IF(AND(OR(B141="Buy upgrade",B141="Forge/Scrapwork buy"),IFERROR(VLOOKUP(C141,Upgrades!$N$4:$T$47,2,FALSE),0)="gold",H140&lt;IFERROR(FLOOR(IFERROR(VLOOKUP(C141,Upgrades!$N$4:$T$47,3,FALSE),0)*(IFERROR(VLOOKUP(C141,Upgrades!$N$4:$T$47,4,FALSE),0)^(COUNTIFS($B$3:$B140,"Buy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buy",$C$3:$C140,C141))),1),0)),"Can't — need "&amp;TEXT(IFERROR(FLOOR(IFERROR(VLOOKUP(C141,Upgrades!$N$4:$T$47,3,FALSE),0)*(IFERROR(VLOOKUP(C141,Upgrades!$N$4:$T$47,4,FALSE),0)^(COUNTIFS($B$3:$B140,"Buy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buy",$C$3:$C140,C141))),1),0)-H140,"0")&amp;" more gold",IF(AND(OR(B141="Buy upgrade",B141="Forge/Scrapwork buy"),IFERROR(VLOOKUP(C141,Upgrades!$N$4:$T$47,2,FALSE),0)="scraps",J140&lt;IFERROR(FLOOR(IFERROR(VLOOKUP(C141,Upgrades!$N$4:$T$47,3,FALSE),0)*(IFERROR(VLOOKUP(C141,Upgrades!$N$4:$T$47,4,FALSE),0)^(COUNTIFS($B$3:$B140,"Buy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buy",$C$3:$C140,C141))),1),0)),"Can't — need "&amp;TEXT(IFERROR(FLOOR(IFERROR(VLOOKUP(C141,Upgrades!$N$4:$T$47,3,FALSE),0)*(IFERROR(VLOOKUP(C141,Upgrades!$N$4:$T$47,4,FALSE),0)^(COUNTIFS($B$3:$B140,"Buy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buy",$C$3:$C140,C141))),1),0)-J140,"0")&amp;" more scraps",IF(AND(B141="Fight boss",E141="OK",(IF((((105/'Rules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Formulas'!B12)),"WIN — boss down, next Level unlocks",IF(AND(B141="Fight boss",E141="OK"),"LOSE — TTK "&amp;TEXT(IF((((105/'Rules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Formulas'!B20*SQRT(1+0.55*(AG140&gt;=1))),0)))),"0")&amp;"s &gt; patience "&amp;TEXT('Rules &amp; Formulas'!B12,"0")&amp;"s (leave resets HP)",IF(B141="Go AFK","AFK resolved (see AFK counted h)","Applied")))))))))</f>
        <v/>
      </c>
      <c r="G141" s="7">
        <f>IF(AND((E141="OK"),B141="Fight boss",(IF((((105/'Rules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Formulas'!B12),C141="Elder Thornpelt"),2,IF(AND((E141="OK"),B141="Fight boss",(IF((((105/'Rules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Formulas'!B12),C141="Ashfang Alpha"),3,G140))</f>
        <v/>
      </c>
      <c r="H141" s="7">
        <f>MAX(0,H140+IF(AND((E141="OK"),B141="Hunt"),(IF(B141="Hunt",(('Rules &amp; Formulas'!B4*N140*('Rules &amp; Formulas'!B5+O140)*IFERROR(VLOOKUP(C141,Monsters!$T$4:$AH$15,10,FALSE),0)*IFERROR(VLOOKUP(C141,Monsters!$T$4:$AH$15,9,FALSE),0))*'Rules &amp; Formulas'!B6)*IF(D141="",0,D141),0))*(IFERROR(VLOOKUP(C141,Monsters!$T$4:$AH$15,3,FALSE),0))*(1+0.1*AH140)+(IF(OR(B141&lt;&gt;"Hunt",IFERROR(VLOOKUP(C141,Monsters!$T$4:$AH$15,6,FALSE),0)=0),0,FLOOR((IF(B141="Hunt",(('Rules &amp; Formulas'!B4*N140*('Rules &amp; Formulas'!B5+O140)*IFERROR(VLOOKUP(C141,Monsters!$T$4:$AH$15,10,FALSE),0)*IFERROR(VLOOKUP(C141,Monsters!$T$4:$AH$15,9,FALSE),0))*'Rules &amp; Formulas'!B6)*IF(D141="",0,D141),0))/MAX(1,IFERROR(VLOOKUP(C141,Monsters!$T$4:$AH$15,6,FALSE),0)),1)))*(IFERROR(VLOOKUP(C141,Monsters!$T$4:$AH$15,7,FALSE),0))*0.5*(1+0.1*AH140),0)+IF(AND((E141="OK"),B141="Go AFK"),(IF(B141="Go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AFK",IF(D141="",0,D141),0),Z140/60)*60)),0))*(IFERROR(VLOOKUP(C141,Monsters!$T$4:$AH$15,3,FALSE),0))*(1+0.1*AH140)+(IF(OR(B141&lt;&gt;"Go AFK",IFERROR(VLOOKUP(C141,Monsters!$T$4:$AH$15,6,FALSE),0)=0),0,FLOOR((IF(B141="Go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AFK",IF(D141="",0,D141),0),Z140/60)*60)),0))/MAX(1,IFERROR(VLOOKUP(C141,Monsters!$T$4:$AH$15,6,FALSE),0)),1)))*(IFERROR(VLOOKUP(C141,Monsters!$T$4:$AH$15,7,FALSE),0))*0.5*(1+0.1*AH140),0)+IF(AND((E141="OK"),B141="Fight boss",(IF((((105/'Rules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Formulas'!B12)),IFERROR(VLOOKUP(C141,Monsters!$T$4:$AH$15,3,FALSE),0),0)-IF(AND((E141="OK"),OR(B141="Buy upgrade",B141="Forge/Scrapwork buy"),IFERROR(VLOOKUP(C141,Upgrades!$N$4:$T$47,2,FALSE),0)="gold"),IFERROR(FLOOR(IFERROR(VLOOKUP(C141,Upgrades!$N$4:$T$47,3,FALSE),0)*(IFERROR(VLOOKUP(C141,Upgrades!$N$4:$T$47,4,FALSE),0)^(COUNTIFS($B$3:$B140,"Buy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buy",$C$3:$C140,C141))),1),0),0)-IF(AND((E141="OK"),B141="Hire hunter"),IF(C141="Briar",140,IF(C141="Quill",3650,IF(C141="Moss",4850,IF(C141="Ember",12200,0)))),0))</f>
        <v/>
      </c>
      <c r="I141" s="7">
        <f>IF(AND((E141="OK"),B141="Fight boss",(IF((((105/'Rules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Formulas'!B12)),0,MIN(IF(G140&lt;=1,120,IF(G140=2,280,600)),I140+IF(AND((E141="OK"),B141="Hunt"),((IF(B141="Hunt",(('Rules &amp; Formulas'!B4*N140*('Rules &amp; Formulas'!B5+O140)*IFERROR(VLOOKUP(C141,Monsters!$T$4:$AH$15,10,FALSE),0)*IFERROR(VLOOKUP(C141,Monsters!$T$4:$AH$15,9,FALSE),0))*'Rules &amp; Formulas'!B6)*IF(D141="",0,D141),0))*(IFERROR(VLOOKUP(C141,Monsters!$T$4:$AH$15,4,FALSE),0))+(IF(OR(B141&lt;&gt;"Hunt",IFERROR(VLOOKUP(C141,Monsters!$T$4:$AH$15,6,FALSE),0)=0),0,FLOOR((IF(B141="Hunt",(('Rules &amp; Formulas'!B4*N140*('Rules &amp; Formulas'!B5+O140)*IFERROR(VLOOKUP(C141,Monsters!$T$4:$AH$15,10,FALSE),0)*IFERROR(VLOOKUP(C141,Monsters!$T$4:$AH$15,9,FALSE),0))*'Rules &amp; Formulas'!B6)*IF(D141="",0,D141),0))/MAX(1,IFERROR(VLOOKUP(C141,Monsters!$T$4:$AH$15,6,FALSE),0)),1)))*(IFERROR(VLOOKUP(C141,Monsters!$T$4:$AH$15,7,FALSE),0))),0)+IF(AND((E141="OK"),B141="Go AFK"),((IF(B141="Go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AFK",IF(D141="",0,D141),0),Z140/60)*60)),0))*(IFERROR(VLOOKUP(C141,Monsters!$T$4:$AH$15,4,FALSE),0))+(IF(OR(B141&lt;&gt;"Go AFK",IFERROR(VLOOKUP(C141,Monsters!$T$4:$AH$15,6,FALSE),0)=0),0,FLOOR((IF(B141="Go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AFK",IF(D141="",0,D141),0),Z140/60)*60)),0))/MAX(1,IFERROR(VLOOKUP(C141,Monsters!$T$4:$AH$15,6,FALSE),0)),1)))*(IFERROR(VLOOKUP(C141,Monsters!$T$4:$AH$15,7,FALSE),0))),0)))</f>
        <v/>
      </c>
      <c r="J141" s="7">
        <f>MAX(0,J140+IF(AND((E141="OK"),B141="Hunt"),(IF(B141="Hunt",(('Rules &amp; Formulas'!B4*N140*('Rules &amp; Formulas'!B5+O140)*IFERROR(VLOOKUP(C141,Monsters!$T$4:$AH$15,10,FALSE),0)*IFERROR(VLOOKUP(C141,Monsters!$T$4:$AH$15,9,FALSE),0))*'Rules &amp; Formulas'!B6)*IF(D141="",0,D141),0))*(IFERROR(VLOOKUP(C141,Monsters!$T$4:$AH$15,5,FALSE),0)),0)+IF(AND((E141="OK"),B141="Go AFK"),(IF(B141="Go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AFK",IF(D141="",0,D141),0),Z140/60)*60)),0))*(IFERROR(VLOOKUP(C141,Monsters!$T$4:$AH$15,5,FALSE),0)),0)-IF(AND((E141="OK"),OR(B141="Buy upgrade",B141="Forge/Scrapwork buy"),IFERROR(VLOOKUP(C141,Upgrades!$N$4:$T$47,2,FALSE),0)="scraps"),IFERROR(FLOOR(IFERROR(VLOOKUP(C141,Upgrades!$N$4:$T$47,3,FALSE),0)*(IFERROR(VLOOKUP(C141,Upgrades!$N$4:$T$47,4,FALSE),0)^(COUNTIFS($B$3:$B140,"Buy upgrade",$C$3:$C140,C141)+COUNTIFS($B$3:$B140,"Hire hunter",$C$3:$C140,C141)+COUNTIFS($B$3:$B140,"Forge/Scrapwork buy",$C$3:$C140,C141))),1),0),0))</f>
        <v/>
      </c>
      <c r="K141" s="7">
        <f>MAX(0,K140+IF(AND((E141="OK"),B141="Hunt"),IF(C141="Thornpelt Bear",(IF(B141="Hunt",(('Rules &amp; Formulas'!B4*N140*('Rules &amp; Formulas'!B5+O140)*IFERROR(VLOOKUP(C141,Monsters!$T$4:$AH$15,10,FALSE),0)*IFERROR(VLOOKUP(C141,Monsters!$T$4:$AH$15,9,FALSE),0))*'Rules &amp; Formulas'!B6)*IF(D141="",0,D141),0))*0.12,0),0)+IF(AND((E141="OK"),B141="Go AFK"),IF(C141="Thornpelt Bear",(IF(B141="Go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AFK",IF(D141="",0,D141),0),Z140/60)*60)),0))*0.12,0),0))</f>
        <v/>
      </c>
      <c r="L141" s="7">
        <f>MAX(0,L140+IF(AND((E141="OK"),B141="Hunt"),IF(C141="Dire Thornpelt",(IF(B141="Hunt",(('Rules &amp; Formulas'!B4*N140*('Rules &amp; Formulas'!B5+O140)*IFERROR(VLOOKUP(C141,Monsters!$T$4:$AH$15,10,FALSE),0)*IFERROR(VLOOKUP(C141,Monsters!$T$4:$AH$15,9,FALSE),0))*'Rules &amp; Formulas'!B6)*IF(D141="",0,D141),0))*0.1,0),0)+IF(AND((E141="OK"),B141="Go AFK"),IF(C141="Dire Thornpelt",(IF(B141="Go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AFK",IF(D141="",0,D141),0),Z140/60)*60)),0))*0.1,0),0))</f>
        <v/>
      </c>
      <c r="M141" s="7">
        <f>IF(AND((E141="OK"),B141="Go AFK"),MAX(0,MIN(('Rules &amp; Formulas'!B15+25*AJ140),M140+('Rules &amp; Formulas'!B14+0.4*AJ140)*(MIN(IF(B141="Go AFK",IF(D141="",0,D141),0),Z140/60)*60))-(IF(B141="Go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AFK",IF(D141="",0,D141),0),Z140/60)*60)),0))*(IF((IFERROR(VLOOKUP(C141,Monsters!$T$4:$AH$15,8,FALSE),0))=0,0.35,IFERROR(VLOOKUP(C141,Monsters!$T$4:$AH$15,8,FALSE),0))/(1+0.08*AK140))),MIN(('Rules &amp; Formulas'!B15+25*AJ141),M140))</f>
        <v/>
      </c>
      <c r="N141" s="7">
        <f>(1+0.08+0.12*AA141+0.12*AB141+0.16*AC141)</f>
        <v/>
      </c>
      <c r="O141" s="7">
        <f>((AD141&gt;=1)*1*(1+0.3*AE141))</f>
        <v/>
      </c>
      <c r="P141" s="7">
        <f>IF(OR(B141="Hunt",B141="Go AFK"),(('Rules &amp; Formulas'!B4*N140*('Rules &amp; Formulas'!B5+O140)*IFERROR(VLOOKUP(C141,Monsters!$T$4:$AH$15,10,FALSE),0)*IFERROR(VLOOKUP(C141,Monsters!$T$4:$AH$15,9,FALSE),0))*'Rules &amp; Formulas'!B6),"")</f>
        <v/>
      </c>
      <c r="Q141" s="7">
        <f>IF(OR(B141="Hunt",B141="Go AFK"),('Rules &amp; Formulas'!B4*N140*('Rules &amp; Formulas'!B5+O140)*IFERROR(VLOOKUP(C141,Monsters!$T$4:$AH$15,10,FALSE),0)*IFERROR(VLOOKUP(C141,Monsters!$T$4:$AH$15,9,FALSE),0)),"")</f>
        <v/>
      </c>
      <c r="R141" s="7">
        <f>IF(AND((E141="OK"),B141="Hunt"),IF(B141="Hunt",(('Rules &amp; Formulas'!B4*N140*('Rules &amp; Formulas'!B5+O140)*IFERROR(VLOOKUP(C141,Monsters!$T$4:$AH$15,10,FALSE),0)*IFERROR(VLOOKUP(C141,Monsters!$T$4:$AH$15,9,FALSE),0))*'Rules &amp; Formulas'!B6)*IF(D141="",0,D141),0),IF(AND((E141="OK"),B141="Go AFK"),IF(B141="Go AFK",MIN(IF((IF((IFERROR(VLOOKUP(C141,Monsters!$T$4:$AH$15,8,FALSE),0))=0,0.35,IFERROR(VLOOKUP(C141,Monsters!$T$4:$AH$15,8,FALSE),0))/(1+0.08*AK140))&lt;=0,999999,FLOOR(MIN(('Rules &amp; Formulas'!B15+25*AJ140),M140+('Rules &amp; Formulas'!B14+0.4*AJ140)*(MIN(IF(B141="Go AFK",IF(D141="",0,D141),0),Z140/60)*60))/(IF((IFERROR(VLOOKUP(C141,Monsters!$T$4:$AH$15,8,FALSE),0))=0,0.35,IFERROR(VLOOKUP(C141,Monsters!$T$4:$AH$15,8,FALSE),0))/(1+0.08*AK140)),1)),('Rules &amp; Formulas'!B4*N140*('Rules &amp; Formulas'!B5+O140)*IFERROR(VLOOKUP(C141,Monsters!$T$4:$AH$15,10,FALSE),0)*IFERROR(VLOOKUP(C141,Monsters!$T$4:$AH$15,9,FALSE),0))*(MIN(IF(B141="Go AFK",IF(D141="",0,D141),0),Z140/60)*60)),0),0))</f>
        <v/>
      </c>
      <c r="S141" s="7">
        <f>(105/'Rules &amp; Formulas'!B10)*'Rules &amp; Formulas'!B11</f>
        <v/>
      </c>
      <c r="T141" s="7">
        <f>IF(AD140&gt;=1,(MAX(1,ROUND('Rules &amp; Formulas'!B18*(1+0.3*AE140)*(1+0.4*AF140),0)))*(1000/'Rules &amp; Formulas'!B19)*MIN(0.95,'Rules &amp; Formulas'!B20*SQRT(1+0.55*(AG140&gt;=1))),0)</f>
        <v/>
      </c>
      <c r="U141" s="7">
        <f>S141+T141</f>
        <v/>
      </c>
      <c r="V141" s="7">
        <f>IF(I140&gt;=IF((IFERROR(VLOOKUP(C141,Monsters!$T$4:$AH$15,15,FALSE),0))=0,120,IFERROR(VLOOKUP(C141,Monsters!$T$4:$AH$15,15,FALSE),0)),"YES","no")</f>
        <v/>
      </c>
      <c r="W141" s="7">
        <f>IF(AND(B141="Fight boss",E141="OK"),IF((((105/'Rules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Formulas'!B20*SQRT(1+0.55*(AG140&gt;=1))),0)))),"")</f>
        <v/>
      </c>
      <c r="X141" s="7">
        <f>IF(AND(B141="Fight boss",E141="OK"),IF((IF((((105/'Rules &amp; Formulas'!B10)*'Rules &amp; Formulas'!B11+IF(AD140&gt;=1,(MAX(1,ROUND('Rules &amp; Formulas'!B18*(1+0.3*AE140)*(1+0.4*AF140),0)))*(1000/'Rules &amp; Formulas'!B19)*MIN(0.95,'Rules &amp; Formulas'!B20*SQRT(1+0.55*(AG140&gt;=1))),0)))&lt;=0,9999,(IFERROR(VLOOKUP(C141,Monsters!$T$4:$AH$15,2,FALSE),0))/(((105/'Rules &amp; Formulas'!B10)*'Rules &amp; Formulas'!B11+IF(AD140&gt;=1,(MAX(1,ROUND('Rules &amp; Formulas'!B18*(1+0.3*AE140)*(1+0.4*AF140),0)))*(1000/'Rules &amp; Formulas'!B19)*MIN(0.95,'Rules &amp; Formulas'!B20*SQRT(1+0.55*(AG140&gt;=1))),0))))&lt;='Rules &amp; Formulas'!B12),"WIN","LOSE"),"")</f>
        <v/>
      </c>
      <c r="Y141" s="7">
        <f>IF(B141="Go AFK",MIN(IF(B141="Go AFK",IF(D141="",0,D141),0),Z140/60),"")</f>
        <v/>
      </c>
      <c r="Z141" s="7">
        <f>('Rules &amp; Formulas'!B13+30*AI141)</f>
        <v/>
      </c>
      <c r="AA141">
        <f>COUNTIFS($B$3:$B141,"Buy upgrade",$C$3:$C141,"Idle Power")</f>
        <v/>
      </c>
      <c r="AB141">
        <f>COUNTIFS($B$3:$B141,"Buy upgrade",$C$3:$C141,"Iron Blade")</f>
        <v/>
      </c>
      <c r="AC141">
        <f>COUNTIFS($B$3:$B141,"Buy upgrade",$C$3:$C141,"Steel Blade")</f>
        <v/>
      </c>
      <c r="AD141">
        <f>COUNTIFS($B$3:$B141,"Hire hunter",$C$3:$C141,"Briar")+COUNTIFS($B$3:$B141,"Buy upgrade",$C$3:$C141,"Hire Briar")</f>
        <v/>
      </c>
      <c r="AE141">
        <f>COUNTIFS($B$3:$B141,"Buy upgrade",$C$3:$C141,"Hunter Power")</f>
        <v/>
      </c>
      <c r="AF141">
        <f>COUNTIFS($B$3:$B141,"Buy upgrade",$C$3:$C141,"Bigger Hits")</f>
        <v/>
      </c>
      <c r="AG141">
        <f>COUNTIFS($B$3:$B141,"Buy upgrade",$C$3:$C141,"Swift Walk")</f>
        <v/>
      </c>
      <c r="AH141">
        <f>COUNTIFS($B$3:$B141,"Buy upgrade",$C$3:$C141,"Loot Luck")</f>
        <v/>
      </c>
      <c r="AI141">
        <f>COUNTIFS($B$3:$B141,"Buy upgrade",$C$3:$C141,"Offline Cap")</f>
        <v/>
      </c>
      <c r="AJ141">
        <f>COUNTIFS($B$3:$B141,"Buy upgrade",$C$3:$C141,"Bigger Food Stock")</f>
        <v/>
      </c>
      <c r="AK141">
        <f>COUNTIFS($B$3:$B141,"Buy upgrade",$C$3:$C141,"Food Efficiency")</f>
        <v/>
      </c>
    </row>
    <row r="142">
      <c r="A142" t="n">
        <v>140</v>
      </c>
      <c r="B142" s="6" t="n"/>
      <c r="C142" s="6" t="n"/>
      <c r="D142" s="6" t="n"/>
      <c r="E142" s="7">
        <f>IF(B142="","",IF(OR(B142="Hunt",B142="Go AFK"),IF(C142="","Can't","OK"),IF(B142="Fight boss",IF(I141&lt;IF((IFERROR(VLOOKUP(C142,Monsters!$T$4:$AH$15,15,FALSE),0))=0,120,IFERROR(VLOOKUP(C142,Monsters!$T$4:$AH$15,15,FALSE),0)),"Can't","OK"),IF(B142="Hire hunter",IF(AND(C142="Briar",AD141&gt;=1),"Can't",IF(H141&lt;IF(C142="Briar",140,IF(C142="Quill",3650,IF(C142="Moss",4850,IF(C142="Ember",12200,0)))),"Can't","OK")),IF(OR(B142="Buy upgrade",B142="Forge/Scrapwork buy"),IF(IFERROR(VLOOKUP(C142,Upgrades!$N$4:$T$47,2,FALSE),0)="points","Can't",IF(IFERROR(VLOOKUP(C142,Upgrades!$N$4:$T$47,2,FALSE),0)="gold",IF(H141&lt;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buy",$C$3:$C141,C142))),1),0),"Can't","OK"),IF(IFERROR(VLOOKUP(C142,Upgrades!$N$4:$T$47,2,FALSE),0)="scraps",IF(J141&lt;IFERROR(FLOOR(IFERROR(VLOOKUP(C142,Upgrades!$N$4:$T$47,3,FALSE),0)*(IFERROR(VLOOKUP(C142,Upgrades!$N$4:$T$47,4,FALSE),0)^(COUNTIFS($B$3:$B141,"Buy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buy",$C$3:$C141,C142))),1),0),"Can't","OK"),IF(IFERROR(VLOOKUP(C142,Upgrades!$N$4:$T$47,2,FALSE),0)="mats","Can't","OK")))),"Check")))))</f>
        <v/>
      </c>
      <c r="F142" s="7">
        <f>IF(B142="","",IF(AND(B142="Fight boss",I141&lt;IF((IFERROR(VLOOKUP(C142,Monsters!$T$4:$AH$15,15,FALSE),0))=0,120,IFERROR(VLOOKUP(C142,Monsters!$T$4:$AH$15,15,FALSE),0))),"Can't — need "&amp;TEXT(IF((IFERROR(VLOOKUP(C142,Monsters!$T$4:$AH$15,15,FALSE),0))=0,120,IFERROR(VLOOKUP(C142,Monsters!$T$4:$AH$15,15,FALSE),0))-I141,"0.0")&amp;" more Slayer points on the meter",IF(AND(B142="Hire hunter",C142="Briar",AD141&gt;=1),"Can't — already hired",IF(AND(B142="Hire hunter",H141&lt;IF(C142="Briar",140,IF(C142="Quill",3650,IF(C142="Moss",4850,IF(C142="Ember",12200,0))))),"Can't — need "&amp;TEXT(IF(C142="Briar",140,IF(C142="Quill",3650,IF(C142="Moss",4850,IF(C142="Ember",12200,0))))-H141,"0")&amp;" more gold",IF(AND(OR(B142="Buy upgrade",B142="Forge/Scrapwork buy"),IFERROR(VLOOKUP(C142,Upgrades!$N$4:$T$47,2,FALSE),0)="points"),"Can't — Sp-wallet spends not tracked here",IF(AND(OR(B142="Buy upgrade",B142="Forge/Scrapwork buy"),IFERROR(VLOOKUP(C142,Upgrades!$N$4:$T$47,2,FALSE),0)="gold",H141&lt;IFERROR(FLOOR(IFERROR(VLOOKUP(C142,Upgrades!$N$4:$T$47,3,FALSE),0)*(IFERROR(VLOOKUP(C142,Upgrades!$N$4:$T$47,4,FALSE),0)^(COUNTIFS($B$3:$B141,"Buy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buy",$C$3:$C141,C142))),1),0)),"Can't — need "&amp;TEXT(IFERROR(FLOOR(IFERROR(VLOOKUP(C142,Upgrades!$N$4:$T$47,3,FALSE),0)*(IFERROR(VLOOKUP(C142,Upgrades!$N$4:$T$47,4,FALSE),0)^(COUNTIFS($B$3:$B141,"Buy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buy",$C$3:$C141,C142))),1),0)-H141,"0")&amp;" more gold",IF(AND(OR(B142="Buy upgrade",B142="Forge/Scrapwork buy"),IFERROR(VLOOKUP(C142,Upgrades!$N$4:$T$47,2,FALSE),0)="scraps",J141&lt;IFERROR(FLOOR(IFERROR(VLOOKUP(C142,Upgrades!$N$4:$T$47,3,FALSE),0)*(IFERROR(VLOOKUP(C142,Upgrades!$N$4:$T$47,4,FALSE),0)^(COUNTIFS($B$3:$B141,"Buy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buy",$C$3:$C141,C142))),1),0)),"Can't — need "&amp;TEXT(IFERROR(FLOOR(IFERROR(VLOOKUP(C142,Upgrades!$N$4:$T$47,3,FALSE),0)*(IFERROR(VLOOKUP(C142,Upgrades!$N$4:$T$47,4,FALSE),0)^(COUNTIFS($B$3:$B141,"Buy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buy",$C$3:$C141,C142))),1),0)-J141,"0")&amp;" more scraps",IF(AND(B142="Fight boss",E142="OK",(IF((((105/'Rules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Formulas'!B12)),"WIN — boss down, next Level unlocks",IF(AND(B142="Fight boss",E142="OK"),"LOSE — TTK "&amp;TEXT(IF((((105/'Rules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Formulas'!B20*SQRT(1+0.55*(AG141&gt;=1))),0)))),"0")&amp;"s &gt; patience "&amp;TEXT('Rules &amp; Formulas'!B12,"0")&amp;"s (leave resets HP)",IF(B142="Go AFK","AFK resolved (see AFK counted h)","Applied")))))))))</f>
        <v/>
      </c>
      <c r="G142" s="7">
        <f>IF(AND((E142="OK"),B142="Fight boss",(IF((((105/'Rules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Formulas'!B12),C142="Elder Thornpelt"),2,IF(AND((E142="OK"),B142="Fight boss",(IF((((105/'Rules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Formulas'!B12),C142="Ashfang Alpha"),3,G141))</f>
        <v/>
      </c>
      <c r="H142" s="7">
        <f>MAX(0,H141+IF(AND((E142="OK"),B142="Hunt"),(IF(B142="Hunt",(('Rules &amp; Formulas'!B4*N141*('Rules &amp; Formulas'!B5+O141)*IFERROR(VLOOKUP(C142,Monsters!$T$4:$AH$15,10,FALSE),0)*IFERROR(VLOOKUP(C142,Monsters!$T$4:$AH$15,9,FALSE),0))*'Rules &amp; Formulas'!B6)*IF(D142="",0,D142),0))*(IFERROR(VLOOKUP(C142,Monsters!$T$4:$AH$15,3,FALSE),0))*(1+0.1*AH141)+(IF(OR(B142&lt;&gt;"Hunt",IFERROR(VLOOKUP(C142,Monsters!$T$4:$AH$15,6,FALSE),0)=0),0,FLOOR((IF(B142="Hunt",(('Rules &amp; Formulas'!B4*N141*('Rules &amp; Formulas'!B5+O141)*IFERROR(VLOOKUP(C142,Monsters!$T$4:$AH$15,10,FALSE),0)*IFERROR(VLOOKUP(C142,Monsters!$T$4:$AH$15,9,FALSE),0))*'Rules &amp; Formulas'!B6)*IF(D142="",0,D142),0))/MAX(1,IFERROR(VLOOKUP(C142,Monsters!$T$4:$AH$15,6,FALSE),0)),1)))*(IFERROR(VLOOKUP(C142,Monsters!$T$4:$AH$15,7,FALSE),0))*0.5*(1+0.1*AH141),0)+IF(AND((E142="OK"),B142="Go AFK"),(IF(B142="Go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AFK",IF(D142="",0,D142),0),Z141/60)*60)),0))*(IFERROR(VLOOKUP(C142,Monsters!$T$4:$AH$15,3,FALSE),0))*(1+0.1*AH141)+(IF(OR(B142&lt;&gt;"Go AFK",IFERROR(VLOOKUP(C142,Monsters!$T$4:$AH$15,6,FALSE),0)=0),0,FLOOR((IF(B142="Go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AFK",IF(D142="",0,D142),0),Z141/60)*60)),0))/MAX(1,IFERROR(VLOOKUP(C142,Monsters!$T$4:$AH$15,6,FALSE),0)),1)))*(IFERROR(VLOOKUP(C142,Monsters!$T$4:$AH$15,7,FALSE),0))*0.5*(1+0.1*AH141),0)+IF(AND((E142="OK"),B142="Fight boss",(IF((((105/'Rules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Formulas'!B12)),IFERROR(VLOOKUP(C142,Monsters!$T$4:$AH$15,3,FALSE),0),0)-IF(AND((E142="OK"),OR(B142="Buy upgrade",B142="Forge/Scrapwork buy"),IFERROR(VLOOKUP(C142,Upgrades!$N$4:$T$47,2,FALSE),0)="gold"),IFERROR(FLOOR(IFERROR(VLOOKUP(C142,Upgrades!$N$4:$T$47,3,FALSE),0)*(IFERROR(VLOOKUP(C142,Upgrades!$N$4:$T$47,4,FALSE),0)^(COUNTIFS($B$3:$B141,"Buy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buy",$C$3:$C141,C142))),1),0),0)-IF(AND((E142="OK"),B142="Hire hunter"),IF(C142="Briar",140,IF(C142="Quill",3650,IF(C142="Moss",4850,IF(C142="Ember",12200,0)))),0))</f>
        <v/>
      </c>
      <c r="I142" s="7">
        <f>IF(AND((E142="OK"),B142="Fight boss",(IF((((105/'Rules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Formulas'!B12)),0,MIN(IF(G141&lt;=1,120,IF(G141=2,280,600)),I141+IF(AND((E142="OK"),B142="Hunt"),((IF(B142="Hunt",(('Rules &amp; Formulas'!B4*N141*('Rules &amp; Formulas'!B5+O141)*IFERROR(VLOOKUP(C142,Monsters!$T$4:$AH$15,10,FALSE),0)*IFERROR(VLOOKUP(C142,Monsters!$T$4:$AH$15,9,FALSE),0))*'Rules &amp; Formulas'!B6)*IF(D142="",0,D142),0))*(IFERROR(VLOOKUP(C142,Monsters!$T$4:$AH$15,4,FALSE),0))+(IF(OR(B142&lt;&gt;"Hunt",IFERROR(VLOOKUP(C142,Monsters!$T$4:$AH$15,6,FALSE),0)=0),0,FLOOR((IF(B142="Hunt",(('Rules &amp; Formulas'!B4*N141*('Rules &amp; Formulas'!B5+O141)*IFERROR(VLOOKUP(C142,Monsters!$T$4:$AH$15,10,FALSE),0)*IFERROR(VLOOKUP(C142,Monsters!$T$4:$AH$15,9,FALSE),0))*'Rules &amp; Formulas'!B6)*IF(D142="",0,D142),0))/MAX(1,IFERROR(VLOOKUP(C142,Monsters!$T$4:$AH$15,6,FALSE),0)),1)))*(IFERROR(VLOOKUP(C142,Monsters!$T$4:$AH$15,7,FALSE),0))),0)+IF(AND((E142="OK"),B142="Go AFK"),((IF(B142="Go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AFK",IF(D142="",0,D142),0),Z141/60)*60)),0))*(IFERROR(VLOOKUP(C142,Monsters!$T$4:$AH$15,4,FALSE),0))+(IF(OR(B142&lt;&gt;"Go AFK",IFERROR(VLOOKUP(C142,Monsters!$T$4:$AH$15,6,FALSE),0)=0),0,FLOOR((IF(B142="Go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AFK",IF(D142="",0,D142),0),Z141/60)*60)),0))/MAX(1,IFERROR(VLOOKUP(C142,Monsters!$T$4:$AH$15,6,FALSE),0)),1)))*(IFERROR(VLOOKUP(C142,Monsters!$T$4:$AH$15,7,FALSE),0))),0)))</f>
        <v/>
      </c>
      <c r="J142" s="7">
        <f>MAX(0,J141+IF(AND((E142="OK"),B142="Hunt"),(IF(B142="Hunt",(('Rules &amp; Formulas'!B4*N141*('Rules &amp; Formulas'!B5+O141)*IFERROR(VLOOKUP(C142,Monsters!$T$4:$AH$15,10,FALSE),0)*IFERROR(VLOOKUP(C142,Monsters!$T$4:$AH$15,9,FALSE),0))*'Rules &amp; Formulas'!B6)*IF(D142="",0,D142),0))*(IFERROR(VLOOKUP(C142,Monsters!$T$4:$AH$15,5,FALSE),0)),0)+IF(AND((E142="OK"),B142="Go AFK"),(IF(B142="Go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AFK",IF(D142="",0,D142),0),Z141/60)*60)),0))*(IFERROR(VLOOKUP(C142,Monsters!$T$4:$AH$15,5,FALSE),0)),0)-IF(AND((E142="OK"),OR(B142="Buy upgrade",B142="Forge/Scrapwork buy"),IFERROR(VLOOKUP(C142,Upgrades!$N$4:$T$47,2,FALSE),0)="scraps"),IFERROR(FLOOR(IFERROR(VLOOKUP(C142,Upgrades!$N$4:$T$47,3,FALSE),0)*(IFERROR(VLOOKUP(C142,Upgrades!$N$4:$T$47,4,FALSE),0)^(COUNTIFS($B$3:$B141,"Buy upgrade",$C$3:$C141,C142)+COUNTIFS($B$3:$B141,"Hire hunter",$C$3:$C141,C142)+COUNTIFS($B$3:$B141,"Forge/Scrapwork buy",$C$3:$C141,C142))),1),0),0))</f>
        <v/>
      </c>
      <c r="K142" s="7">
        <f>MAX(0,K141+IF(AND((E142="OK"),B142="Hunt"),IF(C142="Thornpelt Bear",(IF(B142="Hunt",(('Rules &amp; Formulas'!B4*N141*('Rules &amp; Formulas'!B5+O141)*IFERROR(VLOOKUP(C142,Monsters!$T$4:$AH$15,10,FALSE),0)*IFERROR(VLOOKUP(C142,Monsters!$T$4:$AH$15,9,FALSE),0))*'Rules &amp; Formulas'!B6)*IF(D142="",0,D142),0))*0.12,0),0)+IF(AND((E142="OK"),B142="Go AFK"),IF(C142="Thornpelt Bear",(IF(B142="Go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AFK",IF(D142="",0,D142),0),Z141/60)*60)),0))*0.12,0),0))</f>
        <v/>
      </c>
      <c r="L142" s="7">
        <f>MAX(0,L141+IF(AND((E142="OK"),B142="Hunt"),IF(C142="Dire Thornpelt",(IF(B142="Hunt",(('Rules &amp; Formulas'!B4*N141*('Rules &amp; Formulas'!B5+O141)*IFERROR(VLOOKUP(C142,Monsters!$T$4:$AH$15,10,FALSE),0)*IFERROR(VLOOKUP(C142,Monsters!$T$4:$AH$15,9,FALSE),0))*'Rules &amp; Formulas'!B6)*IF(D142="",0,D142),0))*0.1,0),0)+IF(AND((E142="OK"),B142="Go AFK"),IF(C142="Dire Thornpelt",(IF(B142="Go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AFK",IF(D142="",0,D142),0),Z141/60)*60)),0))*0.1,0),0))</f>
        <v/>
      </c>
      <c r="M142" s="7">
        <f>IF(AND((E142="OK"),B142="Go AFK"),MAX(0,MIN(('Rules &amp; Formulas'!B15+25*AJ141),M141+('Rules &amp; Formulas'!B14+0.4*AJ141)*(MIN(IF(B142="Go AFK",IF(D142="",0,D142),0),Z141/60)*60))-(IF(B142="Go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AFK",IF(D142="",0,D142),0),Z141/60)*60)),0))*(IF((IFERROR(VLOOKUP(C142,Monsters!$T$4:$AH$15,8,FALSE),0))=0,0.35,IFERROR(VLOOKUP(C142,Monsters!$T$4:$AH$15,8,FALSE),0))/(1+0.08*AK141))),MIN(('Rules &amp; Formulas'!B15+25*AJ142),M141))</f>
        <v/>
      </c>
      <c r="N142" s="7">
        <f>(1+0.08+0.12*AA142+0.12*AB142+0.16*AC142)</f>
        <v/>
      </c>
      <c r="O142" s="7">
        <f>((AD142&gt;=1)*1*(1+0.3*AE142))</f>
        <v/>
      </c>
      <c r="P142" s="7">
        <f>IF(OR(B142="Hunt",B142="Go AFK"),(('Rules &amp; Formulas'!B4*N141*('Rules &amp; Formulas'!B5+O141)*IFERROR(VLOOKUP(C142,Monsters!$T$4:$AH$15,10,FALSE),0)*IFERROR(VLOOKUP(C142,Monsters!$T$4:$AH$15,9,FALSE),0))*'Rules &amp; Formulas'!B6),"")</f>
        <v/>
      </c>
      <c r="Q142" s="7">
        <f>IF(OR(B142="Hunt",B142="Go AFK"),('Rules &amp; Formulas'!B4*N141*('Rules &amp; Formulas'!B5+O141)*IFERROR(VLOOKUP(C142,Monsters!$T$4:$AH$15,10,FALSE),0)*IFERROR(VLOOKUP(C142,Monsters!$T$4:$AH$15,9,FALSE),0)),"")</f>
        <v/>
      </c>
      <c r="R142" s="7">
        <f>IF(AND((E142="OK"),B142="Hunt"),IF(B142="Hunt",(('Rules &amp; Formulas'!B4*N141*('Rules &amp; Formulas'!B5+O141)*IFERROR(VLOOKUP(C142,Monsters!$T$4:$AH$15,10,FALSE),0)*IFERROR(VLOOKUP(C142,Monsters!$T$4:$AH$15,9,FALSE),0))*'Rules &amp; Formulas'!B6)*IF(D142="",0,D142),0),IF(AND((E142="OK"),B142="Go AFK"),IF(B142="Go AFK",MIN(IF((IF((IFERROR(VLOOKUP(C142,Monsters!$T$4:$AH$15,8,FALSE),0))=0,0.35,IFERROR(VLOOKUP(C142,Monsters!$T$4:$AH$15,8,FALSE),0))/(1+0.08*AK141))&lt;=0,999999,FLOOR(MIN(('Rules &amp; Formulas'!B15+25*AJ141),M141+('Rules &amp; Formulas'!B14+0.4*AJ141)*(MIN(IF(B142="Go AFK",IF(D142="",0,D142),0),Z141/60)*60))/(IF((IFERROR(VLOOKUP(C142,Monsters!$T$4:$AH$15,8,FALSE),0))=0,0.35,IFERROR(VLOOKUP(C142,Monsters!$T$4:$AH$15,8,FALSE),0))/(1+0.08*AK141)),1)),('Rules &amp; Formulas'!B4*N141*('Rules &amp; Formulas'!B5+O141)*IFERROR(VLOOKUP(C142,Monsters!$T$4:$AH$15,10,FALSE),0)*IFERROR(VLOOKUP(C142,Monsters!$T$4:$AH$15,9,FALSE),0))*(MIN(IF(B142="Go AFK",IF(D142="",0,D142),0),Z141/60)*60)),0),0))</f>
        <v/>
      </c>
      <c r="S142" s="7">
        <f>(105/'Rules &amp; Formulas'!B10)*'Rules &amp; Formulas'!B11</f>
        <v/>
      </c>
      <c r="T142" s="7">
        <f>IF(AD141&gt;=1,(MAX(1,ROUND('Rules &amp; Formulas'!B18*(1+0.3*AE141)*(1+0.4*AF141),0)))*(1000/'Rules &amp; Formulas'!B19)*MIN(0.95,'Rules &amp; Formulas'!B20*SQRT(1+0.55*(AG141&gt;=1))),0)</f>
        <v/>
      </c>
      <c r="U142" s="7">
        <f>S142+T142</f>
        <v/>
      </c>
      <c r="V142" s="7">
        <f>IF(I141&gt;=IF((IFERROR(VLOOKUP(C142,Monsters!$T$4:$AH$15,15,FALSE),0))=0,120,IFERROR(VLOOKUP(C142,Monsters!$T$4:$AH$15,15,FALSE),0)),"YES","no")</f>
        <v/>
      </c>
      <c r="W142" s="7">
        <f>IF(AND(B142="Fight boss",E142="OK"),IF((((105/'Rules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Formulas'!B20*SQRT(1+0.55*(AG141&gt;=1))),0)))),"")</f>
        <v/>
      </c>
      <c r="X142" s="7">
        <f>IF(AND(B142="Fight boss",E142="OK"),IF((IF((((105/'Rules &amp; Formulas'!B10)*'Rules &amp; Formulas'!B11+IF(AD141&gt;=1,(MAX(1,ROUND('Rules &amp; Formulas'!B18*(1+0.3*AE141)*(1+0.4*AF141),0)))*(1000/'Rules &amp; Formulas'!B19)*MIN(0.95,'Rules &amp; Formulas'!B20*SQRT(1+0.55*(AG141&gt;=1))),0)))&lt;=0,9999,(IFERROR(VLOOKUP(C142,Monsters!$T$4:$AH$15,2,FALSE),0))/(((105/'Rules &amp; Formulas'!B10)*'Rules &amp; Formulas'!B11+IF(AD141&gt;=1,(MAX(1,ROUND('Rules &amp; Formulas'!B18*(1+0.3*AE141)*(1+0.4*AF141),0)))*(1000/'Rules &amp; Formulas'!B19)*MIN(0.95,'Rules &amp; Formulas'!B20*SQRT(1+0.55*(AG141&gt;=1))),0))))&lt;='Rules &amp; Formulas'!B12),"WIN","LOSE"),"")</f>
        <v/>
      </c>
      <c r="Y142" s="7">
        <f>IF(B142="Go AFK",MIN(IF(B142="Go AFK",IF(D142="",0,D142),0),Z141/60),"")</f>
        <v/>
      </c>
      <c r="Z142" s="7">
        <f>('Rules &amp; Formulas'!B13+30*AI142)</f>
        <v/>
      </c>
      <c r="AA142">
        <f>COUNTIFS($B$3:$B142,"Buy upgrade",$C$3:$C142,"Idle Power")</f>
        <v/>
      </c>
      <c r="AB142">
        <f>COUNTIFS($B$3:$B142,"Buy upgrade",$C$3:$C142,"Iron Blade")</f>
        <v/>
      </c>
      <c r="AC142">
        <f>COUNTIFS($B$3:$B142,"Buy upgrade",$C$3:$C142,"Steel Blade")</f>
        <v/>
      </c>
      <c r="AD142">
        <f>COUNTIFS($B$3:$B142,"Hire hunter",$C$3:$C142,"Briar")+COUNTIFS($B$3:$B142,"Buy upgrade",$C$3:$C142,"Hire Briar")</f>
        <v/>
      </c>
      <c r="AE142">
        <f>COUNTIFS($B$3:$B142,"Buy upgrade",$C$3:$C142,"Hunter Power")</f>
        <v/>
      </c>
      <c r="AF142">
        <f>COUNTIFS($B$3:$B142,"Buy upgrade",$C$3:$C142,"Bigger Hits")</f>
        <v/>
      </c>
      <c r="AG142">
        <f>COUNTIFS($B$3:$B142,"Buy upgrade",$C$3:$C142,"Swift Walk")</f>
        <v/>
      </c>
      <c r="AH142">
        <f>COUNTIFS($B$3:$B142,"Buy upgrade",$C$3:$C142,"Loot Luck")</f>
        <v/>
      </c>
      <c r="AI142">
        <f>COUNTIFS($B$3:$B142,"Buy upgrade",$C$3:$C142,"Offline Cap")</f>
        <v/>
      </c>
      <c r="AJ142">
        <f>COUNTIFS($B$3:$B142,"Buy upgrade",$C$3:$C142,"Bigger Food Stock")</f>
        <v/>
      </c>
      <c r="AK142">
        <f>COUNTIFS($B$3:$B142,"Buy upgrade",$C$3:$C142,"Food Efficiency")</f>
        <v/>
      </c>
    </row>
    <row r="143">
      <c r="A143" t="n">
        <v>141</v>
      </c>
      <c r="B143" s="6" t="n"/>
      <c r="C143" s="6" t="n"/>
      <c r="D143" s="6" t="n"/>
      <c r="E143" s="7">
        <f>IF(B143="","",IF(OR(B143="Hunt",B143="Go AFK"),IF(C143="","Can't","OK"),IF(B143="Fight boss",IF(I142&lt;IF((IFERROR(VLOOKUP(C143,Monsters!$T$4:$AH$15,15,FALSE),0))=0,120,IFERROR(VLOOKUP(C143,Monsters!$T$4:$AH$15,15,FALSE),0)),"Can't","OK"),IF(B143="Hire hunter",IF(AND(C143="Briar",AD142&gt;=1),"Can't",IF(H142&lt;IF(C143="Briar",140,IF(C143="Quill",3650,IF(C143="Moss",4850,IF(C143="Ember",12200,0)))),"Can't","OK")),IF(OR(B143="Buy upgrade",B143="Forge/Scrapwork buy"),IF(IFERROR(VLOOKUP(C143,Upgrades!$N$4:$T$47,2,FALSE),0)="points","Can't",IF(IFERROR(VLOOKUP(C143,Upgrades!$N$4:$T$47,2,FALSE),0)="gold",IF(H142&lt;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buy",$C$3:$C142,C143))),1),0),"Can't","OK"),IF(IFERROR(VLOOKUP(C143,Upgrades!$N$4:$T$47,2,FALSE),0)="scraps",IF(J142&lt;IFERROR(FLOOR(IFERROR(VLOOKUP(C143,Upgrades!$N$4:$T$47,3,FALSE),0)*(IFERROR(VLOOKUP(C143,Upgrades!$N$4:$T$47,4,FALSE),0)^(COUNTIFS($B$3:$B142,"Buy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buy",$C$3:$C142,C143))),1),0),"Can't","OK"),IF(IFERROR(VLOOKUP(C143,Upgrades!$N$4:$T$47,2,FALSE),0)="mats","Can't","OK")))),"Check")))))</f>
        <v/>
      </c>
      <c r="F143" s="7">
        <f>IF(B143="","",IF(AND(B143="Fight boss",I142&lt;IF((IFERROR(VLOOKUP(C143,Monsters!$T$4:$AH$15,15,FALSE),0))=0,120,IFERROR(VLOOKUP(C143,Monsters!$T$4:$AH$15,15,FALSE),0))),"Can't — need "&amp;TEXT(IF((IFERROR(VLOOKUP(C143,Monsters!$T$4:$AH$15,15,FALSE),0))=0,120,IFERROR(VLOOKUP(C143,Monsters!$T$4:$AH$15,15,FALSE),0))-I142,"0.0")&amp;" more Slayer points on the meter",IF(AND(B143="Hire hunter",C143="Briar",AD142&gt;=1),"Can't — already hired",IF(AND(B143="Hire hunter",H142&lt;IF(C143="Briar",140,IF(C143="Quill",3650,IF(C143="Moss",4850,IF(C143="Ember",12200,0))))),"Can't — need "&amp;TEXT(IF(C143="Briar",140,IF(C143="Quill",3650,IF(C143="Moss",4850,IF(C143="Ember",12200,0))))-H142,"0")&amp;" more gold",IF(AND(OR(B143="Buy upgrade",B143="Forge/Scrapwork buy"),IFERROR(VLOOKUP(C143,Upgrades!$N$4:$T$47,2,FALSE),0)="points"),"Can't — Sp-wallet spends not tracked here",IF(AND(OR(B143="Buy upgrade",B143="Forge/Scrapwork buy"),IFERROR(VLOOKUP(C143,Upgrades!$N$4:$T$47,2,FALSE),0)="gold",H142&lt;IFERROR(FLOOR(IFERROR(VLOOKUP(C143,Upgrades!$N$4:$T$47,3,FALSE),0)*(IFERROR(VLOOKUP(C143,Upgrades!$N$4:$T$47,4,FALSE),0)^(COUNTIFS($B$3:$B142,"Buy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buy",$C$3:$C142,C143))),1),0)),"Can't — need "&amp;TEXT(IFERROR(FLOOR(IFERROR(VLOOKUP(C143,Upgrades!$N$4:$T$47,3,FALSE),0)*(IFERROR(VLOOKUP(C143,Upgrades!$N$4:$T$47,4,FALSE),0)^(COUNTIFS($B$3:$B142,"Buy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buy",$C$3:$C142,C143))),1),0)-H142,"0")&amp;" more gold",IF(AND(OR(B143="Buy upgrade",B143="Forge/Scrapwork buy"),IFERROR(VLOOKUP(C143,Upgrades!$N$4:$T$47,2,FALSE),0)="scraps",J142&lt;IFERROR(FLOOR(IFERROR(VLOOKUP(C143,Upgrades!$N$4:$T$47,3,FALSE),0)*(IFERROR(VLOOKUP(C143,Upgrades!$N$4:$T$47,4,FALSE),0)^(COUNTIFS($B$3:$B142,"Buy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buy",$C$3:$C142,C143))),1),0)),"Can't — need "&amp;TEXT(IFERROR(FLOOR(IFERROR(VLOOKUP(C143,Upgrades!$N$4:$T$47,3,FALSE),0)*(IFERROR(VLOOKUP(C143,Upgrades!$N$4:$T$47,4,FALSE),0)^(COUNTIFS($B$3:$B142,"Buy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buy",$C$3:$C142,C143))),1),0)-J142,"0")&amp;" more scraps",IF(AND(B143="Fight boss",E143="OK",(IF((((105/'Rules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Formulas'!B12)),"WIN — boss down, next Level unlocks",IF(AND(B143="Fight boss",E143="OK"),"LOSE — TTK "&amp;TEXT(IF((((105/'Rules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Formulas'!B20*SQRT(1+0.55*(AG142&gt;=1))),0)))),"0")&amp;"s &gt; patience "&amp;TEXT('Rules &amp; Formulas'!B12,"0")&amp;"s (leave resets HP)",IF(B143="Go AFK","AFK resolved (see AFK counted h)","Applied")))))))))</f>
        <v/>
      </c>
      <c r="G143" s="7">
        <f>IF(AND((E143="OK"),B143="Fight boss",(IF((((105/'Rules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Formulas'!B12),C143="Elder Thornpelt"),2,IF(AND((E143="OK"),B143="Fight boss",(IF((((105/'Rules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Formulas'!B12),C143="Ashfang Alpha"),3,G142))</f>
        <v/>
      </c>
      <c r="H143" s="7">
        <f>MAX(0,H142+IF(AND((E143="OK"),B143="Hunt"),(IF(B143="Hunt",(('Rules &amp; Formulas'!B4*N142*('Rules &amp; Formulas'!B5+O142)*IFERROR(VLOOKUP(C143,Monsters!$T$4:$AH$15,10,FALSE),0)*IFERROR(VLOOKUP(C143,Monsters!$T$4:$AH$15,9,FALSE),0))*'Rules &amp; Formulas'!B6)*IF(D143="",0,D143),0))*(IFERROR(VLOOKUP(C143,Monsters!$T$4:$AH$15,3,FALSE),0))*(1+0.1*AH142)+(IF(OR(B143&lt;&gt;"Hunt",IFERROR(VLOOKUP(C143,Monsters!$T$4:$AH$15,6,FALSE),0)=0),0,FLOOR((IF(B143="Hunt",(('Rules &amp; Formulas'!B4*N142*('Rules &amp; Formulas'!B5+O142)*IFERROR(VLOOKUP(C143,Monsters!$T$4:$AH$15,10,FALSE),0)*IFERROR(VLOOKUP(C143,Monsters!$T$4:$AH$15,9,FALSE),0))*'Rules &amp; Formulas'!B6)*IF(D143="",0,D143),0))/MAX(1,IFERROR(VLOOKUP(C143,Monsters!$T$4:$AH$15,6,FALSE),0)),1)))*(IFERROR(VLOOKUP(C143,Monsters!$T$4:$AH$15,7,FALSE),0))*0.5*(1+0.1*AH142),0)+IF(AND((E143="OK"),B143="Go AFK"),(IF(B143="Go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AFK",IF(D143="",0,D143),0),Z142/60)*60)),0))*(IFERROR(VLOOKUP(C143,Monsters!$T$4:$AH$15,3,FALSE),0))*(1+0.1*AH142)+(IF(OR(B143&lt;&gt;"Go AFK",IFERROR(VLOOKUP(C143,Monsters!$T$4:$AH$15,6,FALSE),0)=0),0,FLOOR((IF(B143="Go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AFK",IF(D143="",0,D143),0),Z142/60)*60)),0))/MAX(1,IFERROR(VLOOKUP(C143,Monsters!$T$4:$AH$15,6,FALSE),0)),1)))*(IFERROR(VLOOKUP(C143,Monsters!$T$4:$AH$15,7,FALSE),0))*0.5*(1+0.1*AH142),0)+IF(AND((E143="OK"),B143="Fight boss",(IF((((105/'Rules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Formulas'!B12)),IFERROR(VLOOKUP(C143,Monsters!$T$4:$AH$15,3,FALSE),0),0)-IF(AND((E143="OK"),OR(B143="Buy upgrade",B143="Forge/Scrapwork buy"),IFERROR(VLOOKUP(C143,Upgrades!$N$4:$T$47,2,FALSE),0)="gold"),IFERROR(FLOOR(IFERROR(VLOOKUP(C143,Upgrades!$N$4:$T$47,3,FALSE),0)*(IFERROR(VLOOKUP(C143,Upgrades!$N$4:$T$47,4,FALSE),0)^(COUNTIFS($B$3:$B142,"Buy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buy",$C$3:$C142,C143))),1),0),0)-IF(AND((E143="OK"),B143="Hire hunter"),IF(C143="Briar",140,IF(C143="Quill",3650,IF(C143="Moss",4850,IF(C143="Ember",12200,0)))),0))</f>
        <v/>
      </c>
      <c r="I143" s="7">
        <f>IF(AND((E143="OK"),B143="Fight boss",(IF((((105/'Rules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Formulas'!B12)),0,MIN(IF(G142&lt;=1,120,IF(G142=2,280,600)),I142+IF(AND((E143="OK"),B143="Hunt"),((IF(B143="Hunt",(('Rules &amp; Formulas'!B4*N142*('Rules &amp; Formulas'!B5+O142)*IFERROR(VLOOKUP(C143,Monsters!$T$4:$AH$15,10,FALSE),0)*IFERROR(VLOOKUP(C143,Monsters!$T$4:$AH$15,9,FALSE),0))*'Rules &amp; Formulas'!B6)*IF(D143="",0,D143),0))*(IFERROR(VLOOKUP(C143,Monsters!$T$4:$AH$15,4,FALSE),0))+(IF(OR(B143&lt;&gt;"Hunt",IFERROR(VLOOKUP(C143,Monsters!$T$4:$AH$15,6,FALSE),0)=0),0,FLOOR((IF(B143="Hunt",(('Rules &amp; Formulas'!B4*N142*('Rules &amp; Formulas'!B5+O142)*IFERROR(VLOOKUP(C143,Monsters!$T$4:$AH$15,10,FALSE),0)*IFERROR(VLOOKUP(C143,Monsters!$T$4:$AH$15,9,FALSE),0))*'Rules &amp; Formulas'!B6)*IF(D143="",0,D143),0))/MAX(1,IFERROR(VLOOKUP(C143,Monsters!$T$4:$AH$15,6,FALSE),0)),1)))*(IFERROR(VLOOKUP(C143,Monsters!$T$4:$AH$15,7,FALSE),0))),0)+IF(AND((E143="OK"),B143="Go AFK"),((IF(B143="Go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AFK",IF(D143="",0,D143),0),Z142/60)*60)),0))*(IFERROR(VLOOKUP(C143,Monsters!$T$4:$AH$15,4,FALSE),0))+(IF(OR(B143&lt;&gt;"Go AFK",IFERROR(VLOOKUP(C143,Monsters!$T$4:$AH$15,6,FALSE),0)=0),0,FLOOR((IF(B143="Go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AFK",IF(D143="",0,D143),0),Z142/60)*60)),0))/MAX(1,IFERROR(VLOOKUP(C143,Monsters!$T$4:$AH$15,6,FALSE),0)),1)))*(IFERROR(VLOOKUP(C143,Monsters!$T$4:$AH$15,7,FALSE),0))),0)))</f>
        <v/>
      </c>
      <c r="J143" s="7">
        <f>MAX(0,J142+IF(AND((E143="OK"),B143="Hunt"),(IF(B143="Hunt",(('Rules &amp; Formulas'!B4*N142*('Rules &amp; Formulas'!B5+O142)*IFERROR(VLOOKUP(C143,Monsters!$T$4:$AH$15,10,FALSE),0)*IFERROR(VLOOKUP(C143,Monsters!$T$4:$AH$15,9,FALSE),0))*'Rules &amp; Formulas'!B6)*IF(D143="",0,D143),0))*(IFERROR(VLOOKUP(C143,Monsters!$T$4:$AH$15,5,FALSE),0)),0)+IF(AND((E143="OK"),B143="Go AFK"),(IF(B143="Go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AFK",IF(D143="",0,D143),0),Z142/60)*60)),0))*(IFERROR(VLOOKUP(C143,Monsters!$T$4:$AH$15,5,FALSE),0)),0)-IF(AND((E143="OK"),OR(B143="Buy upgrade",B143="Forge/Scrapwork buy"),IFERROR(VLOOKUP(C143,Upgrades!$N$4:$T$47,2,FALSE),0)="scraps"),IFERROR(FLOOR(IFERROR(VLOOKUP(C143,Upgrades!$N$4:$T$47,3,FALSE),0)*(IFERROR(VLOOKUP(C143,Upgrades!$N$4:$T$47,4,FALSE),0)^(COUNTIFS($B$3:$B142,"Buy upgrade",$C$3:$C142,C143)+COUNTIFS($B$3:$B142,"Hire hunter",$C$3:$C142,C143)+COUNTIFS($B$3:$B142,"Forge/Scrapwork buy",$C$3:$C142,C143))),1),0),0))</f>
        <v/>
      </c>
      <c r="K143" s="7">
        <f>MAX(0,K142+IF(AND((E143="OK"),B143="Hunt"),IF(C143="Thornpelt Bear",(IF(B143="Hunt",(('Rules &amp; Formulas'!B4*N142*('Rules &amp; Formulas'!B5+O142)*IFERROR(VLOOKUP(C143,Monsters!$T$4:$AH$15,10,FALSE),0)*IFERROR(VLOOKUP(C143,Monsters!$T$4:$AH$15,9,FALSE),0))*'Rules &amp; Formulas'!B6)*IF(D143="",0,D143),0))*0.12,0),0)+IF(AND((E143="OK"),B143="Go AFK"),IF(C143="Thornpelt Bear",(IF(B143="Go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AFK",IF(D143="",0,D143),0),Z142/60)*60)),0))*0.12,0),0))</f>
        <v/>
      </c>
      <c r="L143" s="7">
        <f>MAX(0,L142+IF(AND((E143="OK"),B143="Hunt"),IF(C143="Dire Thornpelt",(IF(B143="Hunt",(('Rules &amp; Formulas'!B4*N142*('Rules &amp; Formulas'!B5+O142)*IFERROR(VLOOKUP(C143,Monsters!$T$4:$AH$15,10,FALSE),0)*IFERROR(VLOOKUP(C143,Monsters!$T$4:$AH$15,9,FALSE),0))*'Rules &amp; Formulas'!B6)*IF(D143="",0,D143),0))*0.1,0),0)+IF(AND((E143="OK"),B143="Go AFK"),IF(C143="Dire Thornpelt",(IF(B143="Go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AFK",IF(D143="",0,D143),0),Z142/60)*60)),0))*0.1,0),0))</f>
        <v/>
      </c>
      <c r="M143" s="7">
        <f>IF(AND((E143="OK"),B143="Go AFK"),MAX(0,MIN(('Rules &amp; Formulas'!B15+25*AJ142),M142+('Rules &amp; Formulas'!B14+0.4*AJ142)*(MIN(IF(B143="Go AFK",IF(D143="",0,D143),0),Z142/60)*60))-(IF(B143="Go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AFK",IF(D143="",0,D143),0),Z142/60)*60)),0))*(IF((IFERROR(VLOOKUP(C143,Monsters!$T$4:$AH$15,8,FALSE),0))=0,0.35,IFERROR(VLOOKUP(C143,Monsters!$T$4:$AH$15,8,FALSE),0))/(1+0.08*AK142))),MIN(('Rules &amp; Formulas'!B15+25*AJ143),M142))</f>
        <v/>
      </c>
      <c r="N143" s="7">
        <f>(1+0.08+0.12*AA143+0.12*AB143+0.16*AC143)</f>
        <v/>
      </c>
      <c r="O143" s="7">
        <f>((AD143&gt;=1)*1*(1+0.3*AE143))</f>
        <v/>
      </c>
      <c r="P143" s="7">
        <f>IF(OR(B143="Hunt",B143="Go AFK"),(('Rules &amp; Formulas'!B4*N142*('Rules &amp; Formulas'!B5+O142)*IFERROR(VLOOKUP(C143,Monsters!$T$4:$AH$15,10,FALSE),0)*IFERROR(VLOOKUP(C143,Monsters!$T$4:$AH$15,9,FALSE),0))*'Rules &amp; Formulas'!B6),"")</f>
        <v/>
      </c>
      <c r="Q143" s="7">
        <f>IF(OR(B143="Hunt",B143="Go AFK"),('Rules &amp; Formulas'!B4*N142*('Rules &amp; Formulas'!B5+O142)*IFERROR(VLOOKUP(C143,Monsters!$T$4:$AH$15,10,FALSE),0)*IFERROR(VLOOKUP(C143,Monsters!$T$4:$AH$15,9,FALSE),0)),"")</f>
        <v/>
      </c>
      <c r="R143" s="7">
        <f>IF(AND((E143="OK"),B143="Hunt"),IF(B143="Hunt",(('Rules &amp; Formulas'!B4*N142*('Rules &amp; Formulas'!B5+O142)*IFERROR(VLOOKUP(C143,Monsters!$T$4:$AH$15,10,FALSE),0)*IFERROR(VLOOKUP(C143,Monsters!$T$4:$AH$15,9,FALSE),0))*'Rules &amp; Formulas'!B6)*IF(D143="",0,D143),0),IF(AND((E143="OK"),B143="Go AFK"),IF(B143="Go AFK",MIN(IF((IF((IFERROR(VLOOKUP(C143,Monsters!$T$4:$AH$15,8,FALSE),0))=0,0.35,IFERROR(VLOOKUP(C143,Monsters!$T$4:$AH$15,8,FALSE),0))/(1+0.08*AK142))&lt;=0,999999,FLOOR(MIN(('Rules &amp; Formulas'!B15+25*AJ142),M142+('Rules &amp; Formulas'!B14+0.4*AJ142)*(MIN(IF(B143="Go AFK",IF(D143="",0,D143),0),Z142/60)*60))/(IF((IFERROR(VLOOKUP(C143,Monsters!$T$4:$AH$15,8,FALSE),0))=0,0.35,IFERROR(VLOOKUP(C143,Monsters!$T$4:$AH$15,8,FALSE),0))/(1+0.08*AK142)),1)),('Rules &amp; Formulas'!B4*N142*('Rules &amp; Formulas'!B5+O142)*IFERROR(VLOOKUP(C143,Monsters!$T$4:$AH$15,10,FALSE),0)*IFERROR(VLOOKUP(C143,Monsters!$T$4:$AH$15,9,FALSE),0))*(MIN(IF(B143="Go AFK",IF(D143="",0,D143),0),Z142/60)*60)),0),0))</f>
        <v/>
      </c>
      <c r="S143" s="7">
        <f>(105/'Rules &amp; Formulas'!B10)*'Rules &amp; Formulas'!B11</f>
        <v/>
      </c>
      <c r="T143" s="7">
        <f>IF(AD142&gt;=1,(MAX(1,ROUND('Rules &amp; Formulas'!B18*(1+0.3*AE142)*(1+0.4*AF142),0)))*(1000/'Rules &amp; Formulas'!B19)*MIN(0.95,'Rules &amp; Formulas'!B20*SQRT(1+0.55*(AG142&gt;=1))),0)</f>
        <v/>
      </c>
      <c r="U143" s="7">
        <f>S143+T143</f>
        <v/>
      </c>
      <c r="V143" s="7">
        <f>IF(I142&gt;=IF((IFERROR(VLOOKUP(C143,Monsters!$T$4:$AH$15,15,FALSE),0))=0,120,IFERROR(VLOOKUP(C143,Monsters!$T$4:$AH$15,15,FALSE),0)),"YES","no")</f>
        <v/>
      </c>
      <c r="W143" s="7">
        <f>IF(AND(B143="Fight boss",E143="OK"),IF((((105/'Rules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Formulas'!B20*SQRT(1+0.55*(AG142&gt;=1))),0)))),"")</f>
        <v/>
      </c>
      <c r="X143" s="7">
        <f>IF(AND(B143="Fight boss",E143="OK"),IF((IF((((105/'Rules &amp; Formulas'!B10)*'Rules &amp; Formulas'!B11+IF(AD142&gt;=1,(MAX(1,ROUND('Rules &amp; Formulas'!B18*(1+0.3*AE142)*(1+0.4*AF142),0)))*(1000/'Rules &amp; Formulas'!B19)*MIN(0.95,'Rules &amp; Formulas'!B20*SQRT(1+0.55*(AG142&gt;=1))),0)))&lt;=0,9999,(IFERROR(VLOOKUP(C143,Monsters!$T$4:$AH$15,2,FALSE),0))/(((105/'Rules &amp; Formulas'!B10)*'Rules &amp; Formulas'!B11+IF(AD142&gt;=1,(MAX(1,ROUND('Rules &amp; Formulas'!B18*(1+0.3*AE142)*(1+0.4*AF142),0)))*(1000/'Rules &amp; Formulas'!B19)*MIN(0.95,'Rules &amp; Formulas'!B20*SQRT(1+0.55*(AG142&gt;=1))),0))))&lt;='Rules &amp; Formulas'!B12),"WIN","LOSE"),"")</f>
        <v/>
      </c>
      <c r="Y143" s="7">
        <f>IF(B143="Go AFK",MIN(IF(B143="Go AFK",IF(D143="",0,D143),0),Z142/60),"")</f>
        <v/>
      </c>
      <c r="Z143" s="7">
        <f>('Rules &amp; Formulas'!B13+30*AI143)</f>
        <v/>
      </c>
      <c r="AA143">
        <f>COUNTIFS($B$3:$B143,"Buy upgrade",$C$3:$C143,"Idle Power")</f>
        <v/>
      </c>
      <c r="AB143">
        <f>COUNTIFS($B$3:$B143,"Buy upgrade",$C$3:$C143,"Iron Blade")</f>
        <v/>
      </c>
      <c r="AC143">
        <f>COUNTIFS($B$3:$B143,"Buy upgrade",$C$3:$C143,"Steel Blade")</f>
        <v/>
      </c>
      <c r="AD143">
        <f>COUNTIFS($B$3:$B143,"Hire hunter",$C$3:$C143,"Briar")+COUNTIFS($B$3:$B143,"Buy upgrade",$C$3:$C143,"Hire Briar")</f>
        <v/>
      </c>
      <c r="AE143">
        <f>COUNTIFS($B$3:$B143,"Buy upgrade",$C$3:$C143,"Hunter Power")</f>
        <v/>
      </c>
      <c r="AF143">
        <f>COUNTIFS($B$3:$B143,"Buy upgrade",$C$3:$C143,"Bigger Hits")</f>
        <v/>
      </c>
      <c r="AG143">
        <f>COUNTIFS($B$3:$B143,"Buy upgrade",$C$3:$C143,"Swift Walk")</f>
        <v/>
      </c>
      <c r="AH143">
        <f>COUNTIFS($B$3:$B143,"Buy upgrade",$C$3:$C143,"Loot Luck")</f>
        <v/>
      </c>
      <c r="AI143">
        <f>COUNTIFS($B$3:$B143,"Buy upgrade",$C$3:$C143,"Offline Cap")</f>
        <v/>
      </c>
      <c r="AJ143">
        <f>COUNTIFS($B$3:$B143,"Buy upgrade",$C$3:$C143,"Bigger Food Stock")</f>
        <v/>
      </c>
      <c r="AK143">
        <f>COUNTIFS($B$3:$B143,"Buy upgrade",$C$3:$C143,"Food Efficiency")</f>
        <v/>
      </c>
    </row>
    <row r="144">
      <c r="A144" t="n">
        <v>142</v>
      </c>
      <c r="B144" s="6" t="n"/>
      <c r="C144" s="6" t="n"/>
      <c r="D144" s="6" t="n"/>
      <c r="E144" s="7">
        <f>IF(B144="","",IF(OR(B144="Hunt",B144="Go AFK"),IF(C144="","Can't","OK"),IF(B144="Fight boss",IF(I143&lt;IF((IFERROR(VLOOKUP(C144,Monsters!$T$4:$AH$15,15,FALSE),0))=0,120,IFERROR(VLOOKUP(C144,Monsters!$T$4:$AH$15,15,FALSE),0)),"Can't","OK"),IF(B144="Hire hunter",IF(AND(C144="Briar",AD143&gt;=1),"Can't",IF(H143&lt;IF(C144="Briar",140,IF(C144="Quill",3650,IF(C144="Moss",4850,IF(C144="Ember",12200,0)))),"Can't","OK")),IF(OR(B144="Buy upgrade",B144="Forge/Scrapwork buy"),IF(IFERROR(VLOOKUP(C144,Upgrades!$N$4:$T$47,2,FALSE),0)="points","Can't",IF(IFERROR(VLOOKUP(C144,Upgrades!$N$4:$T$47,2,FALSE),0)="gold",IF(H143&lt;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buy",$C$3:$C143,C144))),1),0),"Can't","OK"),IF(IFERROR(VLOOKUP(C144,Upgrades!$N$4:$T$47,2,FALSE),0)="scraps",IF(J143&lt;IFERROR(FLOOR(IFERROR(VLOOKUP(C144,Upgrades!$N$4:$T$47,3,FALSE),0)*(IFERROR(VLOOKUP(C144,Upgrades!$N$4:$T$47,4,FALSE),0)^(COUNTIFS($B$3:$B143,"Buy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buy",$C$3:$C143,C144))),1),0),"Can't","OK"),IF(IFERROR(VLOOKUP(C144,Upgrades!$N$4:$T$47,2,FALSE),0)="mats","Can't","OK")))),"Check")))))</f>
        <v/>
      </c>
      <c r="F144" s="7">
        <f>IF(B144="","",IF(AND(B144="Fight boss",I143&lt;IF((IFERROR(VLOOKUP(C144,Monsters!$T$4:$AH$15,15,FALSE),0))=0,120,IFERROR(VLOOKUP(C144,Monsters!$T$4:$AH$15,15,FALSE),0))),"Can't — need "&amp;TEXT(IF((IFERROR(VLOOKUP(C144,Monsters!$T$4:$AH$15,15,FALSE),0))=0,120,IFERROR(VLOOKUP(C144,Monsters!$T$4:$AH$15,15,FALSE),0))-I143,"0.0")&amp;" more Slayer points on the meter",IF(AND(B144="Hire hunter",C144="Briar",AD143&gt;=1),"Can't — already hired",IF(AND(B144="Hire hunter",H143&lt;IF(C144="Briar",140,IF(C144="Quill",3650,IF(C144="Moss",4850,IF(C144="Ember",12200,0))))),"Can't — need "&amp;TEXT(IF(C144="Briar",140,IF(C144="Quill",3650,IF(C144="Moss",4850,IF(C144="Ember",12200,0))))-H143,"0")&amp;" more gold",IF(AND(OR(B144="Buy upgrade",B144="Forge/Scrapwork buy"),IFERROR(VLOOKUP(C144,Upgrades!$N$4:$T$47,2,FALSE),0)="points"),"Can't — Sp-wallet spends not tracked here",IF(AND(OR(B144="Buy upgrade",B144="Forge/Scrapwork buy"),IFERROR(VLOOKUP(C144,Upgrades!$N$4:$T$47,2,FALSE),0)="gold",H143&lt;IFERROR(FLOOR(IFERROR(VLOOKUP(C144,Upgrades!$N$4:$T$47,3,FALSE),0)*(IFERROR(VLOOKUP(C144,Upgrades!$N$4:$T$47,4,FALSE),0)^(COUNTIFS($B$3:$B143,"Buy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buy",$C$3:$C143,C144))),1),0)),"Can't — need "&amp;TEXT(IFERROR(FLOOR(IFERROR(VLOOKUP(C144,Upgrades!$N$4:$T$47,3,FALSE),0)*(IFERROR(VLOOKUP(C144,Upgrades!$N$4:$T$47,4,FALSE),0)^(COUNTIFS($B$3:$B143,"Buy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buy",$C$3:$C143,C144))),1),0)-H143,"0")&amp;" more gold",IF(AND(OR(B144="Buy upgrade",B144="Forge/Scrapwork buy"),IFERROR(VLOOKUP(C144,Upgrades!$N$4:$T$47,2,FALSE),0)="scraps",J143&lt;IFERROR(FLOOR(IFERROR(VLOOKUP(C144,Upgrades!$N$4:$T$47,3,FALSE),0)*(IFERROR(VLOOKUP(C144,Upgrades!$N$4:$T$47,4,FALSE),0)^(COUNTIFS($B$3:$B143,"Buy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buy",$C$3:$C143,C144))),1),0)),"Can't — need "&amp;TEXT(IFERROR(FLOOR(IFERROR(VLOOKUP(C144,Upgrades!$N$4:$T$47,3,FALSE),0)*(IFERROR(VLOOKUP(C144,Upgrades!$N$4:$T$47,4,FALSE),0)^(COUNTIFS($B$3:$B143,"Buy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buy",$C$3:$C143,C144))),1),0)-J143,"0")&amp;" more scraps",IF(AND(B144="Fight boss",E144="OK",(IF((((105/'Rules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Formulas'!B12)),"WIN — boss down, next Level unlocks",IF(AND(B144="Fight boss",E144="OK"),"LOSE — TTK "&amp;TEXT(IF((((105/'Rules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Formulas'!B20*SQRT(1+0.55*(AG143&gt;=1))),0)))),"0")&amp;"s &gt; patience "&amp;TEXT('Rules &amp; Formulas'!B12,"0")&amp;"s (leave resets HP)",IF(B144="Go AFK","AFK resolved (see AFK counted h)","Applied")))))))))</f>
        <v/>
      </c>
      <c r="G144" s="7">
        <f>IF(AND((E144="OK"),B144="Fight boss",(IF((((105/'Rules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Formulas'!B12),C144="Elder Thornpelt"),2,IF(AND((E144="OK"),B144="Fight boss",(IF((((105/'Rules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Formulas'!B12),C144="Ashfang Alpha"),3,G143))</f>
        <v/>
      </c>
      <c r="H144" s="7">
        <f>MAX(0,H143+IF(AND((E144="OK"),B144="Hunt"),(IF(B144="Hunt",(('Rules &amp; Formulas'!B4*N143*('Rules &amp; Formulas'!B5+O143)*IFERROR(VLOOKUP(C144,Monsters!$T$4:$AH$15,10,FALSE),0)*IFERROR(VLOOKUP(C144,Monsters!$T$4:$AH$15,9,FALSE),0))*'Rules &amp; Formulas'!B6)*IF(D144="",0,D144),0))*(IFERROR(VLOOKUP(C144,Monsters!$T$4:$AH$15,3,FALSE),0))*(1+0.1*AH143)+(IF(OR(B144&lt;&gt;"Hunt",IFERROR(VLOOKUP(C144,Monsters!$T$4:$AH$15,6,FALSE),0)=0),0,FLOOR((IF(B144="Hunt",(('Rules &amp; Formulas'!B4*N143*('Rules &amp; Formulas'!B5+O143)*IFERROR(VLOOKUP(C144,Monsters!$T$4:$AH$15,10,FALSE),0)*IFERROR(VLOOKUP(C144,Monsters!$T$4:$AH$15,9,FALSE),0))*'Rules &amp; Formulas'!B6)*IF(D144="",0,D144),0))/MAX(1,IFERROR(VLOOKUP(C144,Monsters!$T$4:$AH$15,6,FALSE),0)),1)))*(IFERROR(VLOOKUP(C144,Monsters!$T$4:$AH$15,7,FALSE),0))*0.5*(1+0.1*AH143),0)+IF(AND((E144="OK"),B144="Go AFK"),(IF(B144="Go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AFK",IF(D144="",0,D144),0),Z143/60)*60)),0))*(IFERROR(VLOOKUP(C144,Monsters!$T$4:$AH$15,3,FALSE),0))*(1+0.1*AH143)+(IF(OR(B144&lt;&gt;"Go AFK",IFERROR(VLOOKUP(C144,Monsters!$T$4:$AH$15,6,FALSE),0)=0),0,FLOOR((IF(B144="Go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AFK",IF(D144="",0,D144),0),Z143/60)*60)),0))/MAX(1,IFERROR(VLOOKUP(C144,Monsters!$T$4:$AH$15,6,FALSE),0)),1)))*(IFERROR(VLOOKUP(C144,Monsters!$T$4:$AH$15,7,FALSE),0))*0.5*(1+0.1*AH143),0)+IF(AND((E144="OK"),B144="Fight boss",(IF((((105/'Rules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Formulas'!B12)),IFERROR(VLOOKUP(C144,Monsters!$T$4:$AH$15,3,FALSE),0),0)-IF(AND((E144="OK"),OR(B144="Buy upgrade",B144="Forge/Scrapwork buy"),IFERROR(VLOOKUP(C144,Upgrades!$N$4:$T$47,2,FALSE),0)="gold"),IFERROR(FLOOR(IFERROR(VLOOKUP(C144,Upgrades!$N$4:$T$47,3,FALSE),0)*(IFERROR(VLOOKUP(C144,Upgrades!$N$4:$T$47,4,FALSE),0)^(COUNTIFS($B$3:$B143,"Buy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buy",$C$3:$C143,C144))),1),0),0)-IF(AND((E144="OK"),B144="Hire hunter"),IF(C144="Briar",140,IF(C144="Quill",3650,IF(C144="Moss",4850,IF(C144="Ember",12200,0)))),0))</f>
        <v/>
      </c>
      <c r="I144" s="7">
        <f>IF(AND((E144="OK"),B144="Fight boss",(IF((((105/'Rules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Formulas'!B12)),0,MIN(IF(G143&lt;=1,120,IF(G143=2,280,600)),I143+IF(AND((E144="OK"),B144="Hunt"),((IF(B144="Hunt",(('Rules &amp; Formulas'!B4*N143*('Rules &amp; Formulas'!B5+O143)*IFERROR(VLOOKUP(C144,Monsters!$T$4:$AH$15,10,FALSE),0)*IFERROR(VLOOKUP(C144,Monsters!$T$4:$AH$15,9,FALSE),0))*'Rules &amp; Formulas'!B6)*IF(D144="",0,D144),0))*(IFERROR(VLOOKUP(C144,Monsters!$T$4:$AH$15,4,FALSE),0))+(IF(OR(B144&lt;&gt;"Hunt",IFERROR(VLOOKUP(C144,Monsters!$T$4:$AH$15,6,FALSE),0)=0),0,FLOOR((IF(B144="Hunt",(('Rules &amp; Formulas'!B4*N143*('Rules &amp; Formulas'!B5+O143)*IFERROR(VLOOKUP(C144,Monsters!$T$4:$AH$15,10,FALSE),0)*IFERROR(VLOOKUP(C144,Monsters!$T$4:$AH$15,9,FALSE),0))*'Rules &amp; Formulas'!B6)*IF(D144="",0,D144),0))/MAX(1,IFERROR(VLOOKUP(C144,Monsters!$T$4:$AH$15,6,FALSE),0)),1)))*(IFERROR(VLOOKUP(C144,Monsters!$T$4:$AH$15,7,FALSE),0))),0)+IF(AND((E144="OK"),B144="Go AFK"),((IF(B144="Go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AFK",IF(D144="",0,D144),0),Z143/60)*60)),0))*(IFERROR(VLOOKUP(C144,Monsters!$T$4:$AH$15,4,FALSE),0))+(IF(OR(B144&lt;&gt;"Go AFK",IFERROR(VLOOKUP(C144,Monsters!$T$4:$AH$15,6,FALSE),0)=0),0,FLOOR((IF(B144="Go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AFK",IF(D144="",0,D144),0),Z143/60)*60)),0))/MAX(1,IFERROR(VLOOKUP(C144,Monsters!$T$4:$AH$15,6,FALSE),0)),1)))*(IFERROR(VLOOKUP(C144,Monsters!$T$4:$AH$15,7,FALSE),0))),0)))</f>
        <v/>
      </c>
      <c r="J144" s="7">
        <f>MAX(0,J143+IF(AND((E144="OK"),B144="Hunt"),(IF(B144="Hunt",(('Rules &amp; Formulas'!B4*N143*('Rules &amp; Formulas'!B5+O143)*IFERROR(VLOOKUP(C144,Monsters!$T$4:$AH$15,10,FALSE),0)*IFERROR(VLOOKUP(C144,Monsters!$T$4:$AH$15,9,FALSE),0))*'Rules &amp; Formulas'!B6)*IF(D144="",0,D144),0))*(IFERROR(VLOOKUP(C144,Monsters!$T$4:$AH$15,5,FALSE),0)),0)+IF(AND((E144="OK"),B144="Go AFK"),(IF(B144="Go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AFK",IF(D144="",0,D144),0),Z143/60)*60)),0))*(IFERROR(VLOOKUP(C144,Monsters!$T$4:$AH$15,5,FALSE),0)),0)-IF(AND((E144="OK"),OR(B144="Buy upgrade",B144="Forge/Scrapwork buy"),IFERROR(VLOOKUP(C144,Upgrades!$N$4:$T$47,2,FALSE),0)="scraps"),IFERROR(FLOOR(IFERROR(VLOOKUP(C144,Upgrades!$N$4:$T$47,3,FALSE),0)*(IFERROR(VLOOKUP(C144,Upgrades!$N$4:$T$47,4,FALSE),0)^(COUNTIFS($B$3:$B143,"Buy upgrade",$C$3:$C143,C144)+COUNTIFS($B$3:$B143,"Hire hunter",$C$3:$C143,C144)+COUNTIFS($B$3:$B143,"Forge/Scrapwork buy",$C$3:$C143,C144))),1),0),0))</f>
        <v/>
      </c>
      <c r="K144" s="7">
        <f>MAX(0,K143+IF(AND((E144="OK"),B144="Hunt"),IF(C144="Thornpelt Bear",(IF(B144="Hunt",(('Rules &amp; Formulas'!B4*N143*('Rules &amp; Formulas'!B5+O143)*IFERROR(VLOOKUP(C144,Monsters!$T$4:$AH$15,10,FALSE),0)*IFERROR(VLOOKUP(C144,Monsters!$T$4:$AH$15,9,FALSE),0))*'Rules &amp; Formulas'!B6)*IF(D144="",0,D144),0))*0.12,0),0)+IF(AND((E144="OK"),B144="Go AFK"),IF(C144="Thornpelt Bear",(IF(B144="Go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AFK",IF(D144="",0,D144),0),Z143/60)*60)),0))*0.12,0),0))</f>
        <v/>
      </c>
      <c r="L144" s="7">
        <f>MAX(0,L143+IF(AND((E144="OK"),B144="Hunt"),IF(C144="Dire Thornpelt",(IF(B144="Hunt",(('Rules &amp; Formulas'!B4*N143*('Rules &amp; Formulas'!B5+O143)*IFERROR(VLOOKUP(C144,Monsters!$T$4:$AH$15,10,FALSE),0)*IFERROR(VLOOKUP(C144,Monsters!$T$4:$AH$15,9,FALSE),0))*'Rules &amp; Formulas'!B6)*IF(D144="",0,D144),0))*0.1,0),0)+IF(AND((E144="OK"),B144="Go AFK"),IF(C144="Dire Thornpelt",(IF(B144="Go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AFK",IF(D144="",0,D144),0),Z143/60)*60)),0))*0.1,0),0))</f>
        <v/>
      </c>
      <c r="M144" s="7">
        <f>IF(AND((E144="OK"),B144="Go AFK"),MAX(0,MIN(('Rules &amp; Formulas'!B15+25*AJ143),M143+('Rules &amp; Formulas'!B14+0.4*AJ143)*(MIN(IF(B144="Go AFK",IF(D144="",0,D144),0),Z143/60)*60))-(IF(B144="Go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AFK",IF(D144="",0,D144),0),Z143/60)*60)),0))*(IF((IFERROR(VLOOKUP(C144,Monsters!$T$4:$AH$15,8,FALSE),0))=0,0.35,IFERROR(VLOOKUP(C144,Monsters!$T$4:$AH$15,8,FALSE),0))/(1+0.08*AK143))),MIN(('Rules &amp; Formulas'!B15+25*AJ144),M143))</f>
        <v/>
      </c>
      <c r="N144" s="7">
        <f>(1+0.08+0.12*AA144+0.12*AB144+0.16*AC144)</f>
        <v/>
      </c>
      <c r="O144" s="7">
        <f>((AD144&gt;=1)*1*(1+0.3*AE144))</f>
        <v/>
      </c>
      <c r="P144" s="7">
        <f>IF(OR(B144="Hunt",B144="Go AFK"),(('Rules &amp; Formulas'!B4*N143*('Rules &amp; Formulas'!B5+O143)*IFERROR(VLOOKUP(C144,Monsters!$T$4:$AH$15,10,FALSE),0)*IFERROR(VLOOKUP(C144,Monsters!$T$4:$AH$15,9,FALSE),0))*'Rules &amp; Formulas'!B6),"")</f>
        <v/>
      </c>
      <c r="Q144" s="7">
        <f>IF(OR(B144="Hunt",B144="Go AFK"),('Rules &amp; Formulas'!B4*N143*('Rules &amp; Formulas'!B5+O143)*IFERROR(VLOOKUP(C144,Monsters!$T$4:$AH$15,10,FALSE),0)*IFERROR(VLOOKUP(C144,Monsters!$T$4:$AH$15,9,FALSE),0)),"")</f>
        <v/>
      </c>
      <c r="R144" s="7">
        <f>IF(AND((E144="OK"),B144="Hunt"),IF(B144="Hunt",(('Rules &amp; Formulas'!B4*N143*('Rules &amp; Formulas'!B5+O143)*IFERROR(VLOOKUP(C144,Monsters!$T$4:$AH$15,10,FALSE),0)*IFERROR(VLOOKUP(C144,Monsters!$T$4:$AH$15,9,FALSE),0))*'Rules &amp; Formulas'!B6)*IF(D144="",0,D144),0),IF(AND((E144="OK"),B144="Go AFK"),IF(B144="Go AFK",MIN(IF((IF((IFERROR(VLOOKUP(C144,Monsters!$T$4:$AH$15,8,FALSE),0))=0,0.35,IFERROR(VLOOKUP(C144,Monsters!$T$4:$AH$15,8,FALSE),0))/(1+0.08*AK143))&lt;=0,999999,FLOOR(MIN(('Rules &amp; Formulas'!B15+25*AJ143),M143+('Rules &amp; Formulas'!B14+0.4*AJ143)*(MIN(IF(B144="Go AFK",IF(D144="",0,D144),0),Z143/60)*60))/(IF((IFERROR(VLOOKUP(C144,Monsters!$T$4:$AH$15,8,FALSE),0))=0,0.35,IFERROR(VLOOKUP(C144,Monsters!$T$4:$AH$15,8,FALSE),0))/(1+0.08*AK143)),1)),('Rules &amp; Formulas'!B4*N143*('Rules &amp; Formulas'!B5+O143)*IFERROR(VLOOKUP(C144,Monsters!$T$4:$AH$15,10,FALSE),0)*IFERROR(VLOOKUP(C144,Monsters!$T$4:$AH$15,9,FALSE),0))*(MIN(IF(B144="Go AFK",IF(D144="",0,D144),0),Z143/60)*60)),0),0))</f>
        <v/>
      </c>
      <c r="S144" s="7">
        <f>(105/'Rules &amp; Formulas'!B10)*'Rules &amp; Formulas'!B11</f>
        <v/>
      </c>
      <c r="T144" s="7">
        <f>IF(AD143&gt;=1,(MAX(1,ROUND('Rules &amp; Formulas'!B18*(1+0.3*AE143)*(1+0.4*AF143),0)))*(1000/'Rules &amp; Formulas'!B19)*MIN(0.95,'Rules &amp; Formulas'!B20*SQRT(1+0.55*(AG143&gt;=1))),0)</f>
        <v/>
      </c>
      <c r="U144" s="7">
        <f>S144+T144</f>
        <v/>
      </c>
      <c r="V144" s="7">
        <f>IF(I143&gt;=IF((IFERROR(VLOOKUP(C144,Monsters!$T$4:$AH$15,15,FALSE),0))=0,120,IFERROR(VLOOKUP(C144,Monsters!$T$4:$AH$15,15,FALSE),0)),"YES","no")</f>
        <v/>
      </c>
      <c r="W144" s="7">
        <f>IF(AND(B144="Fight boss",E144="OK"),IF((((105/'Rules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Formulas'!B20*SQRT(1+0.55*(AG143&gt;=1))),0)))),"")</f>
        <v/>
      </c>
      <c r="X144" s="7">
        <f>IF(AND(B144="Fight boss",E144="OK"),IF((IF((((105/'Rules &amp; Formulas'!B10)*'Rules &amp; Formulas'!B11+IF(AD143&gt;=1,(MAX(1,ROUND('Rules &amp; Formulas'!B18*(1+0.3*AE143)*(1+0.4*AF143),0)))*(1000/'Rules &amp; Formulas'!B19)*MIN(0.95,'Rules &amp; Formulas'!B20*SQRT(1+0.55*(AG143&gt;=1))),0)))&lt;=0,9999,(IFERROR(VLOOKUP(C144,Monsters!$T$4:$AH$15,2,FALSE),0))/(((105/'Rules &amp; Formulas'!B10)*'Rules &amp; Formulas'!B11+IF(AD143&gt;=1,(MAX(1,ROUND('Rules &amp; Formulas'!B18*(1+0.3*AE143)*(1+0.4*AF143),0)))*(1000/'Rules &amp; Formulas'!B19)*MIN(0.95,'Rules &amp; Formulas'!B20*SQRT(1+0.55*(AG143&gt;=1))),0))))&lt;='Rules &amp; Formulas'!B12),"WIN","LOSE"),"")</f>
        <v/>
      </c>
      <c r="Y144" s="7">
        <f>IF(B144="Go AFK",MIN(IF(B144="Go AFK",IF(D144="",0,D144),0),Z143/60),"")</f>
        <v/>
      </c>
      <c r="Z144" s="7">
        <f>('Rules &amp; Formulas'!B13+30*AI144)</f>
        <v/>
      </c>
      <c r="AA144">
        <f>COUNTIFS($B$3:$B144,"Buy upgrade",$C$3:$C144,"Idle Power")</f>
        <v/>
      </c>
      <c r="AB144">
        <f>COUNTIFS($B$3:$B144,"Buy upgrade",$C$3:$C144,"Iron Blade")</f>
        <v/>
      </c>
      <c r="AC144">
        <f>COUNTIFS($B$3:$B144,"Buy upgrade",$C$3:$C144,"Steel Blade")</f>
        <v/>
      </c>
      <c r="AD144">
        <f>COUNTIFS($B$3:$B144,"Hire hunter",$C$3:$C144,"Briar")+COUNTIFS($B$3:$B144,"Buy upgrade",$C$3:$C144,"Hire Briar")</f>
        <v/>
      </c>
      <c r="AE144">
        <f>COUNTIFS($B$3:$B144,"Buy upgrade",$C$3:$C144,"Hunter Power")</f>
        <v/>
      </c>
      <c r="AF144">
        <f>COUNTIFS($B$3:$B144,"Buy upgrade",$C$3:$C144,"Bigger Hits")</f>
        <v/>
      </c>
      <c r="AG144">
        <f>COUNTIFS($B$3:$B144,"Buy upgrade",$C$3:$C144,"Swift Walk")</f>
        <v/>
      </c>
      <c r="AH144">
        <f>COUNTIFS($B$3:$B144,"Buy upgrade",$C$3:$C144,"Loot Luck")</f>
        <v/>
      </c>
      <c r="AI144">
        <f>COUNTIFS($B$3:$B144,"Buy upgrade",$C$3:$C144,"Offline Cap")</f>
        <v/>
      </c>
      <c r="AJ144">
        <f>COUNTIFS($B$3:$B144,"Buy upgrade",$C$3:$C144,"Bigger Food Stock")</f>
        <v/>
      </c>
      <c r="AK144">
        <f>COUNTIFS($B$3:$B144,"Buy upgrade",$C$3:$C144,"Food Efficiency")</f>
        <v/>
      </c>
    </row>
    <row r="145">
      <c r="A145" t="n">
        <v>143</v>
      </c>
      <c r="B145" s="6" t="n"/>
      <c r="C145" s="6" t="n"/>
      <c r="D145" s="6" t="n"/>
      <c r="E145" s="7">
        <f>IF(B145="","",IF(OR(B145="Hunt",B145="Go AFK"),IF(C145="","Can't","OK"),IF(B145="Fight boss",IF(I144&lt;IF((IFERROR(VLOOKUP(C145,Monsters!$T$4:$AH$15,15,FALSE),0))=0,120,IFERROR(VLOOKUP(C145,Monsters!$T$4:$AH$15,15,FALSE),0)),"Can't","OK"),IF(B145="Hire hunter",IF(AND(C145="Briar",AD144&gt;=1),"Can't",IF(H144&lt;IF(C145="Briar",140,IF(C145="Quill",3650,IF(C145="Moss",4850,IF(C145="Ember",12200,0)))),"Can't","OK")),IF(OR(B145="Buy upgrade",B145="Forge/Scrapwork buy"),IF(IFERROR(VLOOKUP(C145,Upgrades!$N$4:$T$47,2,FALSE),0)="points","Can't",IF(IFERROR(VLOOKUP(C145,Upgrades!$N$4:$T$47,2,FALSE),0)="gold",IF(H144&lt;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buy",$C$3:$C144,C145))),1),0),"Can't","OK"),IF(IFERROR(VLOOKUP(C145,Upgrades!$N$4:$T$47,2,FALSE),0)="scraps",IF(J144&lt;IFERROR(FLOOR(IFERROR(VLOOKUP(C145,Upgrades!$N$4:$T$47,3,FALSE),0)*(IFERROR(VLOOKUP(C145,Upgrades!$N$4:$T$47,4,FALSE),0)^(COUNTIFS($B$3:$B144,"Buy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buy",$C$3:$C144,C145))),1),0),"Can't","OK"),IF(IFERROR(VLOOKUP(C145,Upgrades!$N$4:$T$47,2,FALSE),0)="mats","Can't","OK")))),"Check")))))</f>
        <v/>
      </c>
      <c r="F145" s="7">
        <f>IF(B145="","",IF(AND(B145="Fight boss",I144&lt;IF((IFERROR(VLOOKUP(C145,Monsters!$T$4:$AH$15,15,FALSE),0))=0,120,IFERROR(VLOOKUP(C145,Monsters!$T$4:$AH$15,15,FALSE),0))),"Can't — need "&amp;TEXT(IF((IFERROR(VLOOKUP(C145,Monsters!$T$4:$AH$15,15,FALSE),0))=0,120,IFERROR(VLOOKUP(C145,Monsters!$T$4:$AH$15,15,FALSE),0))-I144,"0.0")&amp;" more Slayer points on the meter",IF(AND(B145="Hire hunter",C145="Briar",AD144&gt;=1),"Can't — already hired",IF(AND(B145="Hire hunter",H144&lt;IF(C145="Briar",140,IF(C145="Quill",3650,IF(C145="Moss",4850,IF(C145="Ember",12200,0))))),"Can't — need "&amp;TEXT(IF(C145="Briar",140,IF(C145="Quill",3650,IF(C145="Moss",4850,IF(C145="Ember",12200,0))))-H144,"0")&amp;" more gold",IF(AND(OR(B145="Buy upgrade",B145="Forge/Scrapwork buy"),IFERROR(VLOOKUP(C145,Upgrades!$N$4:$T$47,2,FALSE),0)="points"),"Can't — Sp-wallet spends not tracked here",IF(AND(OR(B145="Buy upgrade",B145="Forge/Scrapwork buy"),IFERROR(VLOOKUP(C145,Upgrades!$N$4:$T$47,2,FALSE),0)="gold",H144&lt;IFERROR(FLOOR(IFERROR(VLOOKUP(C145,Upgrades!$N$4:$T$47,3,FALSE),0)*(IFERROR(VLOOKUP(C145,Upgrades!$N$4:$T$47,4,FALSE),0)^(COUNTIFS($B$3:$B144,"Buy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buy",$C$3:$C144,C145))),1),0)),"Can't — need "&amp;TEXT(IFERROR(FLOOR(IFERROR(VLOOKUP(C145,Upgrades!$N$4:$T$47,3,FALSE),0)*(IFERROR(VLOOKUP(C145,Upgrades!$N$4:$T$47,4,FALSE),0)^(COUNTIFS($B$3:$B144,"Buy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buy",$C$3:$C144,C145))),1),0)-H144,"0")&amp;" more gold",IF(AND(OR(B145="Buy upgrade",B145="Forge/Scrapwork buy"),IFERROR(VLOOKUP(C145,Upgrades!$N$4:$T$47,2,FALSE),0)="scraps",J144&lt;IFERROR(FLOOR(IFERROR(VLOOKUP(C145,Upgrades!$N$4:$T$47,3,FALSE),0)*(IFERROR(VLOOKUP(C145,Upgrades!$N$4:$T$47,4,FALSE),0)^(COUNTIFS($B$3:$B144,"Buy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buy",$C$3:$C144,C145))),1),0)),"Can't — need "&amp;TEXT(IFERROR(FLOOR(IFERROR(VLOOKUP(C145,Upgrades!$N$4:$T$47,3,FALSE),0)*(IFERROR(VLOOKUP(C145,Upgrades!$N$4:$T$47,4,FALSE),0)^(COUNTIFS($B$3:$B144,"Buy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buy",$C$3:$C144,C145))),1),0)-J144,"0")&amp;" more scraps",IF(AND(B145="Fight boss",E145="OK",(IF((((105/'Rules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Formulas'!B12)),"WIN — boss down, next Level unlocks",IF(AND(B145="Fight boss",E145="OK"),"LOSE — TTK "&amp;TEXT(IF((((105/'Rules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Formulas'!B20*SQRT(1+0.55*(AG144&gt;=1))),0)))),"0")&amp;"s &gt; patience "&amp;TEXT('Rules &amp; Formulas'!B12,"0")&amp;"s (leave resets HP)",IF(B145="Go AFK","AFK resolved (see AFK counted h)","Applied")))))))))</f>
        <v/>
      </c>
      <c r="G145" s="7">
        <f>IF(AND((E145="OK"),B145="Fight boss",(IF((((105/'Rules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Formulas'!B12),C145="Elder Thornpelt"),2,IF(AND((E145="OK"),B145="Fight boss",(IF((((105/'Rules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Formulas'!B12),C145="Ashfang Alpha"),3,G144))</f>
        <v/>
      </c>
      <c r="H145" s="7">
        <f>MAX(0,H144+IF(AND((E145="OK"),B145="Hunt"),(IF(B145="Hunt",(('Rules &amp; Formulas'!B4*N144*('Rules &amp; Formulas'!B5+O144)*IFERROR(VLOOKUP(C145,Monsters!$T$4:$AH$15,10,FALSE),0)*IFERROR(VLOOKUP(C145,Monsters!$T$4:$AH$15,9,FALSE),0))*'Rules &amp; Formulas'!B6)*IF(D145="",0,D145),0))*(IFERROR(VLOOKUP(C145,Monsters!$T$4:$AH$15,3,FALSE),0))*(1+0.1*AH144)+(IF(OR(B145&lt;&gt;"Hunt",IFERROR(VLOOKUP(C145,Monsters!$T$4:$AH$15,6,FALSE),0)=0),0,FLOOR((IF(B145="Hunt",(('Rules &amp; Formulas'!B4*N144*('Rules &amp; Formulas'!B5+O144)*IFERROR(VLOOKUP(C145,Monsters!$T$4:$AH$15,10,FALSE),0)*IFERROR(VLOOKUP(C145,Monsters!$T$4:$AH$15,9,FALSE),0))*'Rules &amp; Formulas'!B6)*IF(D145="",0,D145),0))/MAX(1,IFERROR(VLOOKUP(C145,Monsters!$T$4:$AH$15,6,FALSE),0)),1)))*(IFERROR(VLOOKUP(C145,Monsters!$T$4:$AH$15,7,FALSE),0))*0.5*(1+0.1*AH144),0)+IF(AND((E145="OK"),B145="Go AFK"),(IF(B145="Go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AFK",IF(D145="",0,D145),0),Z144/60)*60)),0))*(IFERROR(VLOOKUP(C145,Monsters!$T$4:$AH$15,3,FALSE),0))*(1+0.1*AH144)+(IF(OR(B145&lt;&gt;"Go AFK",IFERROR(VLOOKUP(C145,Monsters!$T$4:$AH$15,6,FALSE),0)=0),0,FLOOR((IF(B145="Go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AFK",IF(D145="",0,D145),0),Z144/60)*60)),0))/MAX(1,IFERROR(VLOOKUP(C145,Monsters!$T$4:$AH$15,6,FALSE),0)),1)))*(IFERROR(VLOOKUP(C145,Monsters!$T$4:$AH$15,7,FALSE),0))*0.5*(1+0.1*AH144),0)+IF(AND((E145="OK"),B145="Fight boss",(IF((((105/'Rules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Formulas'!B12)),IFERROR(VLOOKUP(C145,Monsters!$T$4:$AH$15,3,FALSE),0),0)-IF(AND((E145="OK"),OR(B145="Buy upgrade",B145="Forge/Scrapwork buy"),IFERROR(VLOOKUP(C145,Upgrades!$N$4:$T$47,2,FALSE),0)="gold"),IFERROR(FLOOR(IFERROR(VLOOKUP(C145,Upgrades!$N$4:$T$47,3,FALSE),0)*(IFERROR(VLOOKUP(C145,Upgrades!$N$4:$T$47,4,FALSE),0)^(COUNTIFS($B$3:$B144,"Buy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buy",$C$3:$C144,C145))),1),0),0)-IF(AND((E145="OK"),B145="Hire hunter"),IF(C145="Briar",140,IF(C145="Quill",3650,IF(C145="Moss",4850,IF(C145="Ember",12200,0)))),0))</f>
        <v/>
      </c>
      <c r="I145" s="7">
        <f>IF(AND((E145="OK"),B145="Fight boss",(IF((((105/'Rules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Formulas'!B12)),0,MIN(IF(G144&lt;=1,120,IF(G144=2,280,600)),I144+IF(AND((E145="OK"),B145="Hunt"),((IF(B145="Hunt",(('Rules &amp; Formulas'!B4*N144*('Rules &amp; Formulas'!B5+O144)*IFERROR(VLOOKUP(C145,Monsters!$T$4:$AH$15,10,FALSE),0)*IFERROR(VLOOKUP(C145,Monsters!$T$4:$AH$15,9,FALSE),0))*'Rules &amp; Formulas'!B6)*IF(D145="",0,D145),0))*(IFERROR(VLOOKUP(C145,Monsters!$T$4:$AH$15,4,FALSE),0))+(IF(OR(B145&lt;&gt;"Hunt",IFERROR(VLOOKUP(C145,Monsters!$T$4:$AH$15,6,FALSE),0)=0),0,FLOOR((IF(B145="Hunt",(('Rules &amp; Formulas'!B4*N144*('Rules &amp; Formulas'!B5+O144)*IFERROR(VLOOKUP(C145,Monsters!$T$4:$AH$15,10,FALSE),0)*IFERROR(VLOOKUP(C145,Monsters!$T$4:$AH$15,9,FALSE),0))*'Rules &amp; Formulas'!B6)*IF(D145="",0,D145),0))/MAX(1,IFERROR(VLOOKUP(C145,Monsters!$T$4:$AH$15,6,FALSE),0)),1)))*(IFERROR(VLOOKUP(C145,Monsters!$T$4:$AH$15,7,FALSE),0))),0)+IF(AND((E145="OK"),B145="Go AFK"),((IF(B145="Go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AFK",IF(D145="",0,D145),0),Z144/60)*60)),0))*(IFERROR(VLOOKUP(C145,Monsters!$T$4:$AH$15,4,FALSE),0))+(IF(OR(B145&lt;&gt;"Go AFK",IFERROR(VLOOKUP(C145,Monsters!$T$4:$AH$15,6,FALSE),0)=0),0,FLOOR((IF(B145="Go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AFK",IF(D145="",0,D145),0),Z144/60)*60)),0))/MAX(1,IFERROR(VLOOKUP(C145,Monsters!$T$4:$AH$15,6,FALSE),0)),1)))*(IFERROR(VLOOKUP(C145,Monsters!$T$4:$AH$15,7,FALSE),0))),0)))</f>
        <v/>
      </c>
      <c r="J145" s="7">
        <f>MAX(0,J144+IF(AND((E145="OK"),B145="Hunt"),(IF(B145="Hunt",(('Rules &amp; Formulas'!B4*N144*('Rules &amp; Formulas'!B5+O144)*IFERROR(VLOOKUP(C145,Monsters!$T$4:$AH$15,10,FALSE),0)*IFERROR(VLOOKUP(C145,Monsters!$T$4:$AH$15,9,FALSE),0))*'Rules &amp; Formulas'!B6)*IF(D145="",0,D145),0))*(IFERROR(VLOOKUP(C145,Monsters!$T$4:$AH$15,5,FALSE),0)),0)+IF(AND((E145="OK"),B145="Go AFK"),(IF(B145="Go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AFK",IF(D145="",0,D145),0),Z144/60)*60)),0))*(IFERROR(VLOOKUP(C145,Monsters!$T$4:$AH$15,5,FALSE),0)),0)-IF(AND((E145="OK"),OR(B145="Buy upgrade",B145="Forge/Scrapwork buy"),IFERROR(VLOOKUP(C145,Upgrades!$N$4:$T$47,2,FALSE),0)="scraps"),IFERROR(FLOOR(IFERROR(VLOOKUP(C145,Upgrades!$N$4:$T$47,3,FALSE),0)*(IFERROR(VLOOKUP(C145,Upgrades!$N$4:$T$47,4,FALSE),0)^(COUNTIFS($B$3:$B144,"Buy upgrade",$C$3:$C144,C145)+COUNTIFS($B$3:$B144,"Hire hunter",$C$3:$C144,C145)+COUNTIFS($B$3:$B144,"Forge/Scrapwork buy",$C$3:$C144,C145))),1),0),0))</f>
        <v/>
      </c>
      <c r="K145" s="7">
        <f>MAX(0,K144+IF(AND((E145="OK"),B145="Hunt"),IF(C145="Thornpelt Bear",(IF(B145="Hunt",(('Rules &amp; Formulas'!B4*N144*('Rules &amp; Formulas'!B5+O144)*IFERROR(VLOOKUP(C145,Monsters!$T$4:$AH$15,10,FALSE),0)*IFERROR(VLOOKUP(C145,Monsters!$T$4:$AH$15,9,FALSE),0))*'Rules &amp; Formulas'!B6)*IF(D145="",0,D145),0))*0.12,0),0)+IF(AND((E145="OK"),B145="Go AFK"),IF(C145="Thornpelt Bear",(IF(B145="Go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AFK",IF(D145="",0,D145),0),Z144/60)*60)),0))*0.12,0),0))</f>
        <v/>
      </c>
      <c r="L145" s="7">
        <f>MAX(0,L144+IF(AND((E145="OK"),B145="Hunt"),IF(C145="Dire Thornpelt",(IF(B145="Hunt",(('Rules &amp; Formulas'!B4*N144*('Rules &amp; Formulas'!B5+O144)*IFERROR(VLOOKUP(C145,Monsters!$T$4:$AH$15,10,FALSE),0)*IFERROR(VLOOKUP(C145,Monsters!$T$4:$AH$15,9,FALSE),0))*'Rules &amp; Formulas'!B6)*IF(D145="",0,D145),0))*0.1,0),0)+IF(AND((E145="OK"),B145="Go AFK"),IF(C145="Dire Thornpelt",(IF(B145="Go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AFK",IF(D145="",0,D145),0),Z144/60)*60)),0))*0.1,0),0))</f>
        <v/>
      </c>
      <c r="M145" s="7">
        <f>IF(AND((E145="OK"),B145="Go AFK"),MAX(0,MIN(('Rules &amp; Formulas'!B15+25*AJ144),M144+('Rules &amp; Formulas'!B14+0.4*AJ144)*(MIN(IF(B145="Go AFK",IF(D145="",0,D145),0),Z144/60)*60))-(IF(B145="Go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AFK",IF(D145="",0,D145),0),Z144/60)*60)),0))*(IF((IFERROR(VLOOKUP(C145,Monsters!$T$4:$AH$15,8,FALSE),0))=0,0.35,IFERROR(VLOOKUP(C145,Monsters!$T$4:$AH$15,8,FALSE),0))/(1+0.08*AK144))),MIN(('Rules &amp; Formulas'!B15+25*AJ145),M144))</f>
        <v/>
      </c>
      <c r="N145" s="7">
        <f>(1+0.08+0.12*AA145+0.12*AB145+0.16*AC145)</f>
        <v/>
      </c>
      <c r="O145" s="7">
        <f>((AD145&gt;=1)*1*(1+0.3*AE145))</f>
        <v/>
      </c>
      <c r="P145" s="7">
        <f>IF(OR(B145="Hunt",B145="Go AFK"),(('Rules &amp; Formulas'!B4*N144*('Rules &amp; Formulas'!B5+O144)*IFERROR(VLOOKUP(C145,Monsters!$T$4:$AH$15,10,FALSE),0)*IFERROR(VLOOKUP(C145,Monsters!$T$4:$AH$15,9,FALSE),0))*'Rules &amp; Formulas'!B6),"")</f>
        <v/>
      </c>
      <c r="Q145" s="7">
        <f>IF(OR(B145="Hunt",B145="Go AFK"),('Rules &amp; Formulas'!B4*N144*('Rules &amp; Formulas'!B5+O144)*IFERROR(VLOOKUP(C145,Monsters!$T$4:$AH$15,10,FALSE),0)*IFERROR(VLOOKUP(C145,Monsters!$T$4:$AH$15,9,FALSE),0)),"")</f>
        <v/>
      </c>
      <c r="R145" s="7">
        <f>IF(AND((E145="OK"),B145="Hunt"),IF(B145="Hunt",(('Rules &amp; Formulas'!B4*N144*('Rules &amp; Formulas'!B5+O144)*IFERROR(VLOOKUP(C145,Monsters!$T$4:$AH$15,10,FALSE),0)*IFERROR(VLOOKUP(C145,Monsters!$T$4:$AH$15,9,FALSE),0))*'Rules &amp; Formulas'!B6)*IF(D145="",0,D145),0),IF(AND((E145="OK"),B145="Go AFK"),IF(B145="Go AFK",MIN(IF((IF((IFERROR(VLOOKUP(C145,Monsters!$T$4:$AH$15,8,FALSE),0))=0,0.35,IFERROR(VLOOKUP(C145,Monsters!$T$4:$AH$15,8,FALSE),0))/(1+0.08*AK144))&lt;=0,999999,FLOOR(MIN(('Rules &amp; Formulas'!B15+25*AJ144),M144+('Rules &amp; Formulas'!B14+0.4*AJ144)*(MIN(IF(B145="Go AFK",IF(D145="",0,D145),0),Z144/60)*60))/(IF((IFERROR(VLOOKUP(C145,Monsters!$T$4:$AH$15,8,FALSE),0))=0,0.35,IFERROR(VLOOKUP(C145,Monsters!$T$4:$AH$15,8,FALSE),0))/(1+0.08*AK144)),1)),('Rules &amp; Formulas'!B4*N144*('Rules &amp; Formulas'!B5+O144)*IFERROR(VLOOKUP(C145,Monsters!$T$4:$AH$15,10,FALSE),0)*IFERROR(VLOOKUP(C145,Monsters!$T$4:$AH$15,9,FALSE),0))*(MIN(IF(B145="Go AFK",IF(D145="",0,D145),0),Z144/60)*60)),0),0))</f>
        <v/>
      </c>
      <c r="S145" s="7">
        <f>(105/'Rules &amp; Formulas'!B10)*'Rules &amp; Formulas'!B11</f>
        <v/>
      </c>
      <c r="T145" s="7">
        <f>IF(AD144&gt;=1,(MAX(1,ROUND('Rules &amp; Formulas'!B18*(1+0.3*AE144)*(1+0.4*AF144),0)))*(1000/'Rules &amp; Formulas'!B19)*MIN(0.95,'Rules &amp; Formulas'!B20*SQRT(1+0.55*(AG144&gt;=1))),0)</f>
        <v/>
      </c>
      <c r="U145" s="7">
        <f>S145+T145</f>
        <v/>
      </c>
      <c r="V145" s="7">
        <f>IF(I144&gt;=IF((IFERROR(VLOOKUP(C145,Monsters!$T$4:$AH$15,15,FALSE),0))=0,120,IFERROR(VLOOKUP(C145,Monsters!$T$4:$AH$15,15,FALSE),0)),"YES","no")</f>
        <v/>
      </c>
      <c r="W145" s="7">
        <f>IF(AND(B145="Fight boss",E145="OK"),IF((((105/'Rules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Formulas'!B20*SQRT(1+0.55*(AG144&gt;=1))),0)))),"")</f>
        <v/>
      </c>
      <c r="X145" s="7">
        <f>IF(AND(B145="Fight boss",E145="OK"),IF((IF((((105/'Rules &amp; Formulas'!B10)*'Rules &amp; Formulas'!B11+IF(AD144&gt;=1,(MAX(1,ROUND('Rules &amp; Formulas'!B18*(1+0.3*AE144)*(1+0.4*AF144),0)))*(1000/'Rules &amp; Formulas'!B19)*MIN(0.95,'Rules &amp; Formulas'!B20*SQRT(1+0.55*(AG144&gt;=1))),0)))&lt;=0,9999,(IFERROR(VLOOKUP(C145,Monsters!$T$4:$AH$15,2,FALSE),0))/(((105/'Rules &amp; Formulas'!B10)*'Rules &amp; Formulas'!B11+IF(AD144&gt;=1,(MAX(1,ROUND('Rules &amp; Formulas'!B18*(1+0.3*AE144)*(1+0.4*AF144),0)))*(1000/'Rules &amp; Formulas'!B19)*MIN(0.95,'Rules &amp; Formulas'!B20*SQRT(1+0.55*(AG144&gt;=1))),0))))&lt;='Rules &amp; Formulas'!B12),"WIN","LOSE"),"")</f>
        <v/>
      </c>
      <c r="Y145" s="7">
        <f>IF(B145="Go AFK",MIN(IF(B145="Go AFK",IF(D145="",0,D145),0),Z144/60),"")</f>
        <v/>
      </c>
      <c r="Z145" s="7">
        <f>('Rules &amp; Formulas'!B13+30*AI145)</f>
        <v/>
      </c>
      <c r="AA145">
        <f>COUNTIFS($B$3:$B145,"Buy upgrade",$C$3:$C145,"Idle Power")</f>
        <v/>
      </c>
      <c r="AB145">
        <f>COUNTIFS($B$3:$B145,"Buy upgrade",$C$3:$C145,"Iron Blade")</f>
        <v/>
      </c>
      <c r="AC145">
        <f>COUNTIFS($B$3:$B145,"Buy upgrade",$C$3:$C145,"Steel Blade")</f>
        <v/>
      </c>
      <c r="AD145">
        <f>COUNTIFS($B$3:$B145,"Hire hunter",$C$3:$C145,"Briar")+COUNTIFS($B$3:$B145,"Buy upgrade",$C$3:$C145,"Hire Briar")</f>
        <v/>
      </c>
      <c r="AE145">
        <f>COUNTIFS($B$3:$B145,"Buy upgrade",$C$3:$C145,"Hunter Power")</f>
        <v/>
      </c>
      <c r="AF145">
        <f>COUNTIFS($B$3:$B145,"Buy upgrade",$C$3:$C145,"Bigger Hits")</f>
        <v/>
      </c>
      <c r="AG145">
        <f>COUNTIFS($B$3:$B145,"Buy upgrade",$C$3:$C145,"Swift Walk")</f>
        <v/>
      </c>
      <c r="AH145">
        <f>COUNTIFS($B$3:$B145,"Buy upgrade",$C$3:$C145,"Loot Luck")</f>
        <v/>
      </c>
      <c r="AI145">
        <f>COUNTIFS($B$3:$B145,"Buy upgrade",$C$3:$C145,"Offline Cap")</f>
        <v/>
      </c>
      <c r="AJ145">
        <f>COUNTIFS($B$3:$B145,"Buy upgrade",$C$3:$C145,"Bigger Food Stock")</f>
        <v/>
      </c>
      <c r="AK145">
        <f>COUNTIFS($B$3:$B145,"Buy upgrade",$C$3:$C145,"Food Efficiency")</f>
        <v/>
      </c>
    </row>
    <row r="146">
      <c r="A146" t="n">
        <v>144</v>
      </c>
      <c r="B146" s="6" t="n"/>
      <c r="C146" s="6" t="n"/>
      <c r="D146" s="6" t="n"/>
      <c r="E146" s="7">
        <f>IF(B146="","",IF(OR(B146="Hunt",B146="Go AFK"),IF(C146="","Can't","OK"),IF(B146="Fight boss",IF(I145&lt;IF((IFERROR(VLOOKUP(C146,Monsters!$T$4:$AH$15,15,FALSE),0))=0,120,IFERROR(VLOOKUP(C146,Monsters!$T$4:$AH$15,15,FALSE),0)),"Can't","OK"),IF(B146="Hire hunter",IF(AND(C146="Briar",AD145&gt;=1),"Can't",IF(H145&lt;IF(C146="Briar",140,IF(C146="Quill",3650,IF(C146="Moss",4850,IF(C146="Ember",12200,0)))),"Can't","OK")),IF(OR(B146="Buy upgrade",B146="Forge/Scrapwork buy"),IF(IFERROR(VLOOKUP(C146,Upgrades!$N$4:$T$47,2,FALSE),0)="points","Can't",IF(IFERROR(VLOOKUP(C146,Upgrades!$N$4:$T$47,2,FALSE),0)="gold",IF(H145&lt;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buy",$C$3:$C145,C146))),1),0),"Can't","OK"),IF(IFERROR(VLOOKUP(C146,Upgrades!$N$4:$T$47,2,FALSE),0)="scraps",IF(J145&lt;IFERROR(FLOOR(IFERROR(VLOOKUP(C146,Upgrades!$N$4:$T$47,3,FALSE),0)*(IFERROR(VLOOKUP(C146,Upgrades!$N$4:$T$47,4,FALSE),0)^(COUNTIFS($B$3:$B145,"Buy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buy",$C$3:$C145,C146))),1),0),"Can't","OK"),IF(IFERROR(VLOOKUP(C146,Upgrades!$N$4:$T$47,2,FALSE),0)="mats","Can't","OK")))),"Check")))))</f>
        <v/>
      </c>
      <c r="F146" s="7">
        <f>IF(B146="","",IF(AND(B146="Fight boss",I145&lt;IF((IFERROR(VLOOKUP(C146,Monsters!$T$4:$AH$15,15,FALSE),0))=0,120,IFERROR(VLOOKUP(C146,Monsters!$T$4:$AH$15,15,FALSE),0))),"Can't — need "&amp;TEXT(IF((IFERROR(VLOOKUP(C146,Monsters!$T$4:$AH$15,15,FALSE),0))=0,120,IFERROR(VLOOKUP(C146,Monsters!$T$4:$AH$15,15,FALSE),0))-I145,"0.0")&amp;" more Slayer points on the meter",IF(AND(B146="Hire hunter",C146="Briar",AD145&gt;=1),"Can't — already hired",IF(AND(B146="Hire hunter",H145&lt;IF(C146="Briar",140,IF(C146="Quill",3650,IF(C146="Moss",4850,IF(C146="Ember",12200,0))))),"Can't — need "&amp;TEXT(IF(C146="Briar",140,IF(C146="Quill",3650,IF(C146="Moss",4850,IF(C146="Ember",12200,0))))-H145,"0")&amp;" more gold",IF(AND(OR(B146="Buy upgrade",B146="Forge/Scrapwork buy"),IFERROR(VLOOKUP(C146,Upgrades!$N$4:$T$47,2,FALSE),0)="points"),"Can't — Sp-wallet spends not tracked here",IF(AND(OR(B146="Buy upgrade",B146="Forge/Scrapwork buy"),IFERROR(VLOOKUP(C146,Upgrades!$N$4:$T$47,2,FALSE),0)="gold",H145&lt;IFERROR(FLOOR(IFERROR(VLOOKUP(C146,Upgrades!$N$4:$T$47,3,FALSE),0)*(IFERROR(VLOOKUP(C146,Upgrades!$N$4:$T$47,4,FALSE),0)^(COUNTIFS($B$3:$B145,"Buy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buy",$C$3:$C145,C146))),1),0)),"Can't — need "&amp;TEXT(IFERROR(FLOOR(IFERROR(VLOOKUP(C146,Upgrades!$N$4:$T$47,3,FALSE),0)*(IFERROR(VLOOKUP(C146,Upgrades!$N$4:$T$47,4,FALSE),0)^(COUNTIFS($B$3:$B145,"Buy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buy",$C$3:$C145,C146))),1),0)-H145,"0")&amp;" more gold",IF(AND(OR(B146="Buy upgrade",B146="Forge/Scrapwork buy"),IFERROR(VLOOKUP(C146,Upgrades!$N$4:$T$47,2,FALSE),0)="scraps",J145&lt;IFERROR(FLOOR(IFERROR(VLOOKUP(C146,Upgrades!$N$4:$T$47,3,FALSE),0)*(IFERROR(VLOOKUP(C146,Upgrades!$N$4:$T$47,4,FALSE),0)^(COUNTIFS($B$3:$B145,"Buy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buy",$C$3:$C145,C146))),1),0)),"Can't — need "&amp;TEXT(IFERROR(FLOOR(IFERROR(VLOOKUP(C146,Upgrades!$N$4:$T$47,3,FALSE),0)*(IFERROR(VLOOKUP(C146,Upgrades!$N$4:$T$47,4,FALSE),0)^(COUNTIFS($B$3:$B145,"Buy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buy",$C$3:$C145,C146))),1),0)-J145,"0")&amp;" more scraps",IF(AND(B146="Fight boss",E146="OK",(IF((((105/'Rules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Formulas'!B12)),"WIN — boss down, next Level unlocks",IF(AND(B146="Fight boss",E146="OK"),"LOSE — TTK "&amp;TEXT(IF((((105/'Rules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Formulas'!B20*SQRT(1+0.55*(AG145&gt;=1))),0)))),"0")&amp;"s &gt; patience "&amp;TEXT('Rules &amp; Formulas'!B12,"0")&amp;"s (leave resets HP)",IF(B146="Go AFK","AFK resolved (see AFK counted h)","Applied")))))))))</f>
        <v/>
      </c>
      <c r="G146" s="7">
        <f>IF(AND((E146="OK"),B146="Fight boss",(IF((((105/'Rules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Formulas'!B12),C146="Elder Thornpelt"),2,IF(AND((E146="OK"),B146="Fight boss",(IF((((105/'Rules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Formulas'!B12),C146="Ashfang Alpha"),3,G145))</f>
        <v/>
      </c>
      <c r="H146" s="7">
        <f>MAX(0,H145+IF(AND((E146="OK"),B146="Hunt"),(IF(B146="Hunt",(('Rules &amp; Formulas'!B4*N145*('Rules &amp; Formulas'!B5+O145)*IFERROR(VLOOKUP(C146,Monsters!$T$4:$AH$15,10,FALSE),0)*IFERROR(VLOOKUP(C146,Monsters!$T$4:$AH$15,9,FALSE),0))*'Rules &amp; Formulas'!B6)*IF(D146="",0,D146),0))*(IFERROR(VLOOKUP(C146,Monsters!$T$4:$AH$15,3,FALSE),0))*(1+0.1*AH145)+(IF(OR(B146&lt;&gt;"Hunt",IFERROR(VLOOKUP(C146,Monsters!$T$4:$AH$15,6,FALSE),0)=0),0,FLOOR((IF(B146="Hunt",(('Rules &amp; Formulas'!B4*N145*('Rules &amp; Formulas'!B5+O145)*IFERROR(VLOOKUP(C146,Monsters!$T$4:$AH$15,10,FALSE),0)*IFERROR(VLOOKUP(C146,Monsters!$T$4:$AH$15,9,FALSE),0))*'Rules &amp; Formulas'!B6)*IF(D146="",0,D146),0))/MAX(1,IFERROR(VLOOKUP(C146,Monsters!$T$4:$AH$15,6,FALSE),0)),1)))*(IFERROR(VLOOKUP(C146,Monsters!$T$4:$AH$15,7,FALSE),0))*0.5*(1+0.1*AH145),0)+IF(AND((E146="OK"),B146="Go AFK"),(IF(B146="Go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AFK",IF(D146="",0,D146),0),Z145/60)*60)),0))*(IFERROR(VLOOKUP(C146,Monsters!$T$4:$AH$15,3,FALSE),0))*(1+0.1*AH145)+(IF(OR(B146&lt;&gt;"Go AFK",IFERROR(VLOOKUP(C146,Monsters!$T$4:$AH$15,6,FALSE),0)=0),0,FLOOR((IF(B146="Go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AFK",IF(D146="",0,D146),0),Z145/60)*60)),0))/MAX(1,IFERROR(VLOOKUP(C146,Monsters!$T$4:$AH$15,6,FALSE),0)),1)))*(IFERROR(VLOOKUP(C146,Monsters!$T$4:$AH$15,7,FALSE),0))*0.5*(1+0.1*AH145),0)+IF(AND((E146="OK"),B146="Fight boss",(IF((((105/'Rules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Formulas'!B12)),IFERROR(VLOOKUP(C146,Monsters!$T$4:$AH$15,3,FALSE),0),0)-IF(AND((E146="OK"),OR(B146="Buy upgrade",B146="Forge/Scrapwork buy"),IFERROR(VLOOKUP(C146,Upgrades!$N$4:$T$47,2,FALSE),0)="gold"),IFERROR(FLOOR(IFERROR(VLOOKUP(C146,Upgrades!$N$4:$T$47,3,FALSE),0)*(IFERROR(VLOOKUP(C146,Upgrades!$N$4:$T$47,4,FALSE),0)^(COUNTIFS($B$3:$B145,"Buy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buy",$C$3:$C145,C146))),1),0),0)-IF(AND((E146="OK"),B146="Hire hunter"),IF(C146="Briar",140,IF(C146="Quill",3650,IF(C146="Moss",4850,IF(C146="Ember",12200,0)))),0))</f>
        <v/>
      </c>
      <c r="I146" s="7">
        <f>IF(AND((E146="OK"),B146="Fight boss",(IF((((105/'Rules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Formulas'!B12)),0,MIN(IF(G145&lt;=1,120,IF(G145=2,280,600)),I145+IF(AND((E146="OK"),B146="Hunt"),((IF(B146="Hunt",(('Rules &amp; Formulas'!B4*N145*('Rules &amp; Formulas'!B5+O145)*IFERROR(VLOOKUP(C146,Monsters!$T$4:$AH$15,10,FALSE),0)*IFERROR(VLOOKUP(C146,Monsters!$T$4:$AH$15,9,FALSE),0))*'Rules &amp; Formulas'!B6)*IF(D146="",0,D146),0))*(IFERROR(VLOOKUP(C146,Monsters!$T$4:$AH$15,4,FALSE),0))+(IF(OR(B146&lt;&gt;"Hunt",IFERROR(VLOOKUP(C146,Monsters!$T$4:$AH$15,6,FALSE),0)=0),0,FLOOR((IF(B146="Hunt",(('Rules &amp; Formulas'!B4*N145*('Rules &amp; Formulas'!B5+O145)*IFERROR(VLOOKUP(C146,Monsters!$T$4:$AH$15,10,FALSE),0)*IFERROR(VLOOKUP(C146,Monsters!$T$4:$AH$15,9,FALSE),0))*'Rules &amp; Formulas'!B6)*IF(D146="",0,D146),0))/MAX(1,IFERROR(VLOOKUP(C146,Monsters!$T$4:$AH$15,6,FALSE),0)),1)))*(IFERROR(VLOOKUP(C146,Monsters!$T$4:$AH$15,7,FALSE),0))),0)+IF(AND((E146="OK"),B146="Go AFK"),((IF(B146="Go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AFK",IF(D146="",0,D146),0),Z145/60)*60)),0))*(IFERROR(VLOOKUP(C146,Monsters!$T$4:$AH$15,4,FALSE),0))+(IF(OR(B146&lt;&gt;"Go AFK",IFERROR(VLOOKUP(C146,Monsters!$T$4:$AH$15,6,FALSE),0)=0),0,FLOOR((IF(B146="Go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AFK",IF(D146="",0,D146),0),Z145/60)*60)),0))/MAX(1,IFERROR(VLOOKUP(C146,Monsters!$T$4:$AH$15,6,FALSE),0)),1)))*(IFERROR(VLOOKUP(C146,Monsters!$T$4:$AH$15,7,FALSE),0))),0)))</f>
        <v/>
      </c>
      <c r="J146" s="7">
        <f>MAX(0,J145+IF(AND((E146="OK"),B146="Hunt"),(IF(B146="Hunt",(('Rules &amp; Formulas'!B4*N145*('Rules &amp; Formulas'!B5+O145)*IFERROR(VLOOKUP(C146,Monsters!$T$4:$AH$15,10,FALSE),0)*IFERROR(VLOOKUP(C146,Monsters!$T$4:$AH$15,9,FALSE),0))*'Rules &amp; Formulas'!B6)*IF(D146="",0,D146),0))*(IFERROR(VLOOKUP(C146,Monsters!$T$4:$AH$15,5,FALSE),0)),0)+IF(AND((E146="OK"),B146="Go AFK"),(IF(B146="Go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AFK",IF(D146="",0,D146),0),Z145/60)*60)),0))*(IFERROR(VLOOKUP(C146,Monsters!$T$4:$AH$15,5,FALSE),0)),0)-IF(AND((E146="OK"),OR(B146="Buy upgrade",B146="Forge/Scrapwork buy"),IFERROR(VLOOKUP(C146,Upgrades!$N$4:$T$47,2,FALSE),0)="scraps"),IFERROR(FLOOR(IFERROR(VLOOKUP(C146,Upgrades!$N$4:$T$47,3,FALSE),0)*(IFERROR(VLOOKUP(C146,Upgrades!$N$4:$T$47,4,FALSE),0)^(COUNTIFS($B$3:$B145,"Buy upgrade",$C$3:$C145,C146)+COUNTIFS($B$3:$B145,"Hire hunter",$C$3:$C145,C146)+COUNTIFS($B$3:$B145,"Forge/Scrapwork buy",$C$3:$C145,C146))),1),0),0))</f>
        <v/>
      </c>
      <c r="K146" s="7">
        <f>MAX(0,K145+IF(AND((E146="OK"),B146="Hunt"),IF(C146="Thornpelt Bear",(IF(B146="Hunt",(('Rules &amp; Formulas'!B4*N145*('Rules &amp; Formulas'!B5+O145)*IFERROR(VLOOKUP(C146,Monsters!$T$4:$AH$15,10,FALSE),0)*IFERROR(VLOOKUP(C146,Monsters!$T$4:$AH$15,9,FALSE),0))*'Rules &amp; Formulas'!B6)*IF(D146="",0,D146),0))*0.12,0),0)+IF(AND((E146="OK"),B146="Go AFK"),IF(C146="Thornpelt Bear",(IF(B146="Go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AFK",IF(D146="",0,D146),0),Z145/60)*60)),0))*0.12,0),0))</f>
        <v/>
      </c>
      <c r="L146" s="7">
        <f>MAX(0,L145+IF(AND((E146="OK"),B146="Hunt"),IF(C146="Dire Thornpelt",(IF(B146="Hunt",(('Rules &amp; Formulas'!B4*N145*('Rules &amp; Formulas'!B5+O145)*IFERROR(VLOOKUP(C146,Monsters!$T$4:$AH$15,10,FALSE),0)*IFERROR(VLOOKUP(C146,Monsters!$T$4:$AH$15,9,FALSE),0))*'Rules &amp; Formulas'!B6)*IF(D146="",0,D146),0))*0.1,0),0)+IF(AND((E146="OK"),B146="Go AFK"),IF(C146="Dire Thornpelt",(IF(B146="Go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AFK",IF(D146="",0,D146),0),Z145/60)*60)),0))*0.1,0),0))</f>
        <v/>
      </c>
      <c r="M146" s="7">
        <f>IF(AND((E146="OK"),B146="Go AFK"),MAX(0,MIN(('Rules &amp; Formulas'!B15+25*AJ145),M145+('Rules &amp; Formulas'!B14+0.4*AJ145)*(MIN(IF(B146="Go AFK",IF(D146="",0,D146),0),Z145/60)*60))-(IF(B146="Go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AFK",IF(D146="",0,D146),0),Z145/60)*60)),0))*(IF((IFERROR(VLOOKUP(C146,Monsters!$T$4:$AH$15,8,FALSE),0))=0,0.35,IFERROR(VLOOKUP(C146,Monsters!$T$4:$AH$15,8,FALSE),0))/(1+0.08*AK145))),MIN(('Rules &amp; Formulas'!B15+25*AJ146),M145))</f>
        <v/>
      </c>
      <c r="N146" s="7">
        <f>(1+0.08+0.12*AA146+0.12*AB146+0.16*AC146)</f>
        <v/>
      </c>
      <c r="O146" s="7">
        <f>((AD146&gt;=1)*1*(1+0.3*AE146))</f>
        <v/>
      </c>
      <c r="P146" s="7">
        <f>IF(OR(B146="Hunt",B146="Go AFK"),(('Rules &amp; Formulas'!B4*N145*('Rules &amp; Formulas'!B5+O145)*IFERROR(VLOOKUP(C146,Monsters!$T$4:$AH$15,10,FALSE),0)*IFERROR(VLOOKUP(C146,Monsters!$T$4:$AH$15,9,FALSE),0))*'Rules &amp; Formulas'!B6),"")</f>
        <v/>
      </c>
      <c r="Q146" s="7">
        <f>IF(OR(B146="Hunt",B146="Go AFK"),('Rules &amp; Formulas'!B4*N145*('Rules &amp; Formulas'!B5+O145)*IFERROR(VLOOKUP(C146,Monsters!$T$4:$AH$15,10,FALSE),0)*IFERROR(VLOOKUP(C146,Monsters!$T$4:$AH$15,9,FALSE),0)),"")</f>
        <v/>
      </c>
      <c r="R146" s="7">
        <f>IF(AND((E146="OK"),B146="Hunt"),IF(B146="Hunt",(('Rules &amp; Formulas'!B4*N145*('Rules &amp; Formulas'!B5+O145)*IFERROR(VLOOKUP(C146,Monsters!$T$4:$AH$15,10,FALSE),0)*IFERROR(VLOOKUP(C146,Monsters!$T$4:$AH$15,9,FALSE),0))*'Rules &amp; Formulas'!B6)*IF(D146="",0,D146),0),IF(AND((E146="OK"),B146="Go AFK"),IF(B146="Go AFK",MIN(IF((IF((IFERROR(VLOOKUP(C146,Monsters!$T$4:$AH$15,8,FALSE),0))=0,0.35,IFERROR(VLOOKUP(C146,Monsters!$T$4:$AH$15,8,FALSE),0))/(1+0.08*AK145))&lt;=0,999999,FLOOR(MIN(('Rules &amp; Formulas'!B15+25*AJ145),M145+('Rules &amp; Formulas'!B14+0.4*AJ145)*(MIN(IF(B146="Go AFK",IF(D146="",0,D146),0),Z145/60)*60))/(IF((IFERROR(VLOOKUP(C146,Monsters!$T$4:$AH$15,8,FALSE),0))=0,0.35,IFERROR(VLOOKUP(C146,Monsters!$T$4:$AH$15,8,FALSE),0))/(1+0.08*AK145)),1)),('Rules &amp; Formulas'!B4*N145*('Rules &amp; Formulas'!B5+O145)*IFERROR(VLOOKUP(C146,Monsters!$T$4:$AH$15,10,FALSE),0)*IFERROR(VLOOKUP(C146,Monsters!$T$4:$AH$15,9,FALSE),0))*(MIN(IF(B146="Go AFK",IF(D146="",0,D146),0),Z145/60)*60)),0),0))</f>
        <v/>
      </c>
      <c r="S146" s="7">
        <f>(105/'Rules &amp; Formulas'!B10)*'Rules &amp; Formulas'!B11</f>
        <v/>
      </c>
      <c r="T146" s="7">
        <f>IF(AD145&gt;=1,(MAX(1,ROUND('Rules &amp; Formulas'!B18*(1+0.3*AE145)*(1+0.4*AF145),0)))*(1000/'Rules &amp; Formulas'!B19)*MIN(0.95,'Rules &amp; Formulas'!B20*SQRT(1+0.55*(AG145&gt;=1))),0)</f>
        <v/>
      </c>
      <c r="U146" s="7">
        <f>S146+T146</f>
        <v/>
      </c>
      <c r="V146" s="7">
        <f>IF(I145&gt;=IF((IFERROR(VLOOKUP(C146,Monsters!$T$4:$AH$15,15,FALSE),0))=0,120,IFERROR(VLOOKUP(C146,Monsters!$T$4:$AH$15,15,FALSE),0)),"YES","no")</f>
        <v/>
      </c>
      <c r="W146" s="7">
        <f>IF(AND(B146="Fight boss",E146="OK"),IF((((105/'Rules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Formulas'!B20*SQRT(1+0.55*(AG145&gt;=1))),0)))),"")</f>
        <v/>
      </c>
      <c r="X146" s="7">
        <f>IF(AND(B146="Fight boss",E146="OK"),IF((IF((((105/'Rules &amp; Formulas'!B10)*'Rules &amp; Formulas'!B11+IF(AD145&gt;=1,(MAX(1,ROUND('Rules &amp; Formulas'!B18*(1+0.3*AE145)*(1+0.4*AF145),0)))*(1000/'Rules &amp; Formulas'!B19)*MIN(0.95,'Rules &amp; Formulas'!B20*SQRT(1+0.55*(AG145&gt;=1))),0)))&lt;=0,9999,(IFERROR(VLOOKUP(C146,Monsters!$T$4:$AH$15,2,FALSE),0))/(((105/'Rules &amp; Formulas'!B10)*'Rules &amp; Formulas'!B11+IF(AD145&gt;=1,(MAX(1,ROUND('Rules &amp; Formulas'!B18*(1+0.3*AE145)*(1+0.4*AF145),0)))*(1000/'Rules &amp; Formulas'!B19)*MIN(0.95,'Rules &amp; Formulas'!B20*SQRT(1+0.55*(AG145&gt;=1))),0))))&lt;='Rules &amp; Formulas'!B12),"WIN","LOSE"),"")</f>
        <v/>
      </c>
      <c r="Y146" s="7">
        <f>IF(B146="Go AFK",MIN(IF(B146="Go AFK",IF(D146="",0,D146),0),Z145/60),"")</f>
        <v/>
      </c>
      <c r="Z146" s="7">
        <f>('Rules &amp; Formulas'!B13+30*AI146)</f>
        <v/>
      </c>
      <c r="AA146">
        <f>COUNTIFS($B$3:$B146,"Buy upgrade",$C$3:$C146,"Idle Power")</f>
        <v/>
      </c>
      <c r="AB146">
        <f>COUNTIFS($B$3:$B146,"Buy upgrade",$C$3:$C146,"Iron Blade")</f>
        <v/>
      </c>
      <c r="AC146">
        <f>COUNTIFS($B$3:$B146,"Buy upgrade",$C$3:$C146,"Steel Blade")</f>
        <v/>
      </c>
      <c r="AD146">
        <f>COUNTIFS($B$3:$B146,"Hire hunter",$C$3:$C146,"Briar")+COUNTIFS($B$3:$B146,"Buy upgrade",$C$3:$C146,"Hire Briar")</f>
        <v/>
      </c>
      <c r="AE146">
        <f>COUNTIFS($B$3:$B146,"Buy upgrade",$C$3:$C146,"Hunter Power")</f>
        <v/>
      </c>
      <c r="AF146">
        <f>COUNTIFS($B$3:$B146,"Buy upgrade",$C$3:$C146,"Bigger Hits")</f>
        <v/>
      </c>
      <c r="AG146">
        <f>COUNTIFS($B$3:$B146,"Buy upgrade",$C$3:$C146,"Swift Walk")</f>
        <v/>
      </c>
      <c r="AH146">
        <f>COUNTIFS($B$3:$B146,"Buy upgrade",$C$3:$C146,"Loot Luck")</f>
        <v/>
      </c>
      <c r="AI146">
        <f>COUNTIFS($B$3:$B146,"Buy upgrade",$C$3:$C146,"Offline Cap")</f>
        <v/>
      </c>
      <c r="AJ146">
        <f>COUNTIFS($B$3:$B146,"Buy upgrade",$C$3:$C146,"Bigger Food Stock")</f>
        <v/>
      </c>
      <c r="AK146">
        <f>COUNTIFS($B$3:$B146,"Buy upgrade",$C$3:$C146,"Food Efficiency")</f>
        <v/>
      </c>
    </row>
    <row r="147">
      <c r="A147" t="n">
        <v>145</v>
      </c>
      <c r="B147" s="6" t="n"/>
      <c r="C147" s="6" t="n"/>
      <c r="D147" s="6" t="n"/>
      <c r="E147" s="7">
        <f>IF(B147="","",IF(OR(B147="Hunt",B147="Go AFK"),IF(C147="","Can't","OK"),IF(B147="Fight boss",IF(I146&lt;IF((IFERROR(VLOOKUP(C147,Monsters!$T$4:$AH$15,15,FALSE),0))=0,120,IFERROR(VLOOKUP(C147,Monsters!$T$4:$AH$15,15,FALSE),0)),"Can't","OK"),IF(B147="Hire hunter",IF(AND(C147="Briar",AD146&gt;=1),"Can't",IF(H146&lt;IF(C147="Briar",140,IF(C147="Quill",3650,IF(C147="Moss",4850,IF(C147="Ember",12200,0)))),"Can't","OK")),IF(OR(B147="Buy upgrade",B147="Forge/Scrapwork buy"),IF(IFERROR(VLOOKUP(C147,Upgrades!$N$4:$T$47,2,FALSE),0)="points","Can't",IF(IFERROR(VLOOKUP(C147,Upgrades!$N$4:$T$47,2,FALSE),0)="gold",IF(H146&lt;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buy",$C$3:$C146,C147))),1),0),"Can't","OK"),IF(IFERROR(VLOOKUP(C147,Upgrades!$N$4:$T$47,2,FALSE),0)="scraps",IF(J146&lt;IFERROR(FLOOR(IFERROR(VLOOKUP(C147,Upgrades!$N$4:$T$47,3,FALSE),0)*(IFERROR(VLOOKUP(C147,Upgrades!$N$4:$T$47,4,FALSE),0)^(COUNTIFS($B$3:$B146,"Buy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buy",$C$3:$C146,C147))),1),0),"Can't","OK"),IF(IFERROR(VLOOKUP(C147,Upgrades!$N$4:$T$47,2,FALSE),0)="mats","Can't","OK")))),"Check")))))</f>
        <v/>
      </c>
      <c r="F147" s="7">
        <f>IF(B147="","",IF(AND(B147="Fight boss",I146&lt;IF((IFERROR(VLOOKUP(C147,Monsters!$T$4:$AH$15,15,FALSE),0))=0,120,IFERROR(VLOOKUP(C147,Monsters!$T$4:$AH$15,15,FALSE),0))),"Can't — need "&amp;TEXT(IF((IFERROR(VLOOKUP(C147,Monsters!$T$4:$AH$15,15,FALSE),0))=0,120,IFERROR(VLOOKUP(C147,Monsters!$T$4:$AH$15,15,FALSE),0))-I146,"0.0")&amp;" more Slayer points on the meter",IF(AND(B147="Hire hunter",C147="Briar",AD146&gt;=1),"Can't — already hired",IF(AND(B147="Hire hunter",H146&lt;IF(C147="Briar",140,IF(C147="Quill",3650,IF(C147="Moss",4850,IF(C147="Ember",12200,0))))),"Can't — need "&amp;TEXT(IF(C147="Briar",140,IF(C147="Quill",3650,IF(C147="Moss",4850,IF(C147="Ember",12200,0))))-H146,"0")&amp;" more gold",IF(AND(OR(B147="Buy upgrade",B147="Forge/Scrapwork buy"),IFERROR(VLOOKUP(C147,Upgrades!$N$4:$T$47,2,FALSE),0)="points"),"Can't — Sp-wallet spends not tracked here",IF(AND(OR(B147="Buy upgrade",B147="Forge/Scrapwork buy"),IFERROR(VLOOKUP(C147,Upgrades!$N$4:$T$47,2,FALSE),0)="gold",H146&lt;IFERROR(FLOOR(IFERROR(VLOOKUP(C147,Upgrades!$N$4:$T$47,3,FALSE),0)*(IFERROR(VLOOKUP(C147,Upgrades!$N$4:$T$47,4,FALSE),0)^(COUNTIFS($B$3:$B146,"Buy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buy",$C$3:$C146,C147))),1),0)),"Can't — need "&amp;TEXT(IFERROR(FLOOR(IFERROR(VLOOKUP(C147,Upgrades!$N$4:$T$47,3,FALSE),0)*(IFERROR(VLOOKUP(C147,Upgrades!$N$4:$T$47,4,FALSE),0)^(COUNTIFS($B$3:$B146,"Buy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buy",$C$3:$C146,C147))),1),0)-H146,"0")&amp;" more gold",IF(AND(OR(B147="Buy upgrade",B147="Forge/Scrapwork buy"),IFERROR(VLOOKUP(C147,Upgrades!$N$4:$T$47,2,FALSE),0)="scraps",J146&lt;IFERROR(FLOOR(IFERROR(VLOOKUP(C147,Upgrades!$N$4:$T$47,3,FALSE),0)*(IFERROR(VLOOKUP(C147,Upgrades!$N$4:$T$47,4,FALSE),0)^(COUNTIFS($B$3:$B146,"Buy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buy",$C$3:$C146,C147))),1),0)),"Can't — need "&amp;TEXT(IFERROR(FLOOR(IFERROR(VLOOKUP(C147,Upgrades!$N$4:$T$47,3,FALSE),0)*(IFERROR(VLOOKUP(C147,Upgrades!$N$4:$T$47,4,FALSE),0)^(COUNTIFS($B$3:$B146,"Buy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buy",$C$3:$C146,C147))),1),0)-J146,"0")&amp;" more scraps",IF(AND(B147="Fight boss",E147="OK",(IF((((105/'Rules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Formulas'!B12)),"WIN — boss down, next Level unlocks",IF(AND(B147="Fight boss",E147="OK"),"LOSE — TTK "&amp;TEXT(IF((((105/'Rules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Formulas'!B20*SQRT(1+0.55*(AG146&gt;=1))),0)))),"0")&amp;"s &gt; patience "&amp;TEXT('Rules &amp; Formulas'!B12,"0")&amp;"s (leave resets HP)",IF(B147="Go AFK","AFK resolved (see AFK counted h)","Applied")))))))))</f>
        <v/>
      </c>
      <c r="G147" s="7">
        <f>IF(AND((E147="OK"),B147="Fight boss",(IF((((105/'Rules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Formulas'!B12),C147="Elder Thornpelt"),2,IF(AND((E147="OK"),B147="Fight boss",(IF((((105/'Rules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Formulas'!B12),C147="Ashfang Alpha"),3,G146))</f>
        <v/>
      </c>
      <c r="H147" s="7">
        <f>MAX(0,H146+IF(AND((E147="OK"),B147="Hunt"),(IF(B147="Hunt",(('Rules &amp; Formulas'!B4*N146*('Rules &amp; Formulas'!B5+O146)*IFERROR(VLOOKUP(C147,Monsters!$T$4:$AH$15,10,FALSE),0)*IFERROR(VLOOKUP(C147,Monsters!$T$4:$AH$15,9,FALSE),0))*'Rules &amp; Formulas'!B6)*IF(D147="",0,D147),0))*(IFERROR(VLOOKUP(C147,Monsters!$T$4:$AH$15,3,FALSE),0))*(1+0.1*AH146)+(IF(OR(B147&lt;&gt;"Hunt",IFERROR(VLOOKUP(C147,Monsters!$T$4:$AH$15,6,FALSE),0)=0),0,FLOOR((IF(B147="Hunt",(('Rules &amp; Formulas'!B4*N146*('Rules &amp; Formulas'!B5+O146)*IFERROR(VLOOKUP(C147,Monsters!$T$4:$AH$15,10,FALSE),0)*IFERROR(VLOOKUP(C147,Monsters!$T$4:$AH$15,9,FALSE),0))*'Rules &amp; Formulas'!B6)*IF(D147="",0,D147),0))/MAX(1,IFERROR(VLOOKUP(C147,Monsters!$T$4:$AH$15,6,FALSE),0)),1)))*(IFERROR(VLOOKUP(C147,Monsters!$T$4:$AH$15,7,FALSE),0))*0.5*(1+0.1*AH146),0)+IF(AND((E147="OK"),B147="Go AFK"),(IF(B147="Go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AFK",IF(D147="",0,D147),0),Z146/60)*60)),0))*(IFERROR(VLOOKUP(C147,Monsters!$T$4:$AH$15,3,FALSE),0))*(1+0.1*AH146)+(IF(OR(B147&lt;&gt;"Go AFK",IFERROR(VLOOKUP(C147,Monsters!$T$4:$AH$15,6,FALSE),0)=0),0,FLOOR((IF(B147="Go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AFK",IF(D147="",0,D147),0),Z146/60)*60)),0))/MAX(1,IFERROR(VLOOKUP(C147,Monsters!$T$4:$AH$15,6,FALSE),0)),1)))*(IFERROR(VLOOKUP(C147,Monsters!$T$4:$AH$15,7,FALSE),0))*0.5*(1+0.1*AH146),0)+IF(AND((E147="OK"),B147="Fight boss",(IF((((105/'Rules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Formulas'!B12)),IFERROR(VLOOKUP(C147,Monsters!$T$4:$AH$15,3,FALSE),0),0)-IF(AND((E147="OK"),OR(B147="Buy upgrade",B147="Forge/Scrapwork buy"),IFERROR(VLOOKUP(C147,Upgrades!$N$4:$T$47,2,FALSE),0)="gold"),IFERROR(FLOOR(IFERROR(VLOOKUP(C147,Upgrades!$N$4:$T$47,3,FALSE),0)*(IFERROR(VLOOKUP(C147,Upgrades!$N$4:$T$47,4,FALSE),0)^(COUNTIFS($B$3:$B146,"Buy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buy",$C$3:$C146,C147))),1),0),0)-IF(AND((E147="OK"),B147="Hire hunter"),IF(C147="Briar",140,IF(C147="Quill",3650,IF(C147="Moss",4850,IF(C147="Ember",12200,0)))),0))</f>
        <v/>
      </c>
      <c r="I147" s="7">
        <f>IF(AND((E147="OK"),B147="Fight boss",(IF((((105/'Rules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Formulas'!B12)),0,MIN(IF(G146&lt;=1,120,IF(G146=2,280,600)),I146+IF(AND((E147="OK"),B147="Hunt"),((IF(B147="Hunt",(('Rules &amp; Formulas'!B4*N146*('Rules &amp; Formulas'!B5+O146)*IFERROR(VLOOKUP(C147,Monsters!$T$4:$AH$15,10,FALSE),0)*IFERROR(VLOOKUP(C147,Monsters!$T$4:$AH$15,9,FALSE),0))*'Rules &amp; Formulas'!B6)*IF(D147="",0,D147),0))*(IFERROR(VLOOKUP(C147,Monsters!$T$4:$AH$15,4,FALSE),0))+(IF(OR(B147&lt;&gt;"Hunt",IFERROR(VLOOKUP(C147,Monsters!$T$4:$AH$15,6,FALSE),0)=0),0,FLOOR((IF(B147="Hunt",(('Rules &amp; Formulas'!B4*N146*('Rules &amp; Formulas'!B5+O146)*IFERROR(VLOOKUP(C147,Monsters!$T$4:$AH$15,10,FALSE),0)*IFERROR(VLOOKUP(C147,Monsters!$T$4:$AH$15,9,FALSE),0))*'Rules &amp; Formulas'!B6)*IF(D147="",0,D147),0))/MAX(1,IFERROR(VLOOKUP(C147,Monsters!$T$4:$AH$15,6,FALSE),0)),1)))*(IFERROR(VLOOKUP(C147,Monsters!$T$4:$AH$15,7,FALSE),0))),0)+IF(AND((E147="OK"),B147="Go AFK"),((IF(B147="Go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AFK",IF(D147="",0,D147),0),Z146/60)*60)),0))*(IFERROR(VLOOKUP(C147,Monsters!$T$4:$AH$15,4,FALSE),0))+(IF(OR(B147&lt;&gt;"Go AFK",IFERROR(VLOOKUP(C147,Monsters!$T$4:$AH$15,6,FALSE),0)=0),0,FLOOR((IF(B147="Go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AFK",IF(D147="",0,D147),0),Z146/60)*60)),0))/MAX(1,IFERROR(VLOOKUP(C147,Monsters!$T$4:$AH$15,6,FALSE),0)),1)))*(IFERROR(VLOOKUP(C147,Monsters!$T$4:$AH$15,7,FALSE),0))),0)))</f>
        <v/>
      </c>
      <c r="J147" s="7">
        <f>MAX(0,J146+IF(AND((E147="OK"),B147="Hunt"),(IF(B147="Hunt",(('Rules &amp; Formulas'!B4*N146*('Rules &amp; Formulas'!B5+O146)*IFERROR(VLOOKUP(C147,Monsters!$T$4:$AH$15,10,FALSE),0)*IFERROR(VLOOKUP(C147,Monsters!$T$4:$AH$15,9,FALSE),0))*'Rules &amp; Formulas'!B6)*IF(D147="",0,D147),0))*(IFERROR(VLOOKUP(C147,Monsters!$T$4:$AH$15,5,FALSE),0)),0)+IF(AND((E147="OK"),B147="Go AFK"),(IF(B147="Go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AFK",IF(D147="",0,D147),0),Z146/60)*60)),0))*(IFERROR(VLOOKUP(C147,Monsters!$T$4:$AH$15,5,FALSE),0)),0)-IF(AND((E147="OK"),OR(B147="Buy upgrade",B147="Forge/Scrapwork buy"),IFERROR(VLOOKUP(C147,Upgrades!$N$4:$T$47,2,FALSE),0)="scraps"),IFERROR(FLOOR(IFERROR(VLOOKUP(C147,Upgrades!$N$4:$T$47,3,FALSE),0)*(IFERROR(VLOOKUP(C147,Upgrades!$N$4:$T$47,4,FALSE),0)^(COUNTIFS($B$3:$B146,"Buy upgrade",$C$3:$C146,C147)+COUNTIFS($B$3:$B146,"Hire hunter",$C$3:$C146,C147)+COUNTIFS($B$3:$B146,"Forge/Scrapwork buy",$C$3:$C146,C147))),1),0),0))</f>
        <v/>
      </c>
      <c r="K147" s="7">
        <f>MAX(0,K146+IF(AND((E147="OK"),B147="Hunt"),IF(C147="Thornpelt Bear",(IF(B147="Hunt",(('Rules &amp; Formulas'!B4*N146*('Rules &amp; Formulas'!B5+O146)*IFERROR(VLOOKUP(C147,Monsters!$T$4:$AH$15,10,FALSE),0)*IFERROR(VLOOKUP(C147,Monsters!$T$4:$AH$15,9,FALSE),0))*'Rules &amp; Formulas'!B6)*IF(D147="",0,D147),0))*0.12,0),0)+IF(AND((E147="OK"),B147="Go AFK"),IF(C147="Thornpelt Bear",(IF(B147="Go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AFK",IF(D147="",0,D147),0),Z146/60)*60)),0))*0.12,0),0))</f>
        <v/>
      </c>
      <c r="L147" s="7">
        <f>MAX(0,L146+IF(AND((E147="OK"),B147="Hunt"),IF(C147="Dire Thornpelt",(IF(B147="Hunt",(('Rules &amp; Formulas'!B4*N146*('Rules &amp; Formulas'!B5+O146)*IFERROR(VLOOKUP(C147,Monsters!$T$4:$AH$15,10,FALSE),0)*IFERROR(VLOOKUP(C147,Monsters!$T$4:$AH$15,9,FALSE),0))*'Rules &amp; Formulas'!B6)*IF(D147="",0,D147),0))*0.1,0),0)+IF(AND((E147="OK"),B147="Go AFK"),IF(C147="Dire Thornpelt",(IF(B147="Go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AFK",IF(D147="",0,D147),0),Z146/60)*60)),0))*0.1,0),0))</f>
        <v/>
      </c>
      <c r="M147" s="7">
        <f>IF(AND((E147="OK"),B147="Go AFK"),MAX(0,MIN(('Rules &amp; Formulas'!B15+25*AJ146),M146+('Rules &amp; Formulas'!B14+0.4*AJ146)*(MIN(IF(B147="Go AFK",IF(D147="",0,D147),0),Z146/60)*60))-(IF(B147="Go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AFK",IF(D147="",0,D147),0),Z146/60)*60)),0))*(IF((IFERROR(VLOOKUP(C147,Monsters!$T$4:$AH$15,8,FALSE),0))=0,0.35,IFERROR(VLOOKUP(C147,Monsters!$T$4:$AH$15,8,FALSE),0))/(1+0.08*AK146))),MIN(('Rules &amp; Formulas'!B15+25*AJ147),M146))</f>
        <v/>
      </c>
      <c r="N147" s="7">
        <f>(1+0.08+0.12*AA147+0.12*AB147+0.16*AC147)</f>
        <v/>
      </c>
      <c r="O147" s="7">
        <f>((AD147&gt;=1)*1*(1+0.3*AE147))</f>
        <v/>
      </c>
      <c r="P147" s="7">
        <f>IF(OR(B147="Hunt",B147="Go AFK"),(('Rules &amp; Formulas'!B4*N146*('Rules &amp; Formulas'!B5+O146)*IFERROR(VLOOKUP(C147,Monsters!$T$4:$AH$15,10,FALSE),0)*IFERROR(VLOOKUP(C147,Monsters!$T$4:$AH$15,9,FALSE),0))*'Rules &amp; Formulas'!B6),"")</f>
        <v/>
      </c>
      <c r="Q147" s="7">
        <f>IF(OR(B147="Hunt",B147="Go AFK"),('Rules &amp; Formulas'!B4*N146*('Rules &amp; Formulas'!B5+O146)*IFERROR(VLOOKUP(C147,Monsters!$T$4:$AH$15,10,FALSE),0)*IFERROR(VLOOKUP(C147,Monsters!$T$4:$AH$15,9,FALSE),0)),"")</f>
        <v/>
      </c>
      <c r="R147" s="7">
        <f>IF(AND((E147="OK"),B147="Hunt"),IF(B147="Hunt",(('Rules &amp; Formulas'!B4*N146*('Rules &amp; Formulas'!B5+O146)*IFERROR(VLOOKUP(C147,Monsters!$T$4:$AH$15,10,FALSE),0)*IFERROR(VLOOKUP(C147,Monsters!$T$4:$AH$15,9,FALSE),0))*'Rules &amp; Formulas'!B6)*IF(D147="",0,D147),0),IF(AND((E147="OK"),B147="Go AFK"),IF(B147="Go AFK",MIN(IF((IF((IFERROR(VLOOKUP(C147,Monsters!$T$4:$AH$15,8,FALSE),0))=0,0.35,IFERROR(VLOOKUP(C147,Monsters!$T$4:$AH$15,8,FALSE),0))/(1+0.08*AK146))&lt;=0,999999,FLOOR(MIN(('Rules &amp; Formulas'!B15+25*AJ146),M146+('Rules &amp; Formulas'!B14+0.4*AJ146)*(MIN(IF(B147="Go AFK",IF(D147="",0,D147),0),Z146/60)*60))/(IF((IFERROR(VLOOKUP(C147,Monsters!$T$4:$AH$15,8,FALSE),0))=0,0.35,IFERROR(VLOOKUP(C147,Monsters!$T$4:$AH$15,8,FALSE),0))/(1+0.08*AK146)),1)),('Rules &amp; Formulas'!B4*N146*('Rules &amp; Formulas'!B5+O146)*IFERROR(VLOOKUP(C147,Monsters!$T$4:$AH$15,10,FALSE),0)*IFERROR(VLOOKUP(C147,Monsters!$T$4:$AH$15,9,FALSE),0))*(MIN(IF(B147="Go AFK",IF(D147="",0,D147),0),Z146/60)*60)),0),0))</f>
        <v/>
      </c>
      <c r="S147" s="7">
        <f>(105/'Rules &amp; Formulas'!B10)*'Rules &amp; Formulas'!B11</f>
        <v/>
      </c>
      <c r="T147" s="7">
        <f>IF(AD146&gt;=1,(MAX(1,ROUND('Rules &amp; Formulas'!B18*(1+0.3*AE146)*(1+0.4*AF146),0)))*(1000/'Rules &amp; Formulas'!B19)*MIN(0.95,'Rules &amp; Formulas'!B20*SQRT(1+0.55*(AG146&gt;=1))),0)</f>
        <v/>
      </c>
      <c r="U147" s="7">
        <f>S147+T147</f>
        <v/>
      </c>
      <c r="V147" s="7">
        <f>IF(I146&gt;=IF((IFERROR(VLOOKUP(C147,Monsters!$T$4:$AH$15,15,FALSE),0))=0,120,IFERROR(VLOOKUP(C147,Monsters!$T$4:$AH$15,15,FALSE),0)),"YES","no")</f>
        <v/>
      </c>
      <c r="W147" s="7">
        <f>IF(AND(B147="Fight boss",E147="OK"),IF((((105/'Rules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Formulas'!B20*SQRT(1+0.55*(AG146&gt;=1))),0)))),"")</f>
        <v/>
      </c>
      <c r="X147" s="7">
        <f>IF(AND(B147="Fight boss",E147="OK"),IF((IF((((105/'Rules &amp; Formulas'!B10)*'Rules &amp; Formulas'!B11+IF(AD146&gt;=1,(MAX(1,ROUND('Rules &amp; Formulas'!B18*(1+0.3*AE146)*(1+0.4*AF146),0)))*(1000/'Rules &amp; Formulas'!B19)*MIN(0.95,'Rules &amp; Formulas'!B20*SQRT(1+0.55*(AG146&gt;=1))),0)))&lt;=0,9999,(IFERROR(VLOOKUP(C147,Monsters!$T$4:$AH$15,2,FALSE),0))/(((105/'Rules &amp; Formulas'!B10)*'Rules &amp; Formulas'!B11+IF(AD146&gt;=1,(MAX(1,ROUND('Rules &amp; Formulas'!B18*(1+0.3*AE146)*(1+0.4*AF146),0)))*(1000/'Rules &amp; Formulas'!B19)*MIN(0.95,'Rules &amp; Formulas'!B20*SQRT(1+0.55*(AG146&gt;=1))),0))))&lt;='Rules &amp; Formulas'!B12),"WIN","LOSE"),"")</f>
        <v/>
      </c>
      <c r="Y147" s="7">
        <f>IF(B147="Go AFK",MIN(IF(B147="Go AFK",IF(D147="",0,D147),0),Z146/60),"")</f>
        <v/>
      </c>
      <c r="Z147" s="7">
        <f>('Rules &amp; Formulas'!B13+30*AI147)</f>
        <v/>
      </c>
      <c r="AA147">
        <f>COUNTIFS($B$3:$B147,"Buy upgrade",$C$3:$C147,"Idle Power")</f>
        <v/>
      </c>
      <c r="AB147">
        <f>COUNTIFS($B$3:$B147,"Buy upgrade",$C$3:$C147,"Iron Blade")</f>
        <v/>
      </c>
      <c r="AC147">
        <f>COUNTIFS($B$3:$B147,"Buy upgrade",$C$3:$C147,"Steel Blade")</f>
        <v/>
      </c>
      <c r="AD147">
        <f>COUNTIFS($B$3:$B147,"Hire hunter",$C$3:$C147,"Briar")+COUNTIFS($B$3:$B147,"Buy upgrade",$C$3:$C147,"Hire Briar")</f>
        <v/>
      </c>
      <c r="AE147">
        <f>COUNTIFS($B$3:$B147,"Buy upgrade",$C$3:$C147,"Hunter Power")</f>
        <v/>
      </c>
      <c r="AF147">
        <f>COUNTIFS($B$3:$B147,"Buy upgrade",$C$3:$C147,"Bigger Hits")</f>
        <v/>
      </c>
      <c r="AG147">
        <f>COUNTIFS($B$3:$B147,"Buy upgrade",$C$3:$C147,"Swift Walk")</f>
        <v/>
      </c>
      <c r="AH147">
        <f>COUNTIFS($B$3:$B147,"Buy upgrade",$C$3:$C147,"Loot Luck")</f>
        <v/>
      </c>
      <c r="AI147">
        <f>COUNTIFS($B$3:$B147,"Buy upgrade",$C$3:$C147,"Offline Cap")</f>
        <v/>
      </c>
      <c r="AJ147">
        <f>COUNTIFS($B$3:$B147,"Buy upgrade",$C$3:$C147,"Bigger Food Stock")</f>
        <v/>
      </c>
      <c r="AK147">
        <f>COUNTIFS($B$3:$B147,"Buy upgrade",$C$3:$C147,"Food Efficiency")</f>
        <v/>
      </c>
    </row>
    <row r="148">
      <c r="A148" t="n">
        <v>146</v>
      </c>
      <c r="B148" s="6" t="n"/>
      <c r="C148" s="6" t="n"/>
      <c r="D148" s="6" t="n"/>
      <c r="E148" s="7">
        <f>IF(B148="","",IF(OR(B148="Hunt",B148="Go AFK"),IF(C148="","Can't","OK"),IF(B148="Fight boss",IF(I147&lt;IF((IFERROR(VLOOKUP(C148,Monsters!$T$4:$AH$15,15,FALSE),0))=0,120,IFERROR(VLOOKUP(C148,Monsters!$T$4:$AH$15,15,FALSE),0)),"Can't","OK"),IF(B148="Hire hunter",IF(AND(C148="Briar",AD147&gt;=1),"Can't",IF(H147&lt;IF(C148="Briar",140,IF(C148="Quill",3650,IF(C148="Moss",4850,IF(C148="Ember",12200,0)))),"Can't","OK")),IF(OR(B148="Buy upgrade",B148="Forge/Scrapwork buy"),IF(IFERROR(VLOOKUP(C148,Upgrades!$N$4:$T$47,2,FALSE),0)="points","Can't",IF(IFERROR(VLOOKUP(C148,Upgrades!$N$4:$T$47,2,FALSE),0)="gold",IF(H147&lt;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buy",$C$3:$C147,C148))),1),0),"Can't","OK"),IF(IFERROR(VLOOKUP(C148,Upgrades!$N$4:$T$47,2,FALSE),0)="scraps",IF(J147&lt;IFERROR(FLOOR(IFERROR(VLOOKUP(C148,Upgrades!$N$4:$T$47,3,FALSE),0)*(IFERROR(VLOOKUP(C148,Upgrades!$N$4:$T$47,4,FALSE),0)^(COUNTIFS($B$3:$B147,"Buy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buy",$C$3:$C147,C148))),1),0),"Can't","OK"),IF(IFERROR(VLOOKUP(C148,Upgrades!$N$4:$T$47,2,FALSE),0)="mats","Can't","OK")))),"Check")))))</f>
        <v/>
      </c>
      <c r="F148" s="7">
        <f>IF(B148="","",IF(AND(B148="Fight boss",I147&lt;IF((IFERROR(VLOOKUP(C148,Monsters!$T$4:$AH$15,15,FALSE),0))=0,120,IFERROR(VLOOKUP(C148,Monsters!$T$4:$AH$15,15,FALSE),0))),"Can't — need "&amp;TEXT(IF((IFERROR(VLOOKUP(C148,Monsters!$T$4:$AH$15,15,FALSE),0))=0,120,IFERROR(VLOOKUP(C148,Monsters!$T$4:$AH$15,15,FALSE),0))-I147,"0.0")&amp;" more Slayer points on the meter",IF(AND(B148="Hire hunter",C148="Briar",AD147&gt;=1),"Can't — already hired",IF(AND(B148="Hire hunter",H147&lt;IF(C148="Briar",140,IF(C148="Quill",3650,IF(C148="Moss",4850,IF(C148="Ember",12200,0))))),"Can't — need "&amp;TEXT(IF(C148="Briar",140,IF(C148="Quill",3650,IF(C148="Moss",4850,IF(C148="Ember",12200,0))))-H147,"0")&amp;" more gold",IF(AND(OR(B148="Buy upgrade",B148="Forge/Scrapwork buy"),IFERROR(VLOOKUP(C148,Upgrades!$N$4:$T$47,2,FALSE),0)="points"),"Can't — Sp-wallet spends not tracked here",IF(AND(OR(B148="Buy upgrade",B148="Forge/Scrapwork buy"),IFERROR(VLOOKUP(C148,Upgrades!$N$4:$T$47,2,FALSE),0)="gold",H147&lt;IFERROR(FLOOR(IFERROR(VLOOKUP(C148,Upgrades!$N$4:$T$47,3,FALSE),0)*(IFERROR(VLOOKUP(C148,Upgrades!$N$4:$T$47,4,FALSE),0)^(COUNTIFS($B$3:$B147,"Buy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buy",$C$3:$C147,C148))),1),0)),"Can't — need "&amp;TEXT(IFERROR(FLOOR(IFERROR(VLOOKUP(C148,Upgrades!$N$4:$T$47,3,FALSE),0)*(IFERROR(VLOOKUP(C148,Upgrades!$N$4:$T$47,4,FALSE),0)^(COUNTIFS($B$3:$B147,"Buy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buy",$C$3:$C147,C148))),1),0)-H147,"0")&amp;" more gold",IF(AND(OR(B148="Buy upgrade",B148="Forge/Scrapwork buy"),IFERROR(VLOOKUP(C148,Upgrades!$N$4:$T$47,2,FALSE),0)="scraps",J147&lt;IFERROR(FLOOR(IFERROR(VLOOKUP(C148,Upgrades!$N$4:$T$47,3,FALSE),0)*(IFERROR(VLOOKUP(C148,Upgrades!$N$4:$T$47,4,FALSE),0)^(COUNTIFS($B$3:$B147,"Buy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buy",$C$3:$C147,C148))),1),0)),"Can't — need "&amp;TEXT(IFERROR(FLOOR(IFERROR(VLOOKUP(C148,Upgrades!$N$4:$T$47,3,FALSE),0)*(IFERROR(VLOOKUP(C148,Upgrades!$N$4:$T$47,4,FALSE),0)^(COUNTIFS($B$3:$B147,"Buy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buy",$C$3:$C147,C148))),1),0)-J147,"0")&amp;" more scraps",IF(AND(B148="Fight boss",E148="OK",(IF((((105/'Rules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Formulas'!B12)),"WIN — boss down, next Level unlocks",IF(AND(B148="Fight boss",E148="OK"),"LOSE — TTK "&amp;TEXT(IF((((105/'Rules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Formulas'!B20*SQRT(1+0.55*(AG147&gt;=1))),0)))),"0")&amp;"s &gt; patience "&amp;TEXT('Rules &amp; Formulas'!B12,"0")&amp;"s (leave resets HP)",IF(B148="Go AFK","AFK resolved (see AFK counted h)","Applied")))))))))</f>
        <v/>
      </c>
      <c r="G148" s="7">
        <f>IF(AND((E148="OK"),B148="Fight boss",(IF((((105/'Rules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Formulas'!B12),C148="Elder Thornpelt"),2,IF(AND((E148="OK"),B148="Fight boss",(IF((((105/'Rules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Formulas'!B12),C148="Ashfang Alpha"),3,G147))</f>
        <v/>
      </c>
      <c r="H148" s="7">
        <f>MAX(0,H147+IF(AND((E148="OK"),B148="Hunt"),(IF(B148="Hunt",(('Rules &amp; Formulas'!B4*N147*('Rules &amp; Formulas'!B5+O147)*IFERROR(VLOOKUP(C148,Monsters!$T$4:$AH$15,10,FALSE),0)*IFERROR(VLOOKUP(C148,Monsters!$T$4:$AH$15,9,FALSE),0))*'Rules &amp; Formulas'!B6)*IF(D148="",0,D148),0))*(IFERROR(VLOOKUP(C148,Monsters!$T$4:$AH$15,3,FALSE),0))*(1+0.1*AH147)+(IF(OR(B148&lt;&gt;"Hunt",IFERROR(VLOOKUP(C148,Monsters!$T$4:$AH$15,6,FALSE),0)=0),0,FLOOR((IF(B148="Hunt",(('Rules &amp; Formulas'!B4*N147*('Rules &amp; Formulas'!B5+O147)*IFERROR(VLOOKUP(C148,Monsters!$T$4:$AH$15,10,FALSE),0)*IFERROR(VLOOKUP(C148,Monsters!$T$4:$AH$15,9,FALSE),0))*'Rules &amp; Formulas'!B6)*IF(D148="",0,D148),0))/MAX(1,IFERROR(VLOOKUP(C148,Monsters!$T$4:$AH$15,6,FALSE),0)),1)))*(IFERROR(VLOOKUP(C148,Monsters!$T$4:$AH$15,7,FALSE),0))*0.5*(1+0.1*AH147),0)+IF(AND((E148="OK"),B148="Go AFK"),(IF(B148="Go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AFK",IF(D148="",0,D148),0),Z147/60)*60)),0))*(IFERROR(VLOOKUP(C148,Monsters!$T$4:$AH$15,3,FALSE),0))*(1+0.1*AH147)+(IF(OR(B148&lt;&gt;"Go AFK",IFERROR(VLOOKUP(C148,Monsters!$T$4:$AH$15,6,FALSE),0)=0),0,FLOOR((IF(B148="Go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AFK",IF(D148="",0,D148),0),Z147/60)*60)),0))/MAX(1,IFERROR(VLOOKUP(C148,Monsters!$T$4:$AH$15,6,FALSE),0)),1)))*(IFERROR(VLOOKUP(C148,Monsters!$T$4:$AH$15,7,FALSE),0))*0.5*(1+0.1*AH147),0)+IF(AND((E148="OK"),B148="Fight boss",(IF((((105/'Rules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Formulas'!B12)),IFERROR(VLOOKUP(C148,Monsters!$T$4:$AH$15,3,FALSE),0),0)-IF(AND((E148="OK"),OR(B148="Buy upgrade",B148="Forge/Scrapwork buy"),IFERROR(VLOOKUP(C148,Upgrades!$N$4:$T$47,2,FALSE),0)="gold"),IFERROR(FLOOR(IFERROR(VLOOKUP(C148,Upgrades!$N$4:$T$47,3,FALSE),0)*(IFERROR(VLOOKUP(C148,Upgrades!$N$4:$T$47,4,FALSE),0)^(COUNTIFS($B$3:$B147,"Buy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buy",$C$3:$C147,C148))),1),0),0)-IF(AND((E148="OK"),B148="Hire hunter"),IF(C148="Briar",140,IF(C148="Quill",3650,IF(C148="Moss",4850,IF(C148="Ember",12200,0)))),0))</f>
        <v/>
      </c>
      <c r="I148" s="7">
        <f>IF(AND((E148="OK"),B148="Fight boss",(IF((((105/'Rules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Formulas'!B12)),0,MIN(IF(G147&lt;=1,120,IF(G147=2,280,600)),I147+IF(AND((E148="OK"),B148="Hunt"),((IF(B148="Hunt",(('Rules &amp; Formulas'!B4*N147*('Rules &amp; Formulas'!B5+O147)*IFERROR(VLOOKUP(C148,Monsters!$T$4:$AH$15,10,FALSE),0)*IFERROR(VLOOKUP(C148,Monsters!$T$4:$AH$15,9,FALSE),0))*'Rules &amp; Formulas'!B6)*IF(D148="",0,D148),0))*(IFERROR(VLOOKUP(C148,Monsters!$T$4:$AH$15,4,FALSE),0))+(IF(OR(B148&lt;&gt;"Hunt",IFERROR(VLOOKUP(C148,Monsters!$T$4:$AH$15,6,FALSE),0)=0),0,FLOOR((IF(B148="Hunt",(('Rules &amp; Formulas'!B4*N147*('Rules &amp; Formulas'!B5+O147)*IFERROR(VLOOKUP(C148,Monsters!$T$4:$AH$15,10,FALSE),0)*IFERROR(VLOOKUP(C148,Monsters!$T$4:$AH$15,9,FALSE),0))*'Rules &amp; Formulas'!B6)*IF(D148="",0,D148),0))/MAX(1,IFERROR(VLOOKUP(C148,Monsters!$T$4:$AH$15,6,FALSE),0)),1)))*(IFERROR(VLOOKUP(C148,Monsters!$T$4:$AH$15,7,FALSE),0))),0)+IF(AND((E148="OK"),B148="Go AFK"),((IF(B148="Go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AFK",IF(D148="",0,D148),0),Z147/60)*60)),0))*(IFERROR(VLOOKUP(C148,Monsters!$T$4:$AH$15,4,FALSE),0))+(IF(OR(B148&lt;&gt;"Go AFK",IFERROR(VLOOKUP(C148,Monsters!$T$4:$AH$15,6,FALSE),0)=0),0,FLOOR((IF(B148="Go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AFK",IF(D148="",0,D148),0),Z147/60)*60)),0))/MAX(1,IFERROR(VLOOKUP(C148,Monsters!$T$4:$AH$15,6,FALSE),0)),1)))*(IFERROR(VLOOKUP(C148,Monsters!$T$4:$AH$15,7,FALSE),0))),0)))</f>
        <v/>
      </c>
      <c r="J148" s="7">
        <f>MAX(0,J147+IF(AND((E148="OK"),B148="Hunt"),(IF(B148="Hunt",(('Rules &amp; Formulas'!B4*N147*('Rules &amp; Formulas'!B5+O147)*IFERROR(VLOOKUP(C148,Monsters!$T$4:$AH$15,10,FALSE),0)*IFERROR(VLOOKUP(C148,Monsters!$T$4:$AH$15,9,FALSE),0))*'Rules &amp; Formulas'!B6)*IF(D148="",0,D148),0))*(IFERROR(VLOOKUP(C148,Monsters!$T$4:$AH$15,5,FALSE),0)),0)+IF(AND((E148="OK"),B148="Go AFK"),(IF(B148="Go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AFK",IF(D148="",0,D148),0),Z147/60)*60)),0))*(IFERROR(VLOOKUP(C148,Monsters!$T$4:$AH$15,5,FALSE),0)),0)-IF(AND((E148="OK"),OR(B148="Buy upgrade",B148="Forge/Scrapwork buy"),IFERROR(VLOOKUP(C148,Upgrades!$N$4:$T$47,2,FALSE),0)="scraps"),IFERROR(FLOOR(IFERROR(VLOOKUP(C148,Upgrades!$N$4:$T$47,3,FALSE),0)*(IFERROR(VLOOKUP(C148,Upgrades!$N$4:$T$47,4,FALSE),0)^(COUNTIFS($B$3:$B147,"Buy upgrade",$C$3:$C147,C148)+COUNTIFS($B$3:$B147,"Hire hunter",$C$3:$C147,C148)+COUNTIFS($B$3:$B147,"Forge/Scrapwork buy",$C$3:$C147,C148))),1),0),0))</f>
        <v/>
      </c>
      <c r="K148" s="7">
        <f>MAX(0,K147+IF(AND((E148="OK"),B148="Hunt"),IF(C148="Thornpelt Bear",(IF(B148="Hunt",(('Rules &amp; Formulas'!B4*N147*('Rules &amp; Formulas'!B5+O147)*IFERROR(VLOOKUP(C148,Monsters!$T$4:$AH$15,10,FALSE),0)*IFERROR(VLOOKUP(C148,Monsters!$T$4:$AH$15,9,FALSE),0))*'Rules &amp; Formulas'!B6)*IF(D148="",0,D148),0))*0.12,0),0)+IF(AND((E148="OK"),B148="Go AFK"),IF(C148="Thornpelt Bear",(IF(B148="Go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AFK",IF(D148="",0,D148),0),Z147/60)*60)),0))*0.12,0),0))</f>
        <v/>
      </c>
      <c r="L148" s="7">
        <f>MAX(0,L147+IF(AND((E148="OK"),B148="Hunt"),IF(C148="Dire Thornpelt",(IF(B148="Hunt",(('Rules &amp; Formulas'!B4*N147*('Rules &amp; Formulas'!B5+O147)*IFERROR(VLOOKUP(C148,Monsters!$T$4:$AH$15,10,FALSE),0)*IFERROR(VLOOKUP(C148,Monsters!$T$4:$AH$15,9,FALSE),0))*'Rules &amp; Formulas'!B6)*IF(D148="",0,D148),0))*0.1,0),0)+IF(AND((E148="OK"),B148="Go AFK"),IF(C148="Dire Thornpelt",(IF(B148="Go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AFK",IF(D148="",0,D148),0),Z147/60)*60)),0))*0.1,0),0))</f>
        <v/>
      </c>
      <c r="M148" s="7">
        <f>IF(AND((E148="OK"),B148="Go AFK"),MAX(0,MIN(('Rules &amp; Formulas'!B15+25*AJ147),M147+('Rules &amp; Formulas'!B14+0.4*AJ147)*(MIN(IF(B148="Go AFK",IF(D148="",0,D148),0),Z147/60)*60))-(IF(B148="Go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AFK",IF(D148="",0,D148),0),Z147/60)*60)),0))*(IF((IFERROR(VLOOKUP(C148,Monsters!$T$4:$AH$15,8,FALSE),0))=0,0.35,IFERROR(VLOOKUP(C148,Monsters!$T$4:$AH$15,8,FALSE),0))/(1+0.08*AK147))),MIN(('Rules &amp; Formulas'!B15+25*AJ148),M147))</f>
        <v/>
      </c>
      <c r="N148" s="7">
        <f>(1+0.08+0.12*AA148+0.12*AB148+0.16*AC148)</f>
        <v/>
      </c>
      <c r="O148" s="7">
        <f>((AD148&gt;=1)*1*(1+0.3*AE148))</f>
        <v/>
      </c>
      <c r="P148" s="7">
        <f>IF(OR(B148="Hunt",B148="Go AFK"),(('Rules &amp; Formulas'!B4*N147*('Rules &amp; Formulas'!B5+O147)*IFERROR(VLOOKUP(C148,Monsters!$T$4:$AH$15,10,FALSE),0)*IFERROR(VLOOKUP(C148,Monsters!$T$4:$AH$15,9,FALSE),0))*'Rules &amp; Formulas'!B6),"")</f>
        <v/>
      </c>
      <c r="Q148" s="7">
        <f>IF(OR(B148="Hunt",B148="Go AFK"),('Rules &amp; Formulas'!B4*N147*('Rules &amp; Formulas'!B5+O147)*IFERROR(VLOOKUP(C148,Monsters!$T$4:$AH$15,10,FALSE),0)*IFERROR(VLOOKUP(C148,Monsters!$T$4:$AH$15,9,FALSE),0)),"")</f>
        <v/>
      </c>
      <c r="R148" s="7">
        <f>IF(AND((E148="OK"),B148="Hunt"),IF(B148="Hunt",(('Rules &amp; Formulas'!B4*N147*('Rules &amp; Formulas'!B5+O147)*IFERROR(VLOOKUP(C148,Monsters!$T$4:$AH$15,10,FALSE),0)*IFERROR(VLOOKUP(C148,Monsters!$T$4:$AH$15,9,FALSE),0))*'Rules &amp; Formulas'!B6)*IF(D148="",0,D148),0),IF(AND((E148="OK"),B148="Go AFK"),IF(B148="Go AFK",MIN(IF((IF((IFERROR(VLOOKUP(C148,Monsters!$T$4:$AH$15,8,FALSE),0))=0,0.35,IFERROR(VLOOKUP(C148,Monsters!$T$4:$AH$15,8,FALSE),0))/(1+0.08*AK147))&lt;=0,999999,FLOOR(MIN(('Rules &amp; Formulas'!B15+25*AJ147),M147+('Rules &amp; Formulas'!B14+0.4*AJ147)*(MIN(IF(B148="Go AFK",IF(D148="",0,D148),0),Z147/60)*60))/(IF((IFERROR(VLOOKUP(C148,Monsters!$T$4:$AH$15,8,FALSE),0))=0,0.35,IFERROR(VLOOKUP(C148,Monsters!$T$4:$AH$15,8,FALSE),0))/(1+0.08*AK147)),1)),('Rules &amp; Formulas'!B4*N147*('Rules &amp; Formulas'!B5+O147)*IFERROR(VLOOKUP(C148,Monsters!$T$4:$AH$15,10,FALSE),0)*IFERROR(VLOOKUP(C148,Monsters!$T$4:$AH$15,9,FALSE),0))*(MIN(IF(B148="Go AFK",IF(D148="",0,D148),0),Z147/60)*60)),0),0))</f>
        <v/>
      </c>
      <c r="S148" s="7">
        <f>(105/'Rules &amp; Formulas'!B10)*'Rules &amp; Formulas'!B11</f>
        <v/>
      </c>
      <c r="T148" s="7">
        <f>IF(AD147&gt;=1,(MAX(1,ROUND('Rules &amp; Formulas'!B18*(1+0.3*AE147)*(1+0.4*AF147),0)))*(1000/'Rules &amp; Formulas'!B19)*MIN(0.95,'Rules &amp; Formulas'!B20*SQRT(1+0.55*(AG147&gt;=1))),0)</f>
        <v/>
      </c>
      <c r="U148" s="7">
        <f>S148+T148</f>
        <v/>
      </c>
      <c r="V148" s="7">
        <f>IF(I147&gt;=IF((IFERROR(VLOOKUP(C148,Monsters!$T$4:$AH$15,15,FALSE),0))=0,120,IFERROR(VLOOKUP(C148,Monsters!$T$4:$AH$15,15,FALSE),0)),"YES","no")</f>
        <v/>
      </c>
      <c r="W148" s="7">
        <f>IF(AND(B148="Fight boss",E148="OK"),IF((((105/'Rules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Formulas'!B20*SQRT(1+0.55*(AG147&gt;=1))),0)))),"")</f>
        <v/>
      </c>
      <c r="X148" s="7">
        <f>IF(AND(B148="Fight boss",E148="OK"),IF((IF((((105/'Rules &amp; Formulas'!B10)*'Rules &amp; Formulas'!B11+IF(AD147&gt;=1,(MAX(1,ROUND('Rules &amp; Formulas'!B18*(1+0.3*AE147)*(1+0.4*AF147),0)))*(1000/'Rules &amp; Formulas'!B19)*MIN(0.95,'Rules &amp; Formulas'!B20*SQRT(1+0.55*(AG147&gt;=1))),0)))&lt;=0,9999,(IFERROR(VLOOKUP(C148,Monsters!$T$4:$AH$15,2,FALSE),0))/(((105/'Rules &amp; Formulas'!B10)*'Rules &amp; Formulas'!B11+IF(AD147&gt;=1,(MAX(1,ROUND('Rules &amp; Formulas'!B18*(1+0.3*AE147)*(1+0.4*AF147),0)))*(1000/'Rules &amp; Formulas'!B19)*MIN(0.95,'Rules &amp; Formulas'!B20*SQRT(1+0.55*(AG147&gt;=1))),0))))&lt;='Rules &amp; Formulas'!B12),"WIN","LOSE"),"")</f>
        <v/>
      </c>
      <c r="Y148" s="7">
        <f>IF(B148="Go AFK",MIN(IF(B148="Go AFK",IF(D148="",0,D148),0),Z147/60),"")</f>
        <v/>
      </c>
      <c r="Z148" s="7">
        <f>('Rules &amp; Formulas'!B13+30*AI148)</f>
        <v/>
      </c>
      <c r="AA148">
        <f>COUNTIFS($B$3:$B148,"Buy upgrade",$C$3:$C148,"Idle Power")</f>
        <v/>
      </c>
      <c r="AB148">
        <f>COUNTIFS($B$3:$B148,"Buy upgrade",$C$3:$C148,"Iron Blade")</f>
        <v/>
      </c>
      <c r="AC148">
        <f>COUNTIFS($B$3:$B148,"Buy upgrade",$C$3:$C148,"Steel Blade")</f>
        <v/>
      </c>
      <c r="AD148">
        <f>COUNTIFS($B$3:$B148,"Hire hunter",$C$3:$C148,"Briar")+COUNTIFS($B$3:$B148,"Buy upgrade",$C$3:$C148,"Hire Briar")</f>
        <v/>
      </c>
      <c r="AE148">
        <f>COUNTIFS($B$3:$B148,"Buy upgrade",$C$3:$C148,"Hunter Power")</f>
        <v/>
      </c>
      <c r="AF148">
        <f>COUNTIFS($B$3:$B148,"Buy upgrade",$C$3:$C148,"Bigger Hits")</f>
        <v/>
      </c>
      <c r="AG148">
        <f>COUNTIFS($B$3:$B148,"Buy upgrade",$C$3:$C148,"Swift Walk")</f>
        <v/>
      </c>
      <c r="AH148">
        <f>COUNTIFS($B$3:$B148,"Buy upgrade",$C$3:$C148,"Loot Luck")</f>
        <v/>
      </c>
      <c r="AI148">
        <f>COUNTIFS($B$3:$B148,"Buy upgrade",$C$3:$C148,"Offline Cap")</f>
        <v/>
      </c>
      <c r="AJ148">
        <f>COUNTIFS($B$3:$B148,"Buy upgrade",$C$3:$C148,"Bigger Food Stock")</f>
        <v/>
      </c>
      <c r="AK148">
        <f>COUNTIFS($B$3:$B148,"Buy upgrade",$C$3:$C148,"Food Efficiency")</f>
        <v/>
      </c>
    </row>
    <row r="149">
      <c r="A149" t="n">
        <v>147</v>
      </c>
      <c r="B149" s="6" t="n"/>
      <c r="C149" s="6" t="n"/>
      <c r="D149" s="6" t="n"/>
      <c r="E149" s="7">
        <f>IF(B149="","",IF(OR(B149="Hunt",B149="Go AFK"),IF(C149="","Can't","OK"),IF(B149="Fight boss",IF(I148&lt;IF((IFERROR(VLOOKUP(C149,Monsters!$T$4:$AH$15,15,FALSE),0))=0,120,IFERROR(VLOOKUP(C149,Monsters!$T$4:$AH$15,15,FALSE),0)),"Can't","OK"),IF(B149="Hire hunter",IF(AND(C149="Briar",AD148&gt;=1),"Can't",IF(H148&lt;IF(C149="Briar",140,IF(C149="Quill",3650,IF(C149="Moss",4850,IF(C149="Ember",12200,0)))),"Can't","OK")),IF(OR(B149="Buy upgrade",B149="Forge/Scrapwork buy"),IF(IFERROR(VLOOKUP(C149,Upgrades!$N$4:$T$47,2,FALSE),0)="points","Can't",IF(IFERROR(VLOOKUP(C149,Upgrades!$N$4:$T$47,2,FALSE),0)="gold",IF(H148&lt;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buy",$C$3:$C148,C149))),1),0),"Can't","OK"),IF(IFERROR(VLOOKUP(C149,Upgrades!$N$4:$T$47,2,FALSE),0)="scraps",IF(J148&lt;IFERROR(FLOOR(IFERROR(VLOOKUP(C149,Upgrades!$N$4:$T$47,3,FALSE),0)*(IFERROR(VLOOKUP(C149,Upgrades!$N$4:$T$47,4,FALSE),0)^(COUNTIFS($B$3:$B148,"Buy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buy",$C$3:$C148,C149))),1),0),"Can't","OK"),IF(IFERROR(VLOOKUP(C149,Upgrades!$N$4:$T$47,2,FALSE),0)="mats","Can't","OK")))),"Check")))))</f>
        <v/>
      </c>
      <c r="F149" s="7">
        <f>IF(B149="","",IF(AND(B149="Fight boss",I148&lt;IF((IFERROR(VLOOKUP(C149,Monsters!$T$4:$AH$15,15,FALSE),0))=0,120,IFERROR(VLOOKUP(C149,Monsters!$T$4:$AH$15,15,FALSE),0))),"Can't — need "&amp;TEXT(IF((IFERROR(VLOOKUP(C149,Monsters!$T$4:$AH$15,15,FALSE),0))=0,120,IFERROR(VLOOKUP(C149,Monsters!$T$4:$AH$15,15,FALSE),0))-I148,"0.0")&amp;" more Slayer points on the meter",IF(AND(B149="Hire hunter",C149="Briar",AD148&gt;=1),"Can't — already hired",IF(AND(B149="Hire hunter",H148&lt;IF(C149="Briar",140,IF(C149="Quill",3650,IF(C149="Moss",4850,IF(C149="Ember",12200,0))))),"Can't — need "&amp;TEXT(IF(C149="Briar",140,IF(C149="Quill",3650,IF(C149="Moss",4850,IF(C149="Ember",12200,0))))-H148,"0")&amp;" more gold",IF(AND(OR(B149="Buy upgrade",B149="Forge/Scrapwork buy"),IFERROR(VLOOKUP(C149,Upgrades!$N$4:$T$47,2,FALSE),0)="points"),"Can't — Sp-wallet spends not tracked here",IF(AND(OR(B149="Buy upgrade",B149="Forge/Scrapwork buy"),IFERROR(VLOOKUP(C149,Upgrades!$N$4:$T$47,2,FALSE),0)="gold",H148&lt;IFERROR(FLOOR(IFERROR(VLOOKUP(C149,Upgrades!$N$4:$T$47,3,FALSE),0)*(IFERROR(VLOOKUP(C149,Upgrades!$N$4:$T$47,4,FALSE),0)^(COUNTIFS($B$3:$B148,"Buy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buy",$C$3:$C148,C149))),1),0)),"Can't — need "&amp;TEXT(IFERROR(FLOOR(IFERROR(VLOOKUP(C149,Upgrades!$N$4:$T$47,3,FALSE),0)*(IFERROR(VLOOKUP(C149,Upgrades!$N$4:$T$47,4,FALSE),0)^(COUNTIFS($B$3:$B148,"Buy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buy",$C$3:$C148,C149))),1),0)-H148,"0")&amp;" more gold",IF(AND(OR(B149="Buy upgrade",B149="Forge/Scrapwork buy"),IFERROR(VLOOKUP(C149,Upgrades!$N$4:$T$47,2,FALSE),0)="scraps",J148&lt;IFERROR(FLOOR(IFERROR(VLOOKUP(C149,Upgrades!$N$4:$T$47,3,FALSE),0)*(IFERROR(VLOOKUP(C149,Upgrades!$N$4:$T$47,4,FALSE),0)^(COUNTIFS($B$3:$B148,"Buy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buy",$C$3:$C148,C149))),1),0)),"Can't — need "&amp;TEXT(IFERROR(FLOOR(IFERROR(VLOOKUP(C149,Upgrades!$N$4:$T$47,3,FALSE),0)*(IFERROR(VLOOKUP(C149,Upgrades!$N$4:$T$47,4,FALSE),0)^(COUNTIFS($B$3:$B148,"Buy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buy",$C$3:$C148,C149))),1),0)-J148,"0")&amp;" more scraps",IF(AND(B149="Fight boss",E149="OK",(IF((((105/'Rules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Formulas'!B12)),"WIN — boss down, next Level unlocks",IF(AND(B149="Fight boss",E149="OK"),"LOSE — TTK "&amp;TEXT(IF((((105/'Rules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Formulas'!B20*SQRT(1+0.55*(AG148&gt;=1))),0)))),"0")&amp;"s &gt; patience "&amp;TEXT('Rules &amp; Formulas'!B12,"0")&amp;"s (leave resets HP)",IF(B149="Go AFK","AFK resolved (see AFK counted h)","Applied")))))))))</f>
        <v/>
      </c>
      <c r="G149" s="7">
        <f>IF(AND((E149="OK"),B149="Fight boss",(IF((((105/'Rules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Formulas'!B12),C149="Elder Thornpelt"),2,IF(AND((E149="OK"),B149="Fight boss",(IF((((105/'Rules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Formulas'!B12),C149="Ashfang Alpha"),3,G148))</f>
        <v/>
      </c>
      <c r="H149" s="7">
        <f>MAX(0,H148+IF(AND((E149="OK"),B149="Hunt"),(IF(B149="Hunt",(('Rules &amp; Formulas'!B4*N148*('Rules &amp; Formulas'!B5+O148)*IFERROR(VLOOKUP(C149,Monsters!$T$4:$AH$15,10,FALSE),0)*IFERROR(VLOOKUP(C149,Monsters!$T$4:$AH$15,9,FALSE),0))*'Rules &amp; Formulas'!B6)*IF(D149="",0,D149),0))*(IFERROR(VLOOKUP(C149,Monsters!$T$4:$AH$15,3,FALSE),0))*(1+0.1*AH148)+(IF(OR(B149&lt;&gt;"Hunt",IFERROR(VLOOKUP(C149,Monsters!$T$4:$AH$15,6,FALSE),0)=0),0,FLOOR((IF(B149="Hunt",(('Rules &amp; Formulas'!B4*N148*('Rules &amp; Formulas'!B5+O148)*IFERROR(VLOOKUP(C149,Monsters!$T$4:$AH$15,10,FALSE),0)*IFERROR(VLOOKUP(C149,Monsters!$T$4:$AH$15,9,FALSE),0))*'Rules &amp; Formulas'!B6)*IF(D149="",0,D149),0))/MAX(1,IFERROR(VLOOKUP(C149,Monsters!$T$4:$AH$15,6,FALSE),0)),1)))*(IFERROR(VLOOKUP(C149,Monsters!$T$4:$AH$15,7,FALSE),0))*0.5*(1+0.1*AH148),0)+IF(AND((E149="OK"),B149="Go AFK"),(IF(B149="Go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AFK",IF(D149="",0,D149),0),Z148/60)*60)),0))*(IFERROR(VLOOKUP(C149,Monsters!$T$4:$AH$15,3,FALSE),0))*(1+0.1*AH148)+(IF(OR(B149&lt;&gt;"Go AFK",IFERROR(VLOOKUP(C149,Monsters!$T$4:$AH$15,6,FALSE),0)=0),0,FLOOR((IF(B149="Go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AFK",IF(D149="",0,D149),0),Z148/60)*60)),0))/MAX(1,IFERROR(VLOOKUP(C149,Monsters!$T$4:$AH$15,6,FALSE),0)),1)))*(IFERROR(VLOOKUP(C149,Monsters!$T$4:$AH$15,7,FALSE),0))*0.5*(1+0.1*AH148),0)+IF(AND((E149="OK"),B149="Fight boss",(IF((((105/'Rules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Formulas'!B12)),IFERROR(VLOOKUP(C149,Monsters!$T$4:$AH$15,3,FALSE),0),0)-IF(AND((E149="OK"),OR(B149="Buy upgrade",B149="Forge/Scrapwork buy"),IFERROR(VLOOKUP(C149,Upgrades!$N$4:$T$47,2,FALSE),0)="gold"),IFERROR(FLOOR(IFERROR(VLOOKUP(C149,Upgrades!$N$4:$T$47,3,FALSE),0)*(IFERROR(VLOOKUP(C149,Upgrades!$N$4:$T$47,4,FALSE),0)^(COUNTIFS($B$3:$B148,"Buy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buy",$C$3:$C148,C149))),1),0),0)-IF(AND((E149="OK"),B149="Hire hunter"),IF(C149="Briar",140,IF(C149="Quill",3650,IF(C149="Moss",4850,IF(C149="Ember",12200,0)))),0))</f>
        <v/>
      </c>
      <c r="I149" s="7">
        <f>IF(AND((E149="OK"),B149="Fight boss",(IF((((105/'Rules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Formulas'!B12)),0,MIN(IF(G148&lt;=1,120,IF(G148=2,280,600)),I148+IF(AND((E149="OK"),B149="Hunt"),((IF(B149="Hunt",(('Rules &amp; Formulas'!B4*N148*('Rules &amp; Formulas'!B5+O148)*IFERROR(VLOOKUP(C149,Monsters!$T$4:$AH$15,10,FALSE),0)*IFERROR(VLOOKUP(C149,Monsters!$T$4:$AH$15,9,FALSE),0))*'Rules &amp; Formulas'!B6)*IF(D149="",0,D149),0))*(IFERROR(VLOOKUP(C149,Monsters!$T$4:$AH$15,4,FALSE),0))+(IF(OR(B149&lt;&gt;"Hunt",IFERROR(VLOOKUP(C149,Monsters!$T$4:$AH$15,6,FALSE),0)=0),0,FLOOR((IF(B149="Hunt",(('Rules &amp; Formulas'!B4*N148*('Rules &amp; Formulas'!B5+O148)*IFERROR(VLOOKUP(C149,Monsters!$T$4:$AH$15,10,FALSE),0)*IFERROR(VLOOKUP(C149,Monsters!$T$4:$AH$15,9,FALSE),0))*'Rules &amp; Formulas'!B6)*IF(D149="",0,D149),0))/MAX(1,IFERROR(VLOOKUP(C149,Monsters!$T$4:$AH$15,6,FALSE),0)),1)))*(IFERROR(VLOOKUP(C149,Monsters!$T$4:$AH$15,7,FALSE),0))),0)+IF(AND((E149="OK"),B149="Go AFK"),((IF(B149="Go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AFK",IF(D149="",0,D149),0),Z148/60)*60)),0))*(IFERROR(VLOOKUP(C149,Monsters!$T$4:$AH$15,4,FALSE),0))+(IF(OR(B149&lt;&gt;"Go AFK",IFERROR(VLOOKUP(C149,Monsters!$T$4:$AH$15,6,FALSE),0)=0),0,FLOOR((IF(B149="Go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AFK",IF(D149="",0,D149),0),Z148/60)*60)),0))/MAX(1,IFERROR(VLOOKUP(C149,Monsters!$T$4:$AH$15,6,FALSE),0)),1)))*(IFERROR(VLOOKUP(C149,Monsters!$T$4:$AH$15,7,FALSE),0))),0)))</f>
        <v/>
      </c>
      <c r="J149" s="7">
        <f>MAX(0,J148+IF(AND((E149="OK"),B149="Hunt"),(IF(B149="Hunt",(('Rules &amp; Formulas'!B4*N148*('Rules &amp; Formulas'!B5+O148)*IFERROR(VLOOKUP(C149,Monsters!$T$4:$AH$15,10,FALSE),0)*IFERROR(VLOOKUP(C149,Monsters!$T$4:$AH$15,9,FALSE),0))*'Rules &amp; Formulas'!B6)*IF(D149="",0,D149),0))*(IFERROR(VLOOKUP(C149,Monsters!$T$4:$AH$15,5,FALSE),0)),0)+IF(AND((E149="OK"),B149="Go AFK"),(IF(B149="Go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AFK",IF(D149="",0,D149),0),Z148/60)*60)),0))*(IFERROR(VLOOKUP(C149,Monsters!$T$4:$AH$15,5,FALSE),0)),0)-IF(AND((E149="OK"),OR(B149="Buy upgrade",B149="Forge/Scrapwork buy"),IFERROR(VLOOKUP(C149,Upgrades!$N$4:$T$47,2,FALSE),0)="scraps"),IFERROR(FLOOR(IFERROR(VLOOKUP(C149,Upgrades!$N$4:$T$47,3,FALSE),0)*(IFERROR(VLOOKUP(C149,Upgrades!$N$4:$T$47,4,FALSE),0)^(COUNTIFS($B$3:$B148,"Buy upgrade",$C$3:$C148,C149)+COUNTIFS($B$3:$B148,"Hire hunter",$C$3:$C148,C149)+COUNTIFS($B$3:$B148,"Forge/Scrapwork buy",$C$3:$C148,C149))),1),0),0))</f>
        <v/>
      </c>
      <c r="K149" s="7">
        <f>MAX(0,K148+IF(AND((E149="OK"),B149="Hunt"),IF(C149="Thornpelt Bear",(IF(B149="Hunt",(('Rules &amp; Formulas'!B4*N148*('Rules &amp; Formulas'!B5+O148)*IFERROR(VLOOKUP(C149,Monsters!$T$4:$AH$15,10,FALSE),0)*IFERROR(VLOOKUP(C149,Monsters!$T$4:$AH$15,9,FALSE),0))*'Rules &amp; Formulas'!B6)*IF(D149="",0,D149),0))*0.12,0),0)+IF(AND((E149="OK"),B149="Go AFK"),IF(C149="Thornpelt Bear",(IF(B149="Go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AFK",IF(D149="",0,D149),0),Z148/60)*60)),0))*0.12,0),0))</f>
        <v/>
      </c>
      <c r="L149" s="7">
        <f>MAX(0,L148+IF(AND((E149="OK"),B149="Hunt"),IF(C149="Dire Thornpelt",(IF(B149="Hunt",(('Rules &amp; Formulas'!B4*N148*('Rules &amp; Formulas'!B5+O148)*IFERROR(VLOOKUP(C149,Monsters!$T$4:$AH$15,10,FALSE),0)*IFERROR(VLOOKUP(C149,Monsters!$T$4:$AH$15,9,FALSE),0))*'Rules &amp; Formulas'!B6)*IF(D149="",0,D149),0))*0.1,0),0)+IF(AND((E149="OK"),B149="Go AFK"),IF(C149="Dire Thornpelt",(IF(B149="Go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AFK",IF(D149="",0,D149),0),Z148/60)*60)),0))*0.1,0),0))</f>
        <v/>
      </c>
      <c r="M149" s="7">
        <f>IF(AND((E149="OK"),B149="Go AFK"),MAX(0,MIN(('Rules &amp; Formulas'!B15+25*AJ148),M148+('Rules &amp; Formulas'!B14+0.4*AJ148)*(MIN(IF(B149="Go AFK",IF(D149="",0,D149),0),Z148/60)*60))-(IF(B149="Go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AFK",IF(D149="",0,D149),0),Z148/60)*60)),0))*(IF((IFERROR(VLOOKUP(C149,Monsters!$T$4:$AH$15,8,FALSE),0))=0,0.35,IFERROR(VLOOKUP(C149,Monsters!$T$4:$AH$15,8,FALSE),0))/(1+0.08*AK148))),MIN(('Rules &amp; Formulas'!B15+25*AJ149),M148))</f>
        <v/>
      </c>
      <c r="N149" s="7">
        <f>(1+0.08+0.12*AA149+0.12*AB149+0.16*AC149)</f>
        <v/>
      </c>
      <c r="O149" s="7">
        <f>((AD149&gt;=1)*1*(1+0.3*AE149))</f>
        <v/>
      </c>
      <c r="P149" s="7">
        <f>IF(OR(B149="Hunt",B149="Go AFK"),(('Rules &amp; Formulas'!B4*N148*('Rules &amp; Formulas'!B5+O148)*IFERROR(VLOOKUP(C149,Monsters!$T$4:$AH$15,10,FALSE),0)*IFERROR(VLOOKUP(C149,Monsters!$T$4:$AH$15,9,FALSE),0))*'Rules &amp; Formulas'!B6),"")</f>
        <v/>
      </c>
      <c r="Q149" s="7">
        <f>IF(OR(B149="Hunt",B149="Go AFK"),('Rules &amp; Formulas'!B4*N148*('Rules &amp; Formulas'!B5+O148)*IFERROR(VLOOKUP(C149,Monsters!$T$4:$AH$15,10,FALSE),0)*IFERROR(VLOOKUP(C149,Monsters!$T$4:$AH$15,9,FALSE),0)),"")</f>
        <v/>
      </c>
      <c r="R149" s="7">
        <f>IF(AND((E149="OK"),B149="Hunt"),IF(B149="Hunt",(('Rules &amp; Formulas'!B4*N148*('Rules &amp; Formulas'!B5+O148)*IFERROR(VLOOKUP(C149,Monsters!$T$4:$AH$15,10,FALSE),0)*IFERROR(VLOOKUP(C149,Monsters!$T$4:$AH$15,9,FALSE),0))*'Rules &amp; Formulas'!B6)*IF(D149="",0,D149),0),IF(AND((E149="OK"),B149="Go AFK"),IF(B149="Go AFK",MIN(IF((IF((IFERROR(VLOOKUP(C149,Monsters!$T$4:$AH$15,8,FALSE),0))=0,0.35,IFERROR(VLOOKUP(C149,Monsters!$T$4:$AH$15,8,FALSE),0))/(1+0.08*AK148))&lt;=0,999999,FLOOR(MIN(('Rules &amp; Formulas'!B15+25*AJ148),M148+('Rules &amp; Formulas'!B14+0.4*AJ148)*(MIN(IF(B149="Go AFK",IF(D149="",0,D149),0),Z148/60)*60))/(IF((IFERROR(VLOOKUP(C149,Monsters!$T$4:$AH$15,8,FALSE),0))=0,0.35,IFERROR(VLOOKUP(C149,Monsters!$T$4:$AH$15,8,FALSE),0))/(1+0.08*AK148)),1)),('Rules &amp; Formulas'!B4*N148*('Rules &amp; Formulas'!B5+O148)*IFERROR(VLOOKUP(C149,Monsters!$T$4:$AH$15,10,FALSE),0)*IFERROR(VLOOKUP(C149,Monsters!$T$4:$AH$15,9,FALSE),0))*(MIN(IF(B149="Go AFK",IF(D149="",0,D149),0),Z148/60)*60)),0),0))</f>
        <v/>
      </c>
      <c r="S149" s="7">
        <f>(105/'Rules &amp; Formulas'!B10)*'Rules &amp; Formulas'!B11</f>
        <v/>
      </c>
      <c r="T149" s="7">
        <f>IF(AD148&gt;=1,(MAX(1,ROUND('Rules &amp; Formulas'!B18*(1+0.3*AE148)*(1+0.4*AF148),0)))*(1000/'Rules &amp; Formulas'!B19)*MIN(0.95,'Rules &amp; Formulas'!B20*SQRT(1+0.55*(AG148&gt;=1))),0)</f>
        <v/>
      </c>
      <c r="U149" s="7">
        <f>S149+T149</f>
        <v/>
      </c>
      <c r="V149" s="7">
        <f>IF(I148&gt;=IF((IFERROR(VLOOKUP(C149,Monsters!$T$4:$AH$15,15,FALSE),0))=0,120,IFERROR(VLOOKUP(C149,Monsters!$T$4:$AH$15,15,FALSE),0)),"YES","no")</f>
        <v/>
      </c>
      <c r="W149" s="7">
        <f>IF(AND(B149="Fight boss",E149="OK"),IF((((105/'Rules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Formulas'!B20*SQRT(1+0.55*(AG148&gt;=1))),0)))),"")</f>
        <v/>
      </c>
      <c r="X149" s="7">
        <f>IF(AND(B149="Fight boss",E149="OK"),IF((IF((((105/'Rules &amp; Formulas'!B10)*'Rules &amp; Formulas'!B11+IF(AD148&gt;=1,(MAX(1,ROUND('Rules &amp; Formulas'!B18*(1+0.3*AE148)*(1+0.4*AF148),0)))*(1000/'Rules &amp; Formulas'!B19)*MIN(0.95,'Rules &amp; Formulas'!B20*SQRT(1+0.55*(AG148&gt;=1))),0)))&lt;=0,9999,(IFERROR(VLOOKUP(C149,Monsters!$T$4:$AH$15,2,FALSE),0))/(((105/'Rules &amp; Formulas'!B10)*'Rules &amp; Formulas'!B11+IF(AD148&gt;=1,(MAX(1,ROUND('Rules &amp; Formulas'!B18*(1+0.3*AE148)*(1+0.4*AF148),0)))*(1000/'Rules &amp; Formulas'!B19)*MIN(0.95,'Rules &amp; Formulas'!B20*SQRT(1+0.55*(AG148&gt;=1))),0))))&lt;='Rules &amp; Formulas'!B12),"WIN","LOSE"),"")</f>
        <v/>
      </c>
      <c r="Y149" s="7">
        <f>IF(B149="Go AFK",MIN(IF(B149="Go AFK",IF(D149="",0,D149),0),Z148/60),"")</f>
        <v/>
      </c>
      <c r="Z149" s="7">
        <f>('Rules &amp; Formulas'!B13+30*AI149)</f>
        <v/>
      </c>
      <c r="AA149">
        <f>COUNTIFS($B$3:$B149,"Buy upgrade",$C$3:$C149,"Idle Power")</f>
        <v/>
      </c>
      <c r="AB149">
        <f>COUNTIFS($B$3:$B149,"Buy upgrade",$C$3:$C149,"Iron Blade")</f>
        <v/>
      </c>
      <c r="AC149">
        <f>COUNTIFS($B$3:$B149,"Buy upgrade",$C$3:$C149,"Steel Blade")</f>
        <v/>
      </c>
      <c r="AD149">
        <f>COUNTIFS($B$3:$B149,"Hire hunter",$C$3:$C149,"Briar")+COUNTIFS($B$3:$B149,"Buy upgrade",$C$3:$C149,"Hire Briar")</f>
        <v/>
      </c>
      <c r="AE149">
        <f>COUNTIFS($B$3:$B149,"Buy upgrade",$C$3:$C149,"Hunter Power")</f>
        <v/>
      </c>
      <c r="AF149">
        <f>COUNTIFS($B$3:$B149,"Buy upgrade",$C$3:$C149,"Bigger Hits")</f>
        <v/>
      </c>
      <c r="AG149">
        <f>COUNTIFS($B$3:$B149,"Buy upgrade",$C$3:$C149,"Swift Walk")</f>
        <v/>
      </c>
      <c r="AH149">
        <f>COUNTIFS($B$3:$B149,"Buy upgrade",$C$3:$C149,"Loot Luck")</f>
        <v/>
      </c>
      <c r="AI149">
        <f>COUNTIFS($B$3:$B149,"Buy upgrade",$C$3:$C149,"Offline Cap")</f>
        <v/>
      </c>
      <c r="AJ149">
        <f>COUNTIFS($B$3:$B149,"Buy upgrade",$C$3:$C149,"Bigger Food Stock")</f>
        <v/>
      </c>
      <c r="AK149">
        <f>COUNTIFS($B$3:$B149,"Buy upgrade",$C$3:$C149,"Food Efficiency")</f>
        <v/>
      </c>
    </row>
    <row r="150">
      <c r="A150" t="n">
        <v>148</v>
      </c>
      <c r="B150" s="6" t="n"/>
      <c r="C150" s="6" t="n"/>
      <c r="D150" s="6" t="n"/>
      <c r="E150" s="7">
        <f>IF(B150="","",IF(OR(B150="Hunt",B150="Go AFK"),IF(C150="","Can't","OK"),IF(B150="Fight boss",IF(I149&lt;IF((IFERROR(VLOOKUP(C150,Monsters!$T$4:$AH$15,15,FALSE),0))=0,120,IFERROR(VLOOKUP(C150,Monsters!$T$4:$AH$15,15,FALSE),0)),"Can't","OK"),IF(B150="Hire hunter",IF(AND(C150="Briar",AD149&gt;=1),"Can't",IF(H149&lt;IF(C150="Briar",140,IF(C150="Quill",3650,IF(C150="Moss",4850,IF(C150="Ember",12200,0)))),"Can't","OK")),IF(OR(B150="Buy upgrade",B150="Forge/Scrapwork buy"),IF(IFERROR(VLOOKUP(C150,Upgrades!$N$4:$T$47,2,FALSE),0)="points","Can't",IF(IFERROR(VLOOKUP(C150,Upgrades!$N$4:$T$47,2,FALSE),0)="gold",IF(H149&lt;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buy",$C$3:$C149,C150))),1),0),"Can't","OK"),IF(IFERROR(VLOOKUP(C150,Upgrades!$N$4:$T$47,2,FALSE),0)="scraps",IF(J149&lt;IFERROR(FLOOR(IFERROR(VLOOKUP(C150,Upgrades!$N$4:$T$47,3,FALSE),0)*(IFERROR(VLOOKUP(C150,Upgrades!$N$4:$T$47,4,FALSE),0)^(COUNTIFS($B$3:$B149,"Buy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buy",$C$3:$C149,C150))),1),0),"Can't","OK"),IF(IFERROR(VLOOKUP(C150,Upgrades!$N$4:$T$47,2,FALSE),0)="mats","Can't","OK")))),"Check")))))</f>
        <v/>
      </c>
      <c r="F150" s="7">
        <f>IF(B150="","",IF(AND(B150="Fight boss",I149&lt;IF((IFERROR(VLOOKUP(C150,Monsters!$T$4:$AH$15,15,FALSE),0))=0,120,IFERROR(VLOOKUP(C150,Monsters!$T$4:$AH$15,15,FALSE),0))),"Can't — need "&amp;TEXT(IF((IFERROR(VLOOKUP(C150,Monsters!$T$4:$AH$15,15,FALSE),0))=0,120,IFERROR(VLOOKUP(C150,Monsters!$T$4:$AH$15,15,FALSE),0))-I149,"0.0")&amp;" more Slayer points on the meter",IF(AND(B150="Hire hunter",C150="Briar",AD149&gt;=1),"Can't — already hired",IF(AND(B150="Hire hunter",H149&lt;IF(C150="Briar",140,IF(C150="Quill",3650,IF(C150="Moss",4850,IF(C150="Ember",12200,0))))),"Can't — need "&amp;TEXT(IF(C150="Briar",140,IF(C150="Quill",3650,IF(C150="Moss",4850,IF(C150="Ember",12200,0))))-H149,"0")&amp;" more gold",IF(AND(OR(B150="Buy upgrade",B150="Forge/Scrapwork buy"),IFERROR(VLOOKUP(C150,Upgrades!$N$4:$T$47,2,FALSE),0)="points"),"Can't — Sp-wallet spends not tracked here",IF(AND(OR(B150="Buy upgrade",B150="Forge/Scrapwork buy"),IFERROR(VLOOKUP(C150,Upgrades!$N$4:$T$47,2,FALSE),0)="gold",H149&lt;IFERROR(FLOOR(IFERROR(VLOOKUP(C150,Upgrades!$N$4:$T$47,3,FALSE),0)*(IFERROR(VLOOKUP(C150,Upgrades!$N$4:$T$47,4,FALSE),0)^(COUNTIFS($B$3:$B149,"Buy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buy",$C$3:$C149,C150))),1),0)),"Can't — need "&amp;TEXT(IFERROR(FLOOR(IFERROR(VLOOKUP(C150,Upgrades!$N$4:$T$47,3,FALSE),0)*(IFERROR(VLOOKUP(C150,Upgrades!$N$4:$T$47,4,FALSE),0)^(COUNTIFS($B$3:$B149,"Buy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buy",$C$3:$C149,C150))),1),0)-H149,"0")&amp;" more gold",IF(AND(OR(B150="Buy upgrade",B150="Forge/Scrapwork buy"),IFERROR(VLOOKUP(C150,Upgrades!$N$4:$T$47,2,FALSE),0)="scraps",J149&lt;IFERROR(FLOOR(IFERROR(VLOOKUP(C150,Upgrades!$N$4:$T$47,3,FALSE),0)*(IFERROR(VLOOKUP(C150,Upgrades!$N$4:$T$47,4,FALSE),0)^(COUNTIFS($B$3:$B149,"Buy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buy",$C$3:$C149,C150))),1),0)),"Can't — need "&amp;TEXT(IFERROR(FLOOR(IFERROR(VLOOKUP(C150,Upgrades!$N$4:$T$47,3,FALSE),0)*(IFERROR(VLOOKUP(C150,Upgrades!$N$4:$T$47,4,FALSE),0)^(COUNTIFS($B$3:$B149,"Buy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buy",$C$3:$C149,C150))),1),0)-J149,"0")&amp;" more scraps",IF(AND(B150="Fight boss",E150="OK",(IF((((105/'Rules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Formulas'!B12)),"WIN — boss down, next Level unlocks",IF(AND(B150="Fight boss",E150="OK"),"LOSE — TTK "&amp;TEXT(IF((((105/'Rules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Formulas'!B20*SQRT(1+0.55*(AG149&gt;=1))),0)))),"0")&amp;"s &gt; patience "&amp;TEXT('Rules &amp; Formulas'!B12,"0")&amp;"s (leave resets HP)",IF(B150="Go AFK","AFK resolved (see AFK counted h)","Applied")))))))))</f>
        <v/>
      </c>
      <c r="G150" s="7">
        <f>IF(AND((E150="OK"),B150="Fight boss",(IF((((105/'Rules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Formulas'!B12),C150="Elder Thornpelt"),2,IF(AND((E150="OK"),B150="Fight boss",(IF((((105/'Rules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Formulas'!B12),C150="Ashfang Alpha"),3,G149))</f>
        <v/>
      </c>
      <c r="H150" s="7">
        <f>MAX(0,H149+IF(AND((E150="OK"),B150="Hunt"),(IF(B150="Hunt",(('Rules &amp; Formulas'!B4*N149*('Rules &amp; Formulas'!B5+O149)*IFERROR(VLOOKUP(C150,Monsters!$T$4:$AH$15,10,FALSE),0)*IFERROR(VLOOKUP(C150,Monsters!$T$4:$AH$15,9,FALSE),0))*'Rules &amp; Formulas'!B6)*IF(D150="",0,D150),0))*(IFERROR(VLOOKUP(C150,Monsters!$T$4:$AH$15,3,FALSE),0))*(1+0.1*AH149)+(IF(OR(B150&lt;&gt;"Hunt",IFERROR(VLOOKUP(C150,Monsters!$T$4:$AH$15,6,FALSE),0)=0),0,FLOOR((IF(B150="Hunt",(('Rules &amp; Formulas'!B4*N149*('Rules &amp; Formulas'!B5+O149)*IFERROR(VLOOKUP(C150,Monsters!$T$4:$AH$15,10,FALSE),0)*IFERROR(VLOOKUP(C150,Monsters!$T$4:$AH$15,9,FALSE),0))*'Rules &amp; Formulas'!B6)*IF(D150="",0,D150),0))/MAX(1,IFERROR(VLOOKUP(C150,Monsters!$T$4:$AH$15,6,FALSE),0)),1)))*(IFERROR(VLOOKUP(C150,Monsters!$T$4:$AH$15,7,FALSE),0))*0.5*(1+0.1*AH149),0)+IF(AND((E150="OK"),B150="Go AFK"),(IF(B150="Go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AFK",IF(D150="",0,D150),0),Z149/60)*60)),0))*(IFERROR(VLOOKUP(C150,Monsters!$T$4:$AH$15,3,FALSE),0))*(1+0.1*AH149)+(IF(OR(B150&lt;&gt;"Go AFK",IFERROR(VLOOKUP(C150,Monsters!$T$4:$AH$15,6,FALSE),0)=0),0,FLOOR((IF(B150="Go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AFK",IF(D150="",0,D150),0),Z149/60)*60)),0))/MAX(1,IFERROR(VLOOKUP(C150,Monsters!$T$4:$AH$15,6,FALSE),0)),1)))*(IFERROR(VLOOKUP(C150,Monsters!$T$4:$AH$15,7,FALSE),0))*0.5*(1+0.1*AH149),0)+IF(AND((E150="OK"),B150="Fight boss",(IF((((105/'Rules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Formulas'!B12)),IFERROR(VLOOKUP(C150,Monsters!$T$4:$AH$15,3,FALSE),0),0)-IF(AND((E150="OK"),OR(B150="Buy upgrade",B150="Forge/Scrapwork buy"),IFERROR(VLOOKUP(C150,Upgrades!$N$4:$T$47,2,FALSE),0)="gold"),IFERROR(FLOOR(IFERROR(VLOOKUP(C150,Upgrades!$N$4:$T$47,3,FALSE),0)*(IFERROR(VLOOKUP(C150,Upgrades!$N$4:$T$47,4,FALSE),0)^(COUNTIFS($B$3:$B149,"Buy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buy",$C$3:$C149,C150))),1),0),0)-IF(AND((E150="OK"),B150="Hire hunter"),IF(C150="Briar",140,IF(C150="Quill",3650,IF(C150="Moss",4850,IF(C150="Ember",12200,0)))),0))</f>
        <v/>
      </c>
      <c r="I150" s="7">
        <f>IF(AND((E150="OK"),B150="Fight boss",(IF((((105/'Rules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Formulas'!B12)),0,MIN(IF(G149&lt;=1,120,IF(G149=2,280,600)),I149+IF(AND((E150="OK"),B150="Hunt"),((IF(B150="Hunt",(('Rules &amp; Formulas'!B4*N149*('Rules &amp; Formulas'!B5+O149)*IFERROR(VLOOKUP(C150,Monsters!$T$4:$AH$15,10,FALSE),0)*IFERROR(VLOOKUP(C150,Monsters!$T$4:$AH$15,9,FALSE),0))*'Rules &amp; Formulas'!B6)*IF(D150="",0,D150),0))*(IFERROR(VLOOKUP(C150,Monsters!$T$4:$AH$15,4,FALSE),0))+(IF(OR(B150&lt;&gt;"Hunt",IFERROR(VLOOKUP(C150,Monsters!$T$4:$AH$15,6,FALSE),0)=0),0,FLOOR((IF(B150="Hunt",(('Rules &amp; Formulas'!B4*N149*('Rules &amp; Formulas'!B5+O149)*IFERROR(VLOOKUP(C150,Monsters!$T$4:$AH$15,10,FALSE),0)*IFERROR(VLOOKUP(C150,Monsters!$T$4:$AH$15,9,FALSE),0))*'Rules &amp; Formulas'!B6)*IF(D150="",0,D150),0))/MAX(1,IFERROR(VLOOKUP(C150,Monsters!$T$4:$AH$15,6,FALSE),0)),1)))*(IFERROR(VLOOKUP(C150,Monsters!$T$4:$AH$15,7,FALSE),0))),0)+IF(AND((E150="OK"),B150="Go AFK"),((IF(B150="Go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AFK",IF(D150="",0,D150),0),Z149/60)*60)),0))*(IFERROR(VLOOKUP(C150,Monsters!$T$4:$AH$15,4,FALSE),0))+(IF(OR(B150&lt;&gt;"Go AFK",IFERROR(VLOOKUP(C150,Monsters!$T$4:$AH$15,6,FALSE),0)=0),0,FLOOR((IF(B150="Go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AFK",IF(D150="",0,D150),0),Z149/60)*60)),0))/MAX(1,IFERROR(VLOOKUP(C150,Monsters!$T$4:$AH$15,6,FALSE),0)),1)))*(IFERROR(VLOOKUP(C150,Monsters!$T$4:$AH$15,7,FALSE),0))),0)))</f>
        <v/>
      </c>
      <c r="J150" s="7">
        <f>MAX(0,J149+IF(AND((E150="OK"),B150="Hunt"),(IF(B150="Hunt",(('Rules &amp; Formulas'!B4*N149*('Rules &amp; Formulas'!B5+O149)*IFERROR(VLOOKUP(C150,Monsters!$T$4:$AH$15,10,FALSE),0)*IFERROR(VLOOKUP(C150,Monsters!$T$4:$AH$15,9,FALSE),0))*'Rules &amp; Formulas'!B6)*IF(D150="",0,D150),0))*(IFERROR(VLOOKUP(C150,Monsters!$T$4:$AH$15,5,FALSE),0)),0)+IF(AND((E150="OK"),B150="Go AFK"),(IF(B150="Go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AFK",IF(D150="",0,D150),0),Z149/60)*60)),0))*(IFERROR(VLOOKUP(C150,Monsters!$T$4:$AH$15,5,FALSE),0)),0)-IF(AND((E150="OK"),OR(B150="Buy upgrade",B150="Forge/Scrapwork buy"),IFERROR(VLOOKUP(C150,Upgrades!$N$4:$T$47,2,FALSE),0)="scraps"),IFERROR(FLOOR(IFERROR(VLOOKUP(C150,Upgrades!$N$4:$T$47,3,FALSE),0)*(IFERROR(VLOOKUP(C150,Upgrades!$N$4:$T$47,4,FALSE),0)^(COUNTIFS($B$3:$B149,"Buy upgrade",$C$3:$C149,C150)+COUNTIFS($B$3:$B149,"Hire hunter",$C$3:$C149,C150)+COUNTIFS($B$3:$B149,"Forge/Scrapwork buy",$C$3:$C149,C150))),1),0),0))</f>
        <v/>
      </c>
      <c r="K150" s="7">
        <f>MAX(0,K149+IF(AND((E150="OK"),B150="Hunt"),IF(C150="Thornpelt Bear",(IF(B150="Hunt",(('Rules &amp; Formulas'!B4*N149*('Rules &amp; Formulas'!B5+O149)*IFERROR(VLOOKUP(C150,Monsters!$T$4:$AH$15,10,FALSE),0)*IFERROR(VLOOKUP(C150,Monsters!$T$4:$AH$15,9,FALSE),0))*'Rules &amp; Formulas'!B6)*IF(D150="",0,D150),0))*0.12,0),0)+IF(AND((E150="OK"),B150="Go AFK"),IF(C150="Thornpelt Bear",(IF(B150="Go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AFK",IF(D150="",0,D150),0),Z149/60)*60)),0))*0.12,0),0))</f>
        <v/>
      </c>
      <c r="L150" s="7">
        <f>MAX(0,L149+IF(AND((E150="OK"),B150="Hunt"),IF(C150="Dire Thornpelt",(IF(B150="Hunt",(('Rules &amp; Formulas'!B4*N149*('Rules &amp; Formulas'!B5+O149)*IFERROR(VLOOKUP(C150,Monsters!$T$4:$AH$15,10,FALSE),0)*IFERROR(VLOOKUP(C150,Monsters!$T$4:$AH$15,9,FALSE),0))*'Rules &amp; Formulas'!B6)*IF(D150="",0,D150),0))*0.1,0),0)+IF(AND((E150="OK"),B150="Go AFK"),IF(C150="Dire Thornpelt",(IF(B150="Go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AFK",IF(D150="",0,D150),0),Z149/60)*60)),0))*0.1,0),0))</f>
        <v/>
      </c>
      <c r="M150" s="7">
        <f>IF(AND((E150="OK"),B150="Go AFK"),MAX(0,MIN(('Rules &amp; Formulas'!B15+25*AJ149),M149+('Rules &amp; Formulas'!B14+0.4*AJ149)*(MIN(IF(B150="Go AFK",IF(D150="",0,D150),0),Z149/60)*60))-(IF(B150="Go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AFK",IF(D150="",0,D150),0),Z149/60)*60)),0))*(IF((IFERROR(VLOOKUP(C150,Monsters!$T$4:$AH$15,8,FALSE),0))=0,0.35,IFERROR(VLOOKUP(C150,Monsters!$T$4:$AH$15,8,FALSE),0))/(1+0.08*AK149))),MIN(('Rules &amp; Formulas'!B15+25*AJ150),M149))</f>
        <v/>
      </c>
      <c r="N150" s="7">
        <f>(1+0.08+0.12*AA150+0.12*AB150+0.16*AC150)</f>
        <v/>
      </c>
      <c r="O150" s="7">
        <f>((AD150&gt;=1)*1*(1+0.3*AE150))</f>
        <v/>
      </c>
      <c r="P150" s="7">
        <f>IF(OR(B150="Hunt",B150="Go AFK"),(('Rules &amp; Formulas'!B4*N149*('Rules &amp; Formulas'!B5+O149)*IFERROR(VLOOKUP(C150,Monsters!$T$4:$AH$15,10,FALSE),0)*IFERROR(VLOOKUP(C150,Monsters!$T$4:$AH$15,9,FALSE),0))*'Rules &amp; Formulas'!B6),"")</f>
        <v/>
      </c>
      <c r="Q150" s="7">
        <f>IF(OR(B150="Hunt",B150="Go AFK"),('Rules &amp; Formulas'!B4*N149*('Rules &amp; Formulas'!B5+O149)*IFERROR(VLOOKUP(C150,Monsters!$T$4:$AH$15,10,FALSE),0)*IFERROR(VLOOKUP(C150,Monsters!$T$4:$AH$15,9,FALSE),0)),"")</f>
        <v/>
      </c>
      <c r="R150" s="7">
        <f>IF(AND((E150="OK"),B150="Hunt"),IF(B150="Hunt",(('Rules &amp; Formulas'!B4*N149*('Rules &amp; Formulas'!B5+O149)*IFERROR(VLOOKUP(C150,Monsters!$T$4:$AH$15,10,FALSE),0)*IFERROR(VLOOKUP(C150,Monsters!$T$4:$AH$15,9,FALSE),0))*'Rules &amp; Formulas'!B6)*IF(D150="",0,D150),0),IF(AND((E150="OK"),B150="Go AFK"),IF(B150="Go AFK",MIN(IF((IF((IFERROR(VLOOKUP(C150,Monsters!$T$4:$AH$15,8,FALSE),0))=0,0.35,IFERROR(VLOOKUP(C150,Monsters!$T$4:$AH$15,8,FALSE),0))/(1+0.08*AK149))&lt;=0,999999,FLOOR(MIN(('Rules &amp; Formulas'!B15+25*AJ149),M149+('Rules &amp; Formulas'!B14+0.4*AJ149)*(MIN(IF(B150="Go AFK",IF(D150="",0,D150),0),Z149/60)*60))/(IF((IFERROR(VLOOKUP(C150,Monsters!$T$4:$AH$15,8,FALSE),0))=0,0.35,IFERROR(VLOOKUP(C150,Monsters!$T$4:$AH$15,8,FALSE),0))/(1+0.08*AK149)),1)),('Rules &amp; Formulas'!B4*N149*('Rules &amp; Formulas'!B5+O149)*IFERROR(VLOOKUP(C150,Monsters!$T$4:$AH$15,10,FALSE),0)*IFERROR(VLOOKUP(C150,Monsters!$T$4:$AH$15,9,FALSE),0))*(MIN(IF(B150="Go AFK",IF(D150="",0,D150),0),Z149/60)*60)),0),0))</f>
        <v/>
      </c>
      <c r="S150" s="7">
        <f>(105/'Rules &amp; Formulas'!B10)*'Rules &amp; Formulas'!B11</f>
        <v/>
      </c>
      <c r="T150" s="7">
        <f>IF(AD149&gt;=1,(MAX(1,ROUND('Rules &amp; Formulas'!B18*(1+0.3*AE149)*(1+0.4*AF149),0)))*(1000/'Rules &amp; Formulas'!B19)*MIN(0.95,'Rules &amp; Formulas'!B20*SQRT(1+0.55*(AG149&gt;=1))),0)</f>
        <v/>
      </c>
      <c r="U150" s="7">
        <f>S150+T150</f>
        <v/>
      </c>
      <c r="V150" s="7">
        <f>IF(I149&gt;=IF((IFERROR(VLOOKUP(C150,Monsters!$T$4:$AH$15,15,FALSE),0))=0,120,IFERROR(VLOOKUP(C150,Monsters!$T$4:$AH$15,15,FALSE),0)),"YES","no")</f>
        <v/>
      </c>
      <c r="W150" s="7">
        <f>IF(AND(B150="Fight boss",E150="OK"),IF((((105/'Rules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Formulas'!B20*SQRT(1+0.55*(AG149&gt;=1))),0)))),"")</f>
        <v/>
      </c>
      <c r="X150" s="7">
        <f>IF(AND(B150="Fight boss",E150="OK"),IF((IF((((105/'Rules &amp; Formulas'!B10)*'Rules &amp; Formulas'!B11+IF(AD149&gt;=1,(MAX(1,ROUND('Rules &amp; Formulas'!B18*(1+0.3*AE149)*(1+0.4*AF149),0)))*(1000/'Rules &amp; Formulas'!B19)*MIN(0.95,'Rules &amp; Formulas'!B20*SQRT(1+0.55*(AG149&gt;=1))),0)))&lt;=0,9999,(IFERROR(VLOOKUP(C150,Monsters!$T$4:$AH$15,2,FALSE),0))/(((105/'Rules &amp; Formulas'!B10)*'Rules &amp; Formulas'!B11+IF(AD149&gt;=1,(MAX(1,ROUND('Rules &amp; Formulas'!B18*(1+0.3*AE149)*(1+0.4*AF149),0)))*(1000/'Rules &amp; Formulas'!B19)*MIN(0.95,'Rules &amp; Formulas'!B20*SQRT(1+0.55*(AG149&gt;=1))),0))))&lt;='Rules &amp; Formulas'!B12),"WIN","LOSE"),"")</f>
        <v/>
      </c>
      <c r="Y150" s="7">
        <f>IF(B150="Go AFK",MIN(IF(B150="Go AFK",IF(D150="",0,D150),0),Z149/60),"")</f>
        <v/>
      </c>
      <c r="Z150" s="7">
        <f>('Rules &amp; Formulas'!B13+30*AI150)</f>
        <v/>
      </c>
      <c r="AA150">
        <f>COUNTIFS($B$3:$B150,"Buy upgrade",$C$3:$C150,"Idle Power")</f>
        <v/>
      </c>
      <c r="AB150">
        <f>COUNTIFS($B$3:$B150,"Buy upgrade",$C$3:$C150,"Iron Blade")</f>
        <v/>
      </c>
      <c r="AC150">
        <f>COUNTIFS($B$3:$B150,"Buy upgrade",$C$3:$C150,"Steel Blade")</f>
        <v/>
      </c>
      <c r="AD150">
        <f>COUNTIFS($B$3:$B150,"Hire hunter",$C$3:$C150,"Briar")+COUNTIFS($B$3:$B150,"Buy upgrade",$C$3:$C150,"Hire Briar")</f>
        <v/>
      </c>
      <c r="AE150">
        <f>COUNTIFS($B$3:$B150,"Buy upgrade",$C$3:$C150,"Hunter Power")</f>
        <v/>
      </c>
      <c r="AF150">
        <f>COUNTIFS($B$3:$B150,"Buy upgrade",$C$3:$C150,"Bigger Hits")</f>
        <v/>
      </c>
      <c r="AG150">
        <f>COUNTIFS($B$3:$B150,"Buy upgrade",$C$3:$C150,"Swift Walk")</f>
        <v/>
      </c>
      <c r="AH150">
        <f>COUNTIFS($B$3:$B150,"Buy upgrade",$C$3:$C150,"Loot Luck")</f>
        <v/>
      </c>
      <c r="AI150">
        <f>COUNTIFS($B$3:$B150,"Buy upgrade",$C$3:$C150,"Offline Cap")</f>
        <v/>
      </c>
      <c r="AJ150">
        <f>COUNTIFS($B$3:$B150,"Buy upgrade",$C$3:$C150,"Bigger Food Stock")</f>
        <v/>
      </c>
      <c r="AK150">
        <f>COUNTIFS($B$3:$B150,"Buy upgrade",$C$3:$C150,"Food Efficiency")</f>
        <v/>
      </c>
    </row>
    <row r="151">
      <c r="A151" t="n">
        <v>149</v>
      </c>
      <c r="B151" s="6" t="n"/>
      <c r="C151" s="6" t="n"/>
      <c r="D151" s="6" t="n"/>
      <c r="E151" s="7">
        <f>IF(B151="","",IF(OR(B151="Hunt",B151="Go AFK"),IF(C151="","Can't","OK"),IF(B151="Fight boss",IF(I150&lt;IF((IFERROR(VLOOKUP(C151,Monsters!$T$4:$AH$15,15,FALSE),0))=0,120,IFERROR(VLOOKUP(C151,Monsters!$T$4:$AH$15,15,FALSE),0)),"Can't","OK"),IF(B151="Hire hunter",IF(AND(C151="Briar",AD150&gt;=1),"Can't",IF(H150&lt;IF(C151="Briar",140,IF(C151="Quill",3650,IF(C151="Moss",4850,IF(C151="Ember",12200,0)))),"Can't","OK")),IF(OR(B151="Buy upgrade",B151="Forge/Scrapwork buy"),IF(IFERROR(VLOOKUP(C151,Upgrades!$N$4:$T$47,2,FALSE),0)="points","Can't",IF(IFERROR(VLOOKUP(C151,Upgrades!$N$4:$T$47,2,FALSE),0)="gold",IF(H150&lt;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buy",$C$3:$C150,C151))),1),0),"Can't","OK"),IF(IFERROR(VLOOKUP(C151,Upgrades!$N$4:$T$47,2,FALSE),0)="scraps",IF(J150&lt;IFERROR(FLOOR(IFERROR(VLOOKUP(C151,Upgrades!$N$4:$T$47,3,FALSE),0)*(IFERROR(VLOOKUP(C151,Upgrades!$N$4:$T$47,4,FALSE),0)^(COUNTIFS($B$3:$B150,"Buy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buy",$C$3:$C150,C151))),1),0),"Can't","OK"),IF(IFERROR(VLOOKUP(C151,Upgrades!$N$4:$T$47,2,FALSE),0)="mats","Can't","OK")))),"Check")))))</f>
        <v/>
      </c>
      <c r="F151" s="7">
        <f>IF(B151="","",IF(AND(B151="Fight boss",I150&lt;IF((IFERROR(VLOOKUP(C151,Monsters!$T$4:$AH$15,15,FALSE),0))=0,120,IFERROR(VLOOKUP(C151,Monsters!$T$4:$AH$15,15,FALSE),0))),"Can't — need "&amp;TEXT(IF((IFERROR(VLOOKUP(C151,Monsters!$T$4:$AH$15,15,FALSE),0))=0,120,IFERROR(VLOOKUP(C151,Monsters!$T$4:$AH$15,15,FALSE),0))-I150,"0.0")&amp;" more Slayer points on the meter",IF(AND(B151="Hire hunter",C151="Briar",AD150&gt;=1),"Can't — already hired",IF(AND(B151="Hire hunter",H150&lt;IF(C151="Briar",140,IF(C151="Quill",3650,IF(C151="Moss",4850,IF(C151="Ember",12200,0))))),"Can't — need "&amp;TEXT(IF(C151="Briar",140,IF(C151="Quill",3650,IF(C151="Moss",4850,IF(C151="Ember",12200,0))))-H150,"0")&amp;" more gold",IF(AND(OR(B151="Buy upgrade",B151="Forge/Scrapwork buy"),IFERROR(VLOOKUP(C151,Upgrades!$N$4:$T$47,2,FALSE),0)="points"),"Can't — Sp-wallet spends not tracked here",IF(AND(OR(B151="Buy upgrade",B151="Forge/Scrapwork buy"),IFERROR(VLOOKUP(C151,Upgrades!$N$4:$T$47,2,FALSE),0)="gold",H150&lt;IFERROR(FLOOR(IFERROR(VLOOKUP(C151,Upgrades!$N$4:$T$47,3,FALSE),0)*(IFERROR(VLOOKUP(C151,Upgrades!$N$4:$T$47,4,FALSE),0)^(COUNTIFS($B$3:$B150,"Buy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buy",$C$3:$C150,C151))),1),0)),"Can't — need "&amp;TEXT(IFERROR(FLOOR(IFERROR(VLOOKUP(C151,Upgrades!$N$4:$T$47,3,FALSE),0)*(IFERROR(VLOOKUP(C151,Upgrades!$N$4:$T$47,4,FALSE),0)^(COUNTIFS($B$3:$B150,"Buy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buy",$C$3:$C150,C151))),1),0)-H150,"0")&amp;" more gold",IF(AND(OR(B151="Buy upgrade",B151="Forge/Scrapwork buy"),IFERROR(VLOOKUP(C151,Upgrades!$N$4:$T$47,2,FALSE),0)="scraps",J150&lt;IFERROR(FLOOR(IFERROR(VLOOKUP(C151,Upgrades!$N$4:$T$47,3,FALSE),0)*(IFERROR(VLOOKUP(C151,Upgrades!$N$4:$T$47,4,FALSE),0)^(COUNTIFS($B$3:$B150,"Buy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buy",$C$3:$C150,C151))),1),0)),"Can't — need "&amp;TEXT(IFERROR(FLOOR(IFERROR(VLOOKUP(C151,Upgrades!$N$4:$T$47,3,FALSE),0)*(IFERROR(VLOOKUP(C151,Upgrades!$N$4:$T$47,4,FALSE),0)^(COUNTIFS($B$3:$B150,"Buy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buy",$C$3:$C150,C151))),1),0)-J150,"0")&amp;" more scraps",IF(AND(B151="Fight boss",E151="OK",(IF((((105/'Rules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Formulas'!B12)),"WIN — boss down, next Level unlocks",IF(AND(B151="Fight boss",E151="OK"),"LOSE — TTK "&amp;TEXT(IF((((105/'Rules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Formulas'!B20*SQRT(1+0.55*(AG150&gt;=1))),0)))),"0")&amp;"s &gt; patience "&amp;TEXT('Rules &amp; Formulas'!B12,"0")&amp;"s (leave resets HP)",IF(B151="Go AFK","AFK resolved (see AFK counted h)","Applied")))))))))</f>
        <v/>
      </c>
      <c r="G151" s="7">
        <f>IF(AND((E151="OK"),B151="Fight boss",(IF((((105/'Rules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Formulas'!B12),C151="Elder Thornpelt"),2,IF(AND((E151="OK"),B151="Fight boss",(IF((((105/'Rules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Formulas'!B12),C151="Ashfang Alpha"),3,G150))</f>
        <v/>
      </c>
      <c r="H151" s="7">
        <f>MAX(0,H150+IF(AND((E151="OK"),B151="Hunt"),(IF(B151="Hunt",(('Rules &amp; Formulas'!B4*N150*('Rules &amp; Formulas'!B5+O150)*IFERROR(VLOOKUP(C151,Monsters!$T$4:$AH$15,10,FALSE),0)*IFERROR(VLOOKUP(C151,Monsters!$T$4:$AH$15,9,FALSE),0))*'Rules &amp; Formulas'!B6)*IF(D151="",0,D151),0))*(IFERROR(VLOOKUP(C151,Monsters!$T$4:$AH$15,3,FALSE),0))*(1+0.1*AH150)+(IF(OR(B151&lt;&gt;"Hunt",IFERROR(VLOOKUP(C151,Monsters!$T$4:$AH$15,6,FALSE),0)=0),0,FLOOR((IF(B151="Hunt",(('Rules &amp; Formulas'!B4*N150*('Rules &amp; Formulas'!B5+O150)*IFERROR(VLOOKUP(C151,Monsters!$T$4:$AH$15,10,FALSE),0)*IFERROR(VLOOKUP(C151,Monsters!$T$4:$AH$15,9,FALSE),0))*'Rules &amp; Formulas'!B6)*IF(D151="",0,D151),0))/MAX(1,IFERROR(VLOOKUP(C151,Monsters!$T$4:$AH$15,6,FALSE),0)),1)))*(IFERROR(VLOOKUP(C151,Monsters!$T$4:$AH$15,7,FALSE),0))*0.5*(1+0.1*AH150),0)+IF(AND((E151="OK"),B151="Go AFK"),(IF(B151="Go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AFK",IF(D151="",0,D151),0),Z150/60)*60)),0))*(IFERROR(VLOOKUP(C151,Monsters!$T$4:$AH$15,3,FALSE),0))*(1+0.1*AH150)+(IF(OR(B151&lt;&gt;"Go AFK",IFERROR(VLOOKUP(C151,Monsters!$T$4:$AH$15,6,FALSE),0)=0),0,FLOOR((IF(B151="Go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AFK",IF(D151="",0,D151),0),Z150/60)*60)),0))/MAX(1,IFERROR(VLOOKUP(C151,Monsters!$T$4:$AH$15,6,FALSE),0)),1)))*(IFERROR(VLOOKUP(C151,Monsters!$T$4:$AH$15,7,FALSE),0))*0.5*(1+0.1*AH150),0)+IF(AND((E151="OK"),B151="Fight boss",(IF((((105/'Rules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Formulas'!B12)),IFERROR(VLOOKUP(C151,Monsters!$T$4:$AH$15,3,FALSE),0),0)-IF(AND((E151="OK"),OR(B151="Buy upgrade",B151="Forge/Scrapwork buy"),IFERROR(VLOOKUP(C151,Upgrades!$N$4:$T$47,2,FALSE),0)="gold"),IFERROR(FLOOR(IFERROR(VLOOKUP(C151,Upgrades!$N$4:$T$47,3,FALSE),0)*(IFERROR(VLOOKUP(C151,Upgrades!$N$4:$T$47,4,FALSE),0)^(COUNTIFS($B$3:$B150,"Buy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buy",$C$3:$C150,C151))),1),0),0)-IF(AND((E151="OK"),B151="Hire hunter"),IF(C151="Briar",140,IF(C151="Quill",3650,IF(C151="Moss",4850,IF(C151="Ember",12200,0)))),0))</f>
        <v/>
      </c>
      <c r="I151" s="7">
        <f>IF(AND((E151="OK"),B151="Fight boss",(IF((((105/'Rules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Formulas'!B12)),0,MIN(IF(G150&lt;=1,120,IF(G150=2,280,600)),I150+IF(AND((E151="OK"),B151="Hunt"),((IF(B151="Hunt",(('Rules &amp; Formulas'!B4*N150*('Rules &amp; Formulas'!B5+O150)*IFERROR(VLOOKUP(C151,Monsters!$T$4:$AH$15,10,FALSE),0)*IFERROR(VLOOKUP(C151,Monsters!$T$4:$AH$15,9,FALSE),0))*'Rules &amp; Formulas'!B6)*IF(D151="",0,D151),0))*(IFERROR(VLOOKUP(C151,Monsters!$T$4:$AH$15,4,FALSE),0))+(IF(OR(B151&lt;&gt;"Hunt",IFERROR(VLOOKUP(C151,Monsters!$T$4:$AH$15,6,FALSE),0)=0),0,FLOOR((IF(B151="Hunt",(('Rules &amp; Formulas'!B4*N150*('Rules &amp; Formulas'!B5+O150)*IFERROR(VLOOKUP(C151,Monsters!$T$4:$AH$15,10,FALSE),0)*IFERROR(VLOOKUP(C151,Monsters!$T$4:$AH$15,9,FALSE),0))*'Rules &amp; Formulas'!B6)*IF(D151="",0,D151),0))/MAX(1,IFERROR(VLOOKUP(C151,Monsters!$T$4:$AH$15,6,FALSE),0)),1)))*(IFERROR(VLOOKUP(C151,Monsters!$T$4:$AH$15,7,FALSE),0))),0)+IF(AND((E151="OK"),B151="Go AFK"),((IF(B151="Go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AFK",IF(D151="",0,D151),0),Z150/60)*60)),0))*(IFERROR(VLOOKUP(C151,Monsters!$T$4:$AH$15,4,FALSE),0))+(IF(OR(B151&lt;&gt;"Go AFK",IFERROR(VLOOKUP(C151,Monsters!$T$4:$AH$15,6,FALSE),0)=0),0,FLOOR((IF(B151="Go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AFK",IF(D151="",0,D151),0),Z150/60)*60)),0))/MAX(1,IFERROR(VLOOKUP(C151,Monsters!$T$4:$AH$15,6,FALSE),0)),1)))*(IFERROR(VLOOKUP(C151,Monsters!$T$4:$AH$15,7,FALSE),0))),0)))</f>
        <v/>
      </c>
      <c r="J151" s="7">
        <f>MAX(0,J150+IF(AND((E151="OK"),B151="Hunt"),(IF(B151="Hunt",(('Rules &amp; Formulas'!B4*N150*('Rules &amp; Formulas'!B5+O150)*IFERROR(VLOOKUP(C151,Monsters!$T$4:$AH$15,10,FALSE),0)*IFERROR(VLOOKUP(C151,Monsters!$T$4:$AH$15,9,FALSE),0))*'Rules &amp; Formulas'!B6)*IF(D151="",0,D151),0))*(IFERROR(VLOOKUP(C151,Monsters!$T$4:$AH$15,5,FALSE),0)),0)+IF(AND((E151="OK"),B151="Go AFK"),(IF(B151="Go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AFK",IF(D151="",0,D151),0),Z150/60)*60)),0))*(IFERROR(VLOOKUP(C151,Monsters!$T$4:$AH$15,5,FALSE),0)),0)-IF(AND((E151="OK"),OR(B151="Buy upgrade",B151="Forge/Scrapwork buy"),IFERROR(VLOOKUP(C151,Upgrades!$N$4:$T$47,2,FALSE),0)="scraps"),IFERROR(FLOOR(IFERROR(VLOOKUP(C151,Upgrades!$N$4:$T$47,3,FALSE),0)*(IFERROR(VLOOKUP(C151,Upgrades!$N$4:$T$47,4,FALSE),0)^(COUNTIFS($B$3:$B150,"Buy upgrade",$C$3:$C150,C151)+COUNTIFS($B$3:$B150,"Hire hunter",$C$3:$C150,C151)+COUNTIFS($B$3:$B150,"Forge/Scrapwork buy",$C$3:$C150,C151))),1),0),0))</f>
        <v/>
      </c>
      <c r="K151" s="7">
        <f>MAX(0,K150+IF(AND((E151="OK"),B151="Hunt"),IF(C151="Thornpelt Bear",(IF(B151="Hunt",(('Rules &amp; Formulas'!B4*N150*('Rules &amp; Formulas'!B5+O150)*IFERROR(VLOOKUP(C151,Monsters!$T$4:$AH$15,10,FALSE),0)*IFERROR(VLOOKUP(C151,Monsters!$T$4:$AH$15,9,FALSE),0))*'Rules &amp; Formulas'!B6)*IF(D151="",0,D151),0))*0.12,0),0)+IF(AND((E151="OK"),B151="Go AFK"),IF(C151="Thornpelt Bear",(IF(B151="Go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AFK",IF(D151="",0,D151),0),Z150/60)*60)),0))*0.12,0),0))</f>
        <v/>
      </c>
      <c r="L151" s="7">
        <f>MAX(0,L150+IF(AND((E151="OK"),B151="Hunt"),IF(C151="Dire Thornpelt",(IF(B151="Hunt",(('Rules &amp; Formulas'!B4*N150*('Rules &amp; Formulas'!B5+O150)*IFERROR(VLOOKUP(C151,Monsters!$T$4:$AH$15,10,FALSE),0)*IFERROR(VLOOKUP(C151,Monsters!$T$4:$AH$15,9,FALSE),0))*'Rules &amp; Formulas'!B6)*IF(D151="",0,D151),0))*0.1,0),0)+IF(AND((E151="OK"),B151="Go AFK"),IF(C151="Dire Thornpelt",(IF(B151="Go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AFK",IF(D151="",0,D151),0),Z150/60)*60)),0))*0.1,0),0))</f>
        <v/>
      </c>
      <c r="M151" s="7">
        <f>IF(AND((E151="OK"),B151="Go AFK"),MAX(0,MIN(('Rules &amp; Formulas'!B15+25*AJ150),M150+('Rules &amp; Formulas'!B14+0.4*AJ150)*(MIN(IF(B151="Go AFK",IF(D151="",0,D151),0),Z150/60)*60))-(IF(B151="Go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AFK",IF(D151="",0,D151),0),Z150/60)*60)),0))*(IF((IFERROR(VLOOKUP(C151,Monsters!$T$4:$AH$15,8,FALSE),0))=0,0.35,IFERROR(VLOOKUP(C151,Monsters!$T$4:$AH$15,8,FALSE),0))/(1+0.08*AK150))),MIN(('Rules &amp; Formulas'!B15+25*AJ151),M150))</f>
        <v/>
      </c>
      <c r="N151" s="7">
        <f>(1+0.08+0.12*AA151+0.12*AB151+0.16*AC151)</f>
        <v/>
      </c>
      <c r="O151" s="7">
        <f>((AD151&gt;=1)*1*(1+0.3*AE151))</f>
        <v/>
      </c>
      <c r="P151" s="7">
        <f>IF(OR(B151="Hunt",B151="Go AFK"),(('Rules &amp; Formulas'!B4*N150*('Rules &amp; Formulas'!B5+O150)*IFERROR(VLOOKUP(C151,Monsters!$T$4:$AH$15,10,FALSE),0)*IFERROR(VLOOKUP(C151,Monsters!$T$4:$AH$15,9,FALSE),0))*'Rules &amp; Formulas'!B6),"")</f>
        <v/>
      </c>
      <c r="Q151" s="7">
        <f>IF(OR(B151="Hunt",B151="Go AFK"),('Rules &amp; Formulas'!B4*N150*('Rules &amp; Formulas'!B5+O150)*IFERROR(VLOOKUP(C151,Monsters!$T$4:$AH$15,10,FALSE),0)*IFERROR(VLOOKUP(C151,Monsters!$T$4:$AH$15,9,FALSE),0)),"")</f>
        <v/>
      </c>
      <c r="R151" s="7">
        <f>IF(AND((E151="OK"),B151="Hunt"),IF(B151="Hunt",(('Rules &amp; Formulas'!B4*N150*('Rules &amp; Formulas'!B5+O150)*IFERROR(VLOOKUP(C151,Monsters!$T$4:$AH$15,10,FALSE),0)*IFERROR(VLOOKUP(C151,Monsters!$T$4:$AH$15,9,FALSE),0))*'Rules &amp; Formulas'!B6)*IF(D151="",0,D151),0),IF(AND((E151="OK"),B151="Go AFK"),IF(B151="Go AFK",MIN(IF((IF((IFERROR(VLOOKUP(C151,Monsters!$T$4:$AH$15,8,FALSE),0))=0,0.35,IFERROR(VLOOKUP(C151,Monsters!$T$4:$AH$15,8,FALSE),0))/(1+0.08*AK150))&lt;=0,999999,FLOOR(MIN(('Rules &amp; Formulas'!B15+25*AJ150),M150+('Rules &amp; Formulas'!B14+0.4*AJ150)*(MIN(IF(B151="Go AFK",IF(D151="",0,D151),0),Z150/60)*60))/(IF((IFERROR(VLOOKUP(C151,Monsters!$T$4:$AH$15,8,FALSE),0))=0,0.35,IFERROR(VLOOKUP(C151,Monsters!$T$4:$AH$15,8,FALSE),0))/(1+0.08*AK150)),1)),('Rules &amp; Formulas'!B4*N150*('Rules &amp; Formulas'!B5+O150)*IFERROR(VLOOKUP(C151,Monsters!$T$4:$AH$15,10,FALSE),0)*IFERROR(VLOOKUP(C151,Monsters!$T$4:$AH$15,9,FALSE),0))*(MIN(IF(B151="Go AFK",IF(D151="",0,D151),0),Z150/60)*60)),0),0))</f>
        <v/>
      </c>
      <c r="S151" s="7">
        <f>(105/'Rules &amp; Formulas'!B10)*'Rules &amp; Formulas'!B11</f>
        <v/>
      </c>
      <c r="T151" s="7">
        <f>IF(AD150&gt;=1,(MAX(1,ROUND('Rules &amp; Formulas'!B18*(1+0.3*AE150)*(1+0.4*AF150),0)))*(1000/'Rules &amp; Formulas'!B19)*MIN(0.95,'Rules &amp; Formulas'!B20*SQRT(1+0.55*(AG150&gt;=1))),0)</f>
        <v/>
      </c>
      <c r="U151" s="7">
        <f>S151+T151</f>
        <v/>
      </c>
      <c r="V151" s="7">
        <f>IF(I150&gt;=IF((IFERROR(VLOOKUP(C151,Monsters!$T$4:$AH$15,15,FALSE),0))=0,120,IFERROR(VLOOKUP(C151,Monsters!$T$4:$AH$15,15,FALSE),0)),"YES","no")</f>
        <v/>
      </c>
      <c r="W151" s="7">
        <f>IF(AND(B151="Fight boss",E151="OK"),IF((((105/'Rules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Formulas'!B20*SQRT(1+0.55*(AG150&gt;=1))),0)))),"")</f>
        <v/>
      </c>
      <c r="X151" s="7">
        <f>IF(AND(B151="Fight boss",E151="OK"),IF((IF((((105/'Rules &amp; Formulas'!B10)*'Rules &amp; Formulas'!B11+IF(AD150&gt;=1,(MAX(1,ROUND('Rules &amp; Formulas'!B18*(1+0.3*AE150)*(1+0.4*AF150),0)))*(1000/'Rules &amp; Formulas'!B19)*MIN(0.95,'Rules &amp; Formulas'!B20*SQRT(1+0.55*(AG150&gt;=1))),0)))&lt;=0,9999,(IFERROR(VLOOKUP(C151,Monsters!$T$4:$AH$15,2,FALSE),0))/(((105/'Rules &amp; Formulas'!B10)*'Rules &amp; Formulas'!B11+IF(AD150&gt;=1,(MAX(1,ROUND('Rules &amp; Formulas'!B18*(1+0.3*AE150)*(1+0.4*AF150),0)))*(1000/'Rules &amp; Formulas'!B19)*MIN(0.95,'Rules &amp; Formulas'!B20*SQRT(1+0.55*(AG150&gt;=1))),0))))&lt;='Rules &amp; Formulas'!B12),"WIN","LOSE"),"")</f>
        <v/>
      </c>
      <c r="Y151" s="7">
        <f>IF(B151="Go AFK",MIN(IF(B151="Go AFK",IF(D151="",0,D151),0),Z150/60),"")</f>
        <v/>
      </c>
      <c r="Z151" s="7">
        <f>('Rules &amp; Formulas'!B13+30*AI151)</f>
        <v/>
      </c>
      <c r="AA151">
        <f>COUNTIFS($B$3:$B151,"Buy upgrade",$C$3:$C151,"Idle Power")</f>
        <v/>
      </c>
      <c r="AB151">
        <f>COUNTIFS($B$3:$B151,"Buy upgrade",$C$3:$C151,"Iron Blade")</f>
        <v/>
      </c>
      <c r="AC151">
        <f>COUNTIFS($B$3:$B151,"Buy upgrade",$C$3:$C151,"Steel Blade")</f>
        <v/>
      </c>
      <c r="AD151">
        <f>COUNTIFS($B$3:$B151,"Hire hunter",$C$3:$C151,"Briar")+COUNTIFS($B$3:$B151,"Buy upgrade",$C$3:$C151,"Hire Briar")</f>
        <v/>
      </c>
      <c r="AE151">
        <f>COUNTIFS($B$3:$B151,"Buy upgrade",$C$3:$C151,"Hunter Power")</f>
        <v/>
      </c>
      <c r="AF151">
        <f>COUNTIFS($B$3:$B151,"Buy upgrade",$C$3:$C151,"Bigger Hits")</f>
        <v/>
      </c>
      <c r="AG151">
        <f>COUNTIFS($B$3:$B151,"Buy upgrade",$C$3:$C151,"Swift Walk")</f>
        <v/>
      </c>
      <c r="AH151">
        <f>COUNTIFS($B$3:$B151,"Buy upgrade",$C$3:$C151,"Loot Luck")</f>
        <v/>
      </c>
      <c r="AI151">
        <f>COUNTIFS($B$3:$B151,"Buy upgrade",$C$3:$C151,"Offline Cap")</f>
        <v/>
      </c>
      <c r="AJ151">
        <f>COUNTIFS($B$3:$B151,"Buy upgrade",$C$3:$C151,"Bigger Food Stock")</f>
        <v/>
      </c>
      <c r="AK151">
        <f>COUNTIFS($B$3:$B151,"Buy upgrade",$C$3:$C151,"Food Efficiency")</f>
        <v/>
      </c>
    </row>
    <row r="152">
      <c r="A152" t="n">
        <v>150</v>
      </c>
      <c r="B152" s="6" t="n"/>
      <c r="C152" s="6" t="n"/>
      <c r="D152" s="6" t="n"/>
      <c r="E152" s="7">
        <f>IF(B152="","",IF(OR(B152="Hunt",B152="Go AFK"),IF(C152="","Can't","OK"),IF(B152="Fight boss",IF(I151&lt;IF((IFERROR(VLOOKUP(C152,Monsters!$T$4:$AH$15,15,FALSE),0))=0,120,IFERROR(VLOOKUP(C152,Monsters!$T$4:$AH$15,15,FALSE),0)),"Can't","OK"),IF(B152="Hire hunter",IF(AND(C152="Briar",AD151&gt;=1),"Can't",IF(H151&lt;IF(C152="Briar",140,IF(C152="Quill",3650,IF(C152="Moss",4850,IF(C152="Ember",12200,0)))),"Can't","OK")),IF(OR(B152="Buy upgrade",B152="Forge/Scrapwork buy"),IF(IFERROR(VLOOKUP(C152,Upgrades!$N$4:$T$47,2,FALSE),0)="points","Can't",IF(IFERROR(VLOOKUP(C152,Upgrades!$N$4:$T$47,2,FALSE),0)="gold",IF(H151&lt;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buy",$C$3:$C151,C152))),1),0),"Can't","OK"),IF(IFERROR(VLOOKUP(C152,Upgrades!$N$4:$T$47,2,FALSE),0)="scraps",IF(J151&lt;IFERROR(FLOOR(IFERROR(VLOOKUP(C152,Upgrades!$N$4:$T$47,3,FALSE),0)*(IFERROR(VLOOKUP(C152,Upgrades!$N$4:$T$47,4,FALSE),0)^(COUNTIFS($B$3:$B151,"Buy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buy",$C$3:$C151,C152))),1),0),"Can't","OK"),IF(IFERROR(VLOOKUP(C152,Upgrades!$N$4:$T$47,2,FALSE),0)="mats","Can't","OK")))),"Check")))))</f>
        <v/>
      </c>
      <c r="F152" s="7">
        <f>IF(B152="","",IF(AND(B152="Fight boss",I151&lt;IF((IFERROR(VLOOKUP(C152,Monsters!$T$4:$AH$15,15,FALSE),0))=0,120,IFERROR(VLOOKUP(C152,Monsters!$T$4:$AH$15,15,FALSE),0))),"Can't — need "&amp;TEXT(IF((IFERROR(VLOOKUP(C152,Monsters!$T$4:$AH$15,15,FALSE),0))=0,120,IFERROR(VLOOKUP(C152,Monsters!$T$4:$AH$15,15,FALSE),0))-I151,"0.0")&amp;" more Slayer points on the meter",IF(AND(B152="Hire hunter",C152="Briar",AD151&gt;=1),"Can't — already hired",IF(AND(B152="Hire hunter",H151&lt;IF(C152="Briar",140,IF(C152="Quill",3650,IF(C152="Moss",4850,IF(C152="Ember",12200,0))))),"Can't — need "&amp;TEXT(IF(C152="Briar",140,IF(C152="Quill",3650,IF(C152="Moss",4850,IF(C152="Ember",12200,0))))-H151,"0")&amp;" more gold",IF(AND(OR(B152="Buy upgrade",B152="Forge/Scrapwork buy"),IFERROR(VLOOKUP(C152,Upgrades!$N$4:$T$47,2,FALSE),0)="points"),"Can't — Sp-wallet spends not tracked here",IF(AND(OR(B152="Buy upgrade",B152="Forge/Scrapwork buy"),IFERROR(VLOOKUP(C152,Upgrades!$N$4:$T$47,2,FALSE),0)="gold",H151&lt;IFERROR(FLOOR(IFERROR(VLOOKUP(C152,Upgrades!$N$4:$T$47,3,FALSE),0)*(IFERROR(VLOOKUP(C152,Upgrades!$N$4:$T$47,4,FALSE),0)^(COUNTIFS($B$3:$B151,"Buy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buy",$C$3:$C151,C152))),1),0)),"Can't — need "&amp;TEXT(IFERROR(FLOOR(IFERROR(VLOOKUP(C152,Upgrades!$N$4:$T$47,3,FALSE),0)*(IFERROR(VLOOKUP(C152,Upgrades!$N$4:$T$47,4,FALSE),0)^(COUNTIFS($B$3:$B151,"Buy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buy",$C$3:$C151,C152))),1),0)-H151,"0")&amp;" more gold",IF(AND(OR(B152="Buy upgrade",B152="Forge/Scrapwork buy"),IFERROR(VLOOKUP(C152,Upgrades!$N$4:$T$47,2,FALSE),0)="scraps",J151&lt;IFERROR(FLOOR(IFERROR(VLOOKUP(C152,Upgrades!$N$4:$T$47,3,FALSE),0)*(IFERROR(VLOOKUP(C152,Upgrades!$N$4:$T$47,4,FALSE),0)^(COUNTIFS($B$3:$B151,"Buy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buy",$C$3:$C151,C152))),1),0)),"Can't — need "&amp;TEXT(IFERROR(FLOOR(IFERROR(VLOOKUP(C152,Upgrades!$N$4:$T$47,3,FALSE),0)*(IFERROR(VLOOKUP(C152,Upgrades!$N$4:$T$47,4,FALSE),0)^(COUNTIFS($B$3:$B151,"Buy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buy",$C$3:$C151,C152))),1),0)-J151,"0")&amp;" more scraps",IF(AND(B152="Fight boss",E152="OK",(IF((((105/'Rules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Formulas'!B12)),"WIN — boss down, next Level unlocks",IF(AND(B152="Fight boss",E152="OK"),"LOSE — TTK "&amp;TEXT(IF((((105/'Rules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Formulas'!B20*SQRT(1+0.55*(AG151&gt;=1))),0)))),"0")&amp;"s &gt; patience "&amp;TEXT('Rules &amp; Formulas'!B12,"0")&amp;"s (leave resets HP)",IF(B152="Go AFK","AFK resolved (see AFK counted h)","Applied")))))))))</f>
        <v/>
      </c>
      <c r="G152" s="7">
        <f>IF(AND((E152="OK"),B152="Fight boss",(IF((((105/'Rules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Formulas'!B12),C152="Elder Thornpelt"),2,IF(AND((E152="OK"),B152="Fight boss",(IF((((105/'Rules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Formulas'!B12),C152="Ashfang Alpha"),3,G151))</f>
        <v/>
      </c>
      <c r="H152" s="7">
        <f>MAX(0,H151+IF(AND((E152="OK"),B152="Hunt"),(IF(B152="Hunt",(('Rules &amp; Formulas'!B4*N151*('Rules &amp; Formulas'!B5+O151)*IFERROR(VLOOKUP(C152,Monsters!$T$4:$AH$15,10,FALSE),0)*IFERROR(VLOOKUP(C152,Monsters!$T$4:$AH$15,9,FALSE),0))*'Rules &amp; Formulas'!B6)*IF(D152="",0,D152),0))*(IFERROR(VLOOKUP(C152,Monsters!$T$4:$AH$15,3,FALSE),0))*(1+0.1*AH151)+(IF(OR(B152&lt;&gt;"Hunt",IFERROR(VLOOKUP(C152,Monsters!$T$4:$AH$15,6,FALSE),0)=0),0,FLOOR((IF(B152="Hunt",(('Rules &amp; Formulas'!B4*N151*('Rules &amp; Formulas'!B5+O151)*IFERROR(VLOOKUP(C152,Monsters!$T$4:$AH$15,10,FALSE),0)*IFERROR(VLOOKUP(C152,Monsters!$T$4:$AH$15,9,FALSE),0))*'Rules &amp; Formulas'!B6)*IF(D152="",0,D152),0))/MAX(1,IFERROR(VLOOKUP(C152,Monsters!$T$4:$AH$15,6,FALSE),0)),1)))*(IFERROR(VLOOKUP(C152,Monsters!$T$4:$AH$15,7,FALSE),0))*0.5*(1+0.1*AH151),0)+IF(AND((E152="OK"),B152="Go AFK"),(IF(B152="Go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AFK",IF(D152="",0,D152),0),Z151/60)*60)),0))*(IFERROR(VLOOKUP(C152,Monsters!$T$4:$AH$15,3,FALSE),0))*(1+0.1*AH151)+(IF(OR(B152&lt;&gt;"Go AFK",IFERROR(VLOOKUP(C152,Monsters!$T$4:$AH$15,6,FALSE),0)=0),0,FLOOR((IF(B152="Go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AFK",IF(D152="",0,D152),0),Z151/60)*60)),0))/MAX(1,IFERROR(VLOOKUP(C152,Monsters!$T$4:$AH$15,6,FALSE),0)),1)))*(IFERROR(VLOOKUP(C152,Monsters!$T$4:$AH$15,7,FALSE),0))*0.5*(1+0.1*AH151),0)+IF(AND((E152="OK"),B152="Fight boss",(IF((((105/'Rules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Formulas'!B12)),IFERROR(VLOOKUP(C152,Monsters!$T$4:$AH$15,3,FALSE),0),0)-IF(AND((E152="OK"),OR(B152="Buy upgrade",B152="Forge/Scrapwork buy"),IFERROR(VLOOKUP(C152,Upgrades!$N$4:$T$47,2,FALSE),0)="gold"),IFERROR(FLOOR(IFERROR(VLOOKUP(C152,Upgrades!$N$4:$T$47,3,FALSE),0)*(IFERROR(VLOOKUP(C152,Upgrades!$N$4:$T$47,4,FALSE),0)^(COUNTIFS($B$3:$B151,"Buy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buy",$C$3:$C151,C152))),1),0),0)-IF(AND((E152="OK"),B152="Hire hunter"),IF(C152="Briar",140,IF(C152="Quill",3650,IF(C152="Moss",4850,IF(C152="Ember",12200,0)))),0))</f>
        <v/>
      </c>
      <c r="I152" s="7">
        <f>IF(AND((E152="OK"),B152="Fight boss",(IF((((105/'Rules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Formulas'!B12)),0,MIN(IF(G151&lt;=1,120,IF(G151=2,280,600)),I151+IF(AND((E152="OK"),B152="Hunt"),((IF(B152="Hunt",(('Rules &amp; Formulas'!B4*N151*('Rules &amp; Formulas'!B5+O151)*IFERROR(VLOOKUP(C152,Monsters!$T$4:$AH$15,10,FALSE),0)*IFERROR(VLOOKUP(C152,Monsters!$T$4:$AH$15,9,FALSE),0))*'Rules &amp; Formulas'!B6)*IF(D152="",0,D152),0))*(IFERROR(VLOOKUP(C152,Monsters!$T$4:$AH$15,4,FALSE),0))+(IF(OR(B152&lt;&gt;"Hunt",IFERROR(VLOOKUP(C152,Monsters!$T$4:$AH$15,6,FALSE),0)=0),0,FLOOR((IF(B152="Hunt",(('Rules &amp; Formulas'!B4*N151*('Rules &amp; Formulas'!B5+O151)*IFERROR(VLOOKUP(C152,Monsters!$T$4:$AH$15,10,FALSE),0)*IFERROR(VLOOKUP(C152,Monsters!$T$4:$AH$15,9,FALSE),0))*'Rules &amp; Formulas'!B6)*IF(D152="",0,D152),0))/MAX(1,IFERROR(VLOOKUP(C152,Monsters!$T$4:$AH$15,6,FALSE),0)),1)))*(IFERROR(VLOOKUP(C152,Monsters!$T$4:$AH$15,7,FALSE),0))),0)+IF(AND((E152="OK"),B152="Go AFK"),((IF(B152="Go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AFK",IF(D152="",0,D152),0),Z151/60)*60)),0))*(IFERROR(VLOOKUP(C152,Monsters!$T$4:$AH$15,4,FALSE),0))+(IF(OR(B152&lt;&gt;"Go AFK",IFERROR(VLOOKUP(C152,Monsters!$T$4:$AH$15,6,FALSE),0)=0),0,FLOOR((IF(B152="Go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AFK",IF(D152="",0,D152),0),Z151/60)*60)),0))/MAX(1,IFERROR(VLOOKUP(C152,Monsters!$T$4:$AH$15,6,FALSE),0)),1)))*(IFERROR(VLOOKUP(C152,Monsters!$T$4:$AH$15,7,FALSE),0))),0)))</f>
        <v/>
      </c>
      <c r="J152" s="7">
        <f>MAX(0,J151+IF(AND((E152="OK"),B152="Hunt"),(IF(B152="Hunt",(('Rules &amp; Formulas'!B4*N151*('Rules &amp; Formulas'!B5+O151)*IFERROR(VLOOKUP(C152,Monsters!$T$4:$AH$15,10,FALSE),0)*IFERROR(VLOOKUP(C152,Monsters!$T$4:$AH$15,9,FALSE),0))*'Rules &amp; Formulas'!B6)*IF(D152="",0,D152),0))*(IFERROR(VLOOKUP(C152,Monsters!$T$4:$AH$15,5,FALSE),0)),0)+IF(AND((E152="OK"),B152="Go AFK"),(IF(B152="Go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AFK",IF(D152="",0,D152),0),Z151/60)*60)),0))*(IFERROR(VLOOKUP(C152,Monsters!$T$4:$AH$15,5,FALSE),0)),0)-IF(AND((E152="OK"),OR(B152="Buy upgrade",B152="Forge/Scrapwork buy"),IFERROR(VLOOKUP(C152,Upgrades!$N$4:$T$47,2,FALSE),0)="scraps"),IFERROR(FLOOR(IFERROR(VLOOKUP(C152,Upgrades!$N$4:$T$47,3,FALSE),0)*(IFERROR(VLOOKUP(C152,Upgrades!$N$4:$T$47,4,FALSE),0)^(COUNTIFS($B$3:$B151,"Buy upgrade",$C$3:$C151,C152)+COUNTIFS($B$3:$B151,"Hire hunter",$C$3:$C151,C152)+COUNTIFS($B$3:$B151,"Forge/Scrapwork buy",$C$3:$C151,C152))),1),0),0))</f>
        <v/>
      </c>
      <c r="K152" s="7">
        <f>MAX(0,K151+IF(AND((E152="OK"),B152="Hunt"),IF(C152="Thornpelt Bear",(IF(B152="Hunt",(('Rules &amp; Formulas'!B4*N151*('Rules &amp; Formulas'!B5+O151)*IFERROR(VLOOKUP(C152,Monsters!$T$4:$AH$15,10,FALSE),0)*IFERROR(VLOOKUP(C152,Monsters!$T$4:$AH$15,9,FALSE),0))*'Rules &amp; Formulas'!B6)*IF(D152="",0,D152),0))*0.12,0),0)+IF(AND((E152="OK"),B152="Go AFK"),IF(C152="Thornpelt Bear",(IF(B152="Go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AFK",IF(D152="",0,D152),0),Z151/60)*60)),0))*0.12,0),0))</f>
        <v/>
      </c>
      <c r="L152" s="7">
        <f>MAX(0,L151+IF(AND((E152="OK"),B152="Hunt"),IF(C152="Dire Thornpelt",(IF(B152="Hunt",(('Rules &amp; Formulas'!B4*N151*('Rules &amp; Formulas'!B5+O151)*IFERROR(VLOOKUP(C152,Monsters!$T$4:$AH$15,10,FALSE),0)*IFERROR(VLOOKUP(C152,Monsters!$T$4:$AH$15,9,FALSE),0))*'Rules &amp; Formulas'!B6)*IF(D152="",0,D152),0))*0.1,0),0)+IF(AND((E152="OK"),B152="Go AFK"),IF(C152="Dire Thornpelt",(IF(B152="Go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AFK",IF(D152="",0,D152),0),Z151/60)*60)),0))*0.1,0),0))</f>
        <v/>
      </c>
      <c r="M152" s="7">
        <f>IF(AND((E152="OK"),B152="Go AFK"),MAX(0,MIN(('Rules &amp; Formulas'!B15+25*AJ151),M151+('Rules &amp; Formulas'!B14+0.4*AJ151)*(MIN(IF(B152="Go AFK",IF(D152="",0,D152),0),Z151/60)*60))-(IF(B152="Go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AFK",IF(D152="",0,D152),0),Z151/60)*60)),0))*(IF((IFERROR(VLOOKUP(C152,Monsters!$T$4:$AH$15,8,FALSE),0))=0,0.35,IFERROR(VLOOKUP(C152,Monsters!$T$4:$AH$15,8,FALSE),0))/(1+0.08*AK151))),MIN(('Rules &amp; Formulas'!B15+25*AJ152),M151))</f>
        <v/>
      </c>
      <c r="N152" s="7">
        <f>(1+0.08+0.12*AA152+0.12*AB152+0.16*AC152)</f>
        <v/>
      </c>
      <c r="O152" s="7">
        <f>((AD152&gt;=1)*1*(1+0.3*AE152))</f>
        <v/>
      </c>
      <c r="P152" s="7">
        <f>IF(OR(B152="Hunt",B152="Go AFK"),(('Rules &amp; Formulas'!B4*N151*('Rules &amp; Formulas'!B5+O151)*IFERROR(VLOOKUP(C152,Monsters!$T$4:$AH$15,10,FALSE),0)*IFERROR(VLOOKUP(C152,Monsters!$T$4:$AH$15,9,FALSE),0))*'Rules &amp; Formulas'!B6),"")</f>
        <v/>
      </c>
      <c r="Q152" s="7">
        <f>IF(OR(B152="Hunt",B152="Go AFK"),('Rules &amp; Formulas'!B4*N151*('Rules &amp; Formulas'!B5+O151)*IFERROR(VLOOKUP(C152,Monsters!$T$4:$AH$15,10,FALSE),0)*IFERROR(VLOOKUP(C152,Monsters!$T$4:$AH$15,9,FALSE),0)),"")</f>
        <v/>
      </c>
      <c r="R152" s="7">
        <f>IF(AND((E152="OK"),B152="Hunt"),IF(B152="Hunt",(('Rules &amp; Formulas'!B4*N151*('Rules &amp; Formulas'!B5+O151)*IFERROR(VLOOKUP(C152,Monsters!$T$4:$AH$15,10,FALSE),0)*IFERROR(VLOOKUP(C152,Monsters!$T$4:$AH$15,9,FALSE),0))*'Rules &amp; Formulas'!B6)*IF(D152="",0,D152),0),IF(AND((E152="OK"),B152="Go AFK"),IF(B152="Go AFK",MIN(IF((IF((IFERROR(VLOOKUP(C152,Monsters!$T$4:$AH$15,8,FALSE),0))=0,0.35,IFERROR(VLOOKUP(C152,Monsters!$T$4:$AH$15,8,FALSE),0))/(1+0.08*AK151))&lt;=0,999999,FLOOR(MIN(('Rules &amp; Formulas'!B15+25*AJ151),M151+('Rules &amp; Formulas'!B14+0.4*AJ151)*(MIN(IF(B152="Go AFK",IF(D152="",0,D152),0),Z151/60)*60))/(IF((IFERROR(VLOOKUP(C152,Monsters!$T$4:$AH$15,8,FALSE),0))=0,0.35,IFERROR(VLOOKUP(C152,Monsters!$T$4:$AH$15,8,FALSE),0))/(1+0.08*AK151)),1)),('Rules &amp; Formulas'!B4*N151*('Rules &amp; Formulas'!B5+O151)*IFERROR(VLOOKUP(C152,Monsters!$T$4:$AH$15,10,FALSE),0)*IFERROR(VLOOKUP(C152,Monsters!$T$4:$AH$15,9,FALSE),0))*(MIN(IF(B152="Go AFK",IF(D152="",0,D152),0),Z151/60)*60)),0),0))</f>
        <v/>
      </c>
      <c r="S152" s="7">
        <f>(105/'Rules &amp; Formulas'!B10)*'Rules &amp; Formulas'!B11</f>
        <v/>
      </c>
      <c r="T152" s="7">
        <f>IF(AD151&gt;=1,(MAX(1,ROUND('Rules &amp; Formulas'!B18*(1+0.3*AE151)*(1+0.4*AF151),0)))*(1000/'Rules &amp; Formulas'!B19)*MIN(0.95,'Rules &amp; Formulas'!B20*SQRT(1+0.55*(AG151&gt;=1))),0)</f>
        <v/>
      </c>
      <c r="U152" s="7">
        <f>S152+T152</f>
        <v/>
      </c>
      <c r="V152" s="7">
        <f>IF(I151&gt;=IF((IFERROR(VLOOKUP(C152,Monsters!$T$4:$AH$15,15,FALSE),0))=0,120,IFERROR(VLOOKUP(C152,Monsters!$T$4:$AH$15,15,FALSE),0)),"YES","no")</f>
        <v/>
      </c>
      <c r="W152" s="7">
        <f>IF(AND(B152="Fight boss",E152="OK"),IF((((105/'Rules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Formulas'!B20*SQRT(1+0.55*(AG151&gt;=1))),0)))),"")</f>
        <v/>
      </c>
      <c r="X152" s="7">
        <f>IF(AND(B152="Fight boss",E152="OK"),IF((IF((((105/'Rules &amp; Formulas'!B10)*'Rules &amp; Formulas'!B11+IF(AD151&gt;=1,(MAX(1,ROUND('Rules &amp; Formulas'!B18*(1+0.3*AE151)*(1+0.4*AF151),0)))*(1000/'Rules &amp; Formulas'!B19)*MIN(0.95,'Rules &amp; Formulas'!B20*SQRT(1+0.55*(AG151&gt;=1))),0)))&lt;=0,9999,(IFERROR(VLOOKUP(C152,Monsters!$T$4:$AH$15,2,FALSE),0))/(((105/'Rules &amp; Formulas'!B10)*'Rules &amp; Formulas'!B11+IF(AD151&gt;=1,(MAX(1,ROUND('Rules &amp; Formulas'!B18*(1+0.3*AE151)*(1+0.4*AF151),0)))*(1000/'Rules &amp; Formulas'!B19)*MIN(0.95,'Rules &amp; Formulas'!B20*SQRT(1+0.55*(AG151&gt;=1))),0))))&lt;='Rules &amp; Formulas'!B12),"WIN","LOSE"),"")</f>
        <v/>
      </c>
      <c r="Y152" s="7">
        <f>IF(B152="Go AFK",MIN(IF(B152="Go AFK",IF(D152="",0,D152),0),Z151/60),"")</f>
        <v/>
      </c>
      <c r="Z152" s="7">
        <f>('Rules &amp; Formulas'!B13+30*AI152)</f>
        <v/>
      </c>
      <c r="AA152">
        <f>COUNTIFS($B$3:$B152,"Buy upgrade",$C$3:$C152,"Idle Power")</f>
        <v/>
      </c>
      <c r="AB152">
        <f>COUNTIFS($B$3:$B152,"Buy upgrade",$C$3:$C152,"Iron Blade")</f>
        <v/>
      </c>
      <c r="AC152">
        <f>COUNTIFS($B$3:$B152,"Buy upgrade",$C$3:$C152,"Steel Blade")</f>
        <v/>
      </c>
      <c r="AD152">
        <f>COUNTIFS($B$3:$B152,"Hire hunter",$C$3:$C152,"Briar")+COUNTIFS($B$3:$B152,"Buy upgrade",$C$3:$C152,"Hire Briar")</f>
        <v/>
      </c>
      <c r="AE152">
        <f>COUNTIFS($B$3:$B152,"Buy upgrade",$C$3:$C152,"Hunter Power")</f>
        <v/>
      </c>
      <c r="AF152">
        <f>COUNTIFS($B$3:$B152,"Buy upgrade",$C$3:$C152,"Bigger Hits")</f>
        <v/>
      </c>
      <c r="AG152">
        <f>COUNTIFS($B$3:$B152,"Buy upgrade",$C$3:$C152,"Swift Walk")</f>
        <v/>
      </c>
      <c r="AH152">
        <f>COUNTIFS($B$3:$B152,"Buy upgrade",$C$3:$C152,"Loot Luck")</f>
        <v/>
      </c>
      <c r="AI152">
        <f>COUNTIFS($B$3:$B152,"Buy upgrade",$C$3:$C152,"Offline Cap")</f>
        <v/>
      </c>
      <c r="AJ152">
        <f>COUNTIFS($B$3:$B152,"Buy upgrade",$C$3:$C152,"Bigger Food Stock")</f>
        <v/>
      </c>
      <c r="AK152">
        <f>COUNTIFS($B$3:$B152,"Buy upgrade",$C$3:$C152,"Food Efficiency")</f>
        <v/>
      </c>
    </row>
    <row r="153">
      <c r="A153" t="n">
        <v>151</v>
      </c>
      <c r="B153" s="6" t="n"/>
      <c r="C153" s="6" t="n"/>
      <c r="D153" s="6" t="n"/>
      <c r="E153" s="7">
        <f>IF(B153="","",IF(OR(B153="Hunt",B153="Go AFK"),IF(C153="","Can't","OK"),IF(B153="Fight boss",IF(I152&lt;IF((IFERROR(VLOOKUP(C153,Monsters!$T$4:$AH$15,15,FALSE),0))=0,120,IFERROR(VLOOKUP(C153,Monsters!$T$4:$AH$15,15,FALSE),0)),"Can't","OK"),IF(B153="Hire hunter",IF(AND(C153="Briar",AD152&gt;=1),"Can't",IF(H152&lt;IF(C153="Briar",140,IF(C153="Quill",3650,IF(C153="Moss",4850,IF(C153="Ember",12200,0)))),"Can't","OK")),IF(OR(B153="Buy upgrade",B153="Forge/Scrapwork buy"),IF(IFERROR(VLOOKUP(C153,Upgrades!$N$4:$T$47,2,FALSE),0)="points","Can't",IF(IFERROR(VLOOKUP(C153,Upgrades!$N$4:$T$47,2,FALSE),0)="gold",IF(H152&lt;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buy",$C$3:$C152,C153))),1),0),"Can't","OK"),IF(IFERROR(VLOOKUP(C153,Upgrades!$N$4:$T$47,2,FALSE),0)="scraps",IF(J152&lt;IFERROR(FLOOR(IFERROR(VLOOKUP(C153,Upgrades!$N$4:$T$47,3,FALSE),0)*(IFERROR(VLOOKUP(C153,Upgrades!$N$4:$T$47,4,FALSE),0)^(COUNTIFS($B$3:$B152,"Buy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buy",$C$3:$C152,C153))),1),0),"Can't","OK"),IF(IFERROR(VLOOKUP(C153,Upgrades!$N$4:$T$47,2,FALSE),0)="mats","Can't","OK")))),"Check")))))</f>
        <v/>
      </c>
      <c r="F153" s="7">
        <f>IF(B153="","",IF(AND(B153="Fight boss",I152&lt;IF((IFERROR(VLOOKUP(C153,Monsters!$T$4:$AH$15,15,FALSE),0))=0,120,IFERROR(VLOOKUP(C153,Monsters!$T$4:$AH$15,15,FALSE),0))),"Can't — need "&amp;TEXT(IF((IFERROR(VLOOKUP(C153,Monsters!$T$4:$AH$15,15,FALSE),0))=0,120,IFERROR(VLOOKUP(C153,Monsters!$T$4:$AH$15,15,FALSE),0))-I152,"0.0")&amp;" more Slayer points on the meter",IF(AND(B153="Hire hunter",C153="Briar",AD152&gt;=1),"Can't — already hired",IF(AND(B153="Hire hunter",H152&lt;IF(C153="Briar",140,IF(C153="Quill",3650,IF(C153="Moss",4850,IF(C153="Ember",12200,0))))),"Can't — need "&amp;TEXT(IF(C153="Briar",140,IF(C153="Quill",3650,IF(C153="Moss",4850,IF(C153="Ember",12200,0))))-H152,"0")&amp;" more gold",IF(AND(OR(B153="Buy upgrade",B153="Forge/Scrapwork buy"),IFERROR(VLOOKUP(C153,Upgrades!$N$4:$T$47,2,FALSE),0)="points"),"Can't — Sp-wallet spends not tracked here",IF(AND(OR(B153="Buy upgrade",B153="Forge/Scrapwork buy"),IFERROR(VLOOKUP(C153,Upgrades!$N$4:$T$47,2,FALSE),0)="gold",H152&lt;IFERROR(FLOOR(IFERROR(VLOOKUP(C153,Upgrades!$N$4:$T$47,3,FALSE),0)*(IFERROR(VLOOKUP(C153,Upgrades!$N$4:$T$47,4,FALSE),0)^(COUNTIFS($B$3:$B152,"Buy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buy",$C$3:$C152,C153))),1),0)),"Can't — need "&amp;TEXT(IFERROR(FLOOR(IFERROR(VLOOKUP(C153,Upgrades!$N$4:$T$47,3,FALSE),0)*(IFERROR(VLOOKUP(C153,Upgrades!$N$4:$T$47,4,FALSE),0)^(COUNTIFS($B$3:$B152,"Buy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buy",$C$3:$C152,C153))),1),0)-H152,"0")&amp;" more gold",IF(AND(OR(B153="Buy upgrade",B153="Forge/Scrapwork buy"),IFERROR(VLOOKUP(C153,Upgrades!$N$4:$T$47,2,FALSE),0)="scraps",J152&lt;IFERROR(FLOOR(IFERROR(VLOOKUP(C153,Upgrades!$N$4:$T$47,3,FALSE),0)*(IFERROR(VLOOKUP(C153,Upgrades!$N$4:$T$47,4,FALSE),0)^(COUNTIFS($B$3:$B152,"Buy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buy",$C$3:$C152,C153))),1),0)),"Can't — need "&amp;TEXT(IFERROR(FLOOR(IFERROR(VLOOKUP(C153,Upgrades!$N$4:$T$47,3,FALSE),0)*(IFERROR(VLOOKUP(C153,Upgrades!$N$4:$T$47,4,FALSE),0)^(COUNTIFS($B$3:$B152,"Buy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buy",$C$3:$C152,C153))),1),0)-J152,"0")&amp;" more scraps",IF(AND(B153="Fight boss",E153="OK",(IF((((105/'Rules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Formulas'!B12)),"WIN — boss down, next Level unlocks",IF(AND(B153="Fight boss",E153="OK"),"LOSE — TTK "&amp;TEXT(IF((((105/'Rules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Formulas'!B20*SQRT(1+0.55*(AG152&gt;=1))),0)))),"0")&amp;"s &gt; patience "&amp;TEXT('Rules &amp; Formulas'!B12,"0")&amp;"s (leave resets HP)",IF(B153="Go AFK","AFK resolved (see AFK counted h)","Applied")))))))))</f>
        <v/>
      </c>
      <c r="G153" s="7">
        <f>IF(AND((E153="OK"),B153="Fight boss",(IF((((105/'Rules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Formulas'!B12),C153="Elder Thornpelt"),2,IF(AND((E153="OK"),B153="Fight boss",(IF((((105/'Rules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Formulas'!B12),C153="Ashfang Alpha"),3,G152))</f>
        <v/>
      </c>
      <c r="H153" s="7">
        <f>MAX(0,H152+IF(AND((E153="OK"),B153="Hunt"),(IF(B153="Hunt",(('Rules &amp; Formulas'!B4*N152*('Rules &amp; Formulas'!B5+O152)*IFERROR(VLOOKUP(C153,Monsters!$T$4:$AH$15,10,FALSE),0)*IFERROR(VLOOKUP(C153,Monsters!$T$4:$AH$15,9,FALSE),0))*'Rules &amp; Formulas'!B6)*IF(D153="",0,D153),0))*(IFERROR(VLOOKUP(C153,Monsters!$T$4:$AH$15,3,FALSE),0))*(1+0.1*AH152)+(IF(OR(B153&lt;&gt;"Hunt",IFERROR(VLOOKUP(C153,Monsters!$T$4:$AH$15,6,FALSE),0)=0),0,FLOOR((IF(B153="Hunt",(('Rules &amp; Formulas'!B4*N152*('Rules &amp; Formulas'!B5+O152)*IFERROR(VLOOKUP(C153,Monsters!$T$4:$AH$15,10,FALSE),0)*IFERROR(VLOOKUP(C153,Monsters!$T$4:$AH$15,9,FALSE),0))*'Rules &amp; Formulas'!B6)*IF(D153="",0,D153),0))/MAX(1,IFERROR(VLOOKUP(C153,Monsters!$T$4:$AH$15,6,FALSE),0)),1)))*(IFERROR(VLOOKUP(C153,Monsters!$T$4:$AH$15,7,FALSE),0))*0.5*(1+0.1*AH152),0)+IF(AND((E153="OK"),B153="Go AFK"),(IF(B153="Go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AFK",IF(D153="",0,D153),0),Z152/60)*60)),0))*(IFERROR(VLOOKUP(C153,Monsters!$T$4:$AH$15,3,FALSE),0))*(1+0.1*AH152)+(IF(OR(B153&lt;&gt;"Go AFK",IFERROR(VLOOKUP(C153,Monsters!$T$4:$AH$15,6,FALSE),0)=0),0,FLOOR((IF(B153="Go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AFK",IF(D153="",0,D153),0),Z152/60)*60)),0))/MAX(1,IFERROR(VLOOKUP(C153,Monsters!$T$4:$AH$15,6,FALSE),0)),1)))*(IFERROR(VLOOKUP(C153,Monsters!$T$4:$AH$15,7,FALSE),0))*0.5*(1+0.1*AH152),0)+IF(AND((E153="OK"),B153="Fight boss",(IF((((105/'Rules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Formulas'!B12)),IFERROR(VLOOKUP(C153,Monsters!$T$4:$AH$15,3,FALSE),0),0)-IF(AND((E153="OK"),OR(B153="Buy upgrade",B153="Forge/Scrapwork buy"),IFERROR(VLOOKUP(C153,Upgrades!$N$4:$T$47,2,FALSE),0)="gold"),IFERROR(FLOOR(IFERROR(VLOOKUP(C153,Upgrades!$N$4:$T$47,3,FALSE),0)*(IFERROR(VLOOKUP(C153,Upgrades!$N$4:$T$47,4,FALSE),0)^(COUNTIFS($B$3:$B152,"Buy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buy",$C$3:$C152,C153))),1),0),0)-IF(AND((E153="OK"),B153="Hire hunter"),IF(C153="Briar",140,IF(C153="Quill",3650,IF(C153="Moss",4850,IF(C153="Ember",12200,0)))),0))</f>
        <v/>
      </c>
      <c r="I153" s="7">
        <f>IF(AND((E153="OK"),B153="Fight boss",(IF((((105/'Rules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Formulas'!B12)),0,MIN(IF(G152&lt;=1,120,IF(G152=2,280,600)),I152+IF(AND((E153="OK"),B153="Hunt"),((IF(B153="Hunt",(('Rules &amp; Formulas'!B4*N152*('Rules &amp; Formulas'!B5+O152)*IFERROR(VLOOKUP(C153,Monsters!$T$4:$AH$15,10,FALSE),0)*IFERROR(VLOOKUP(C153,Monsters!$T$4:$AH$15,9,FALSE),0))*'Rules &amp; Formulas'!B6)*IF(D153="",0,D153),0))*(IFERROR(VLOOKUP(C153,Monsters!$T$4:$AH$15,4,FALSE),0))+(IF(OR(B153&lt;&gt;"Hunt",IFERROR(VLOOKUP(C153,Monsters!$T$4:$AH$15,6,FALSE),0)=0),0,FLOOR((IF(B153="Hunt",(('Rules &amp; Formulas'!B4*N152*('Rules &amp; Formulas'!B5+O152)*IFERROR(VLOOKUP(C153,Monsters!$T$4:$AH$15,10,FALSE),0)*IFERROR(VLOOKUP(C153,Monsters!$T$4:$AH$15,9,FALSE),0))*'Rules &amp; Formulas'!B6)*IF(D153="",0,D153),0))/MAX(1,IFERROR(VLOOKUP(C153,Monsters!$T$4:$AH$15,6,FALSE),0)),1)))*(IFERROR(VLOOKUP(C153,Monsters!$T$4:$AH$15,7,FALSE),0))),0)+IF(AND((E153="OK"),B153="Go AFK"),((IF(B153="Go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AFK",IF(D153="",0,D153),0),Z152/60)*60)),0))*(IFERROR(VLOOKUP(C153,Monsters!$T$4:$AH$15,4,FALSE),0))+(IF(OR(B153&lt;&gt;"Go AFK",IFERROR(VLOOKUP(C153,Monsters!$T$4:$AH$15,6,FALSE),0)=0),0,FLOOR((IF(B153="Go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AFK",IF(D153="",0,D153),0),Z152/60)*60)),0))/MAX(1,IFERROR(VLOOKUP(C153,Monsters!$T$4:$AH$15,6,FALSE),0)),1)))*(IFERROR(VLOOKUP(C153,Monsters!$T$4:$AH$15,7,FALSE),0))),0)))</f>
        <v/>
      </c>
      <c r="J153" s="7">
        <f>MAX(0,J152+IF(AND((E153="OK"),B153="Hunt"),(IF(B153="Hunt",(('Rules &amp; Formulas'!B4*N152*('Rules &amp; Formulas'!B5+O152)*IFERROR(VLOOKUP(C153,Monsters!$T$4:$AH$15,10,FALSE),0)*IFERROR(VLOOKUP(C153,Monsters!$T$4:$AH$15,9,FALSE),0))*'Rules &amp; Formulas'!B6)*IF(D153="",0,D153),0))*(IFERROR(VLOOKUP(C153,Monsters!$T$4:$AH$15,5,FALSE),0)),0)+IF(AND((E153="OK"),B153="Go AFK"),(IF(B153="Go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AFK",IF(D153="",0,D153),0),Z152/60)*60)),0))*(IFERROR(VLOOKUP(C153,Monsters!$T$4:$AH$15,5,FALSE),0)),0)-IF(AND((E153="OK"),OR(B153="Buy upgrade",B153="Forge/Scrapwork buy"),IFERROR(VLOOKUP(C153,Upgrades!$N$4:$T$47,2,FALSE),0)="scraps"),IFERROR(FLOOR(IFERROR(VLOOKUP(C153,Upgrades!$N$4:$T$47,3,FALSE),0)*(IFERROR(VLOOKUP(C153,Upgrades!$N$4:$T$47,4,FALSE),0)^(COUNTIFS($B$3:$B152,"Buy upgrade",$C$3:$C152,C153)+COUNTIFS($B$3:$B152,"Hire hunter",$C$3:$C152,C153)+COUNTIFS($B$3:$B152,"Forge/Scrapwork buy",$C$3:$C152,C153))),1),0),0))</f>
        <v/>
      </c>
      <c r="K153" s="7">
        <f>MAX(0,K152+IF(AND((E153="OK"),B153="Hunt"),IF(C153="Thornpelt Bear",(IF(B153="Hunt",(('Rules &amp; Formulas'!B4*N152*('Rules &amp; Formulas'!B5+O152)*IFERROR(VLOOKUP(C153,Monsters!$T$4:$AH$15,10,FALSE),0)*IFERROR(VLOOKUP(C153,Monsters!$T$4:$AH$15,9,FALSE),0))*'Rules &amp; Formulas'!B6)*IF(D153="",0,D153),0))*0.12,0),0)+IF(AND((E153="OK"),B153="Go AFK"),IF(C153="Thornpelt Bear",(IF(B153="Go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AFK",IF(D153="",0,D153),0),Z152/60)*60)),0))*0.12,0),0))</f>
        <v/>
      </c>
      <c r="L153" s="7">
        <f>MAX(0,L152+IF(AND((E153="OK"),B153="Hunt"),IF(C153="Dire Thornpelt",(IF(B153="Hunt",(('Rules &amp; Formulas'!B4*N152*('Rules &amp; Formulas'!B5+O152)*IFERROR(VLOOKUP(C153,Monsters!$T$4:$AH$15,10,FALSE),0)*IFERROR(VLOOKUP(C153,Monsters!$T$4:$AH$15,9,FALSE),0))*'Rules &amp; Formulas'!B6)*IF(D153="",0,D153),0))*0.1,0),0)+IF(AND((E153="OK"),B153="Go AFK"),IF(C153="Dire Thornpelt",(IF(B153="Go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AFK",IF(D153="",0,D153),0),Z152/60)*60)),0))*0.1,0),0))</f>
        <v/>
      </c>
      <c r="M153" s="7">
        <f>IF(AND((E153="OK"),B153="Go AFK"),MAX(0,MIN(('Rules &amp; Formulas'!B15+25*AJ152),M152+('Rules &amp; Formulas'!B14+0.4*AJ152)*(MIN(IF(B153="Go AFK",IF(D153="",0,D153),0),Z152/60)*60))-(IF(B153="Go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AFK",IF(D153="",0,D153),0),Z152/60)*60)),0))*(IF((IFERROR(VLOOKUP(C153,Monsters!$T$4:$AH$15,8,FALSE),0))=0,0.35,IFERROR(VLOOKUP(C153,Monsters!$T$4:$AH$15,8,FALSE),0))/(1+0.08*AK152))),MIN(('Rules &amp; Formulas'!B15+25*AJ153),M152))</f>
        <v/>
      </c>
      <c r="N153" s="7">
        <f>(1+0.08+0.12*AA153+0.12*AB153+0.16*AC153)</f>
        <v/>
      </c>
      <c r="O153" s="7">
        <f>((AD153&gt;=1)*1*(1+0.3*AE153))</f>
        <v/>
      </c>
      <c r="P153" s="7">
        <f>IF(OR(B153="Hunt",B153="Go AFK"),(('Rules &amp; Formulas'!B4*N152*('Rules &amp; Formulas'!B5+O152)*IFERROR(VLOOKUP(C153,Monsters!$T$4:$AH$15,10,FALSE),0)*IFERROR(VLOOKUP(C153,Monsters!$T$4:$AH$15,9,FALSE),0))*'Rules &amp; Formulas'!B6),"")</f>
        <v/>
      </c>
      <c r="Q153" s="7">
        <f>IF(OR(B153="Hunt",B153="Go AFK"),('Rules &amp; Formulas'!B4*N152*('Rules &amp; Formulas'!B5+O152)*IFERROR(VLOOKUP(C153,Monsters!$T$4:$AH$15,10,FALSE),0)*IFERROR(VLOOKUP(C153,Monsters!$T$4:$AH$15,9,FALSE),0)),"")</f>
        <v/>
      </c>
      <c r="R153" s="7">
        <f>IF(AND((E153="OK"),B153="Hunt"),IF(B153="Hunt",(('Rules &amp; Formulas'!B4*N152*('Rules &amp; Formulas'!B5+O152)*IFERROR(VLOOKUP(C153,Monsters!$T$4:$AH$15,10,FALSE),0)*IFERROR(VLOOKUP(C153,Monsters!$T$4:$AH$15,9,FALSE),0))*'Rules &amp; Formulas'!B6)*IF(D153="",0,D153),0),IF(AND((E153="OK"),B153="Go AFK"),IF(B153="Go AFK",MIN(IF((IF((IFERROR(VLOOKUP(C153,Monsters!$T$4:$AH$15,8,FALSE),0))=0,0.35,IFERROR(VLOOKUP(C153,Monsters!$T$4:$AH$15,8,FALSE),0))/(1+0.08*AK152))&lt;=0,999999,FLOOR(MIN(('Rules &amp; Formulas'!B15+25*AJ152),M152+('Rules &amp; Formulas'!B14+0.4*AJ152)*(MIN(IF(B153="Go AFK",IF(D153="",0,D153),0),Z152/60)*60))/(IF((IFERROR(VLOOKUP(C153,Monsters!$T$4:$AH$15,8,FALSE),0))=0,0.35,IFERROR(VLOOKUP(C153,Monsters!$T$4:$AH$15,8,FALSE),0))/(1+0.08*AK152)),1)),('Rules &amp; Formulas'!B4*N152*('Rules &amp; Formulas'!B5+O152)*IFERROR(VLOOKUP(C153,Monsters!$T$4:$AH$15,10,FALSE),0)*IFERROR(VLOOKUP(C153,Monsters!$T$4:$AH$15,9,FALSE),0))*(MIN(IF(B153="Go AFK",IF(D153="",0,D153),0),Z152/60)*60)),0),0))</f>
        <v/>
      </c>
      <c r="S153" s="7">
        <f>(105/'Rules &amp; Formulas'!B10)*'Rules &amp; Formulas'!B11</f>
        <v/>
      </c>
      <c r="T153" s="7">
        <f>IF(AD152&gt;=1,(MAX(1,ROUND('Rules &amp; Formulas'!B18*(1+0.3*AE152)*(1+0.4*AF152),0)))*(1000/'Rules &amp; Formulas'!B19)*MIN(0.95,'Rules &amp; Formulas'!B20*SQRT(1+0.55*(AG152&gt;=1))),0)</f>
        <v/>
      </c>
      <c r="U153" s="7">
        <f>S153+T153</f>
        <v/>
      </c>
      <c r="V153" s="7">
        <f>IF(I152&gt;=IF((IFERROR(VLOOKUP(C153,Monsters!$T$4:$AH$15,15,FALSE),0))=0,120,IFERROR(VLOOKUP(C153,Monsters!$T$4:$AH$15,15,FALSE),0)),"YES","no")</f>
        <v/>
      </c>
      <c r="W153" s="7">
        <f>IF(AND(B153="Fight boss",E153="OK"),IF((((105/'Rules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Formulas'!B20*SQRT(1+0.55*(AG152&gt;=1))),0)))),"")</f>
        <v/>
      </c>
      <c r="X153" s="7">
        <f>IF(AND(B153="Fight boss",E153="OK"),IF((IF((((105/'Rules &amp; Formulas'!B10)*'Rules &amp; Formulas'!B11+IF(AD152&gt;=1,(MAX(1,ROUND('Rules &amp; Formulas'!B18*(1+0.3*AE152)*(1+0.4*AF152),0)))*(1000/'Rules &amp; Formulas'!B19)*MIN(0.95,'Rules &amp; Formulas'!B20*SQRT(1+0.55*(AG152&gt;=1))),0)))&lt;=0,9999,(IFERROR(VLOOKUP(C153,Monsters!$T$4:$AH$15,2,FALSE),0))/(((105/'Rules &amp; Formulas'!B10)*'Rules &amp; Formulas'!B11+IF(AD152&gt;=1,(MAX(1,ROUND('Rules &amp; Formulas'!B18*(1+0.3*AE152)*(1+0.4*AF152),0)))*(1000/'Rules &amp; Formulas'!B19)*MIN(0.95,'Rules &amp; Formulas'!B20*SQRT(1+0.55*(AG152&gt;=1))),0))))&lt;='Rules &amp; Formulas'!B12),"WIN","LOSE"),"")</f>
        <v/>
      </c>
      <c r="Y153" s="7">
        <f>IF(B153="Go AFK",MIN(IF(B153="Go AFK",IF(D153="",0,D153),0),Z152/60),"")</f>
        <v/>
      </c>
      <c r="Z153" s="7">
        <f>('Rules &amp; Formulas'!B13+30*AI153)</f>
        <v/>
      </c>
      <c r="AA153">
        <f>COUNTIFS($B$3:$B153,"Buy upgrade",$C$3:$C153,"Idle Power")</f>
        <v/>
      </c>
      <c r="AB153">
        <f>COUNTIFS($B$3:$B153,"Buy upgrade",$C$3:$C153,"Iron Blade")</f>
        <v/>
      </c>
      <c r="AC153">
        <f>COUNTIFS($B$3:$B153,"Buy upgrade",$C$3:$C153,"Steel Blade")</f>
        <v/>
      </c>
      <c r="AD153">
        <f>COUNTIFS($B$3:$B153,"Hire hunter",$C$3:$C153,"Briar")+COUNTIFS($B$3:$B153,"Buy upgrade",$C$3:$C153,"Hire Briar")</f>
        <v/>
      </c>
      <c r="AE153">
        <f>COUNTIFS($B$3:$B153,"Buy upgrade",$C$3:$C153,"Hunter Power")</f>
        <v/>
      </c>
      <c r="AF153">
        <f>COUNTIFS($B$3:$B153,"Buy upgrade",$C$3:$C153,"Bigger Hits")</f>
        <v/>
      </c>
      <c r="AG153">
        <f>COUNTIFS($B$3:$B153,"Buy upgrade",$C$3:$C153,"Swift Walk")</f>
        <v/>
      </c>
      <c r="AH153">
        <f>COUNTIFS($B$3:$B153,"Buy upgrade",$C$3:$C153,"Loot Luck")</f>
        <v/>
      </c>
      <c r="AI153">
        <f>COUNTIFS($B$3:$B153,"Buy upgrade",$C$3:$C153,"Offline Cap")</f>
        <v/>
      </c>
      <c r="AJ153">
        <f>COUNTIFS($B$3:$B153,"Buy upgrade",$C$3:$C153,"Bigger Food Stock")</f>
        <v/>
      </c>
      <c r="AK153">
        <f>COUNTIFS($B$3:$B153,"Buy upgrade",$C$3:$C153,"Food Efficiency")</f>
        <v/>
      </c>
    </row>
    <row r="154">
      <c r="A154" t="n">
        <v>152</v>
      </c>
      <c r="B154" s="6" t="n"/>
      <c r="C154" s="6" t="n"/>
      <c r="D154" s="6" t="n"/>
      <c r="E154" s="7">
        <f>IF(B154="","",IF(OR(B154="Hunt",B154="Go AFK"),IF(C154="","Can't","OK"),IF(B154="Fight boss",IF(I153&lt;IF((IFERROR(VLOOKUP(C154,Monsters!$T$4:$AH$15,15,FALSE),0))=0,120,IFERROR(VLOOKUP(C154,Monsters!$T$4:$AH$15,15,FALSE),0)),"Can't","OK"),IF(B154="Hire hunter",IF(AND(C154="Briar",AD153&gt;=1),"Can't",IF(H153&lt;IF(C154="Briar",140,IF(C154="Quill",3650,IF(C154="Moss",4850,IF(C154="Ember",12200,0)))),"Can't","OK")),IF(OR(B154="Buy upgrade",B154="Forge/Scrapwork buy"),IF(IFERROR(VLOOKUP(C154,Upgrades!$N$4:$T$47,2,FALSE),0)="points","Can't",IF(IFERROR(VLOOKUP(C154,Upgrades!$N$4:$T$47,2,FALSE),0)="gold",IF(H153&lt;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buy",$C$3:$C153,C154))),1),0),"Can't","OK"),IF(IFERROR(VLOOKUP(C154,Upgrades!$N$4:$T$47,2,FALSE),0)="scraps",IF(J153&lt;IFERROR(FLOOR(IFERROR(VLOOKUP(C154,Upgrades!$N$4:$T$47,3,FALSE),0)*(IFERROR(VLOOKUP(C154,Upgrades!$N$4:$T$47,4,FALSE),0)^(COUNTIFS($B$3:$B153,"Buy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buy",$C$3:$C153,C154))),1),0),"Can't","OK"),IF(IFERROR(VLOOKUP(C154,Upgrades!$N$4:$T$47,2,FALSE),0)="mats","Can't","OK")))),"Check")))))</f>
        <v/>
      </c>
      <c r="F154" s="7">
        <f>IF(B154="","",IF(AND(B154="Fight boss",I153&lt;IF((IFERROR(VLOOKUP(C154,Monsters!$T$4:$AH$15,15,FALSE),0))=0,120,IFERROR(VLOOKUP(C154,Monsters!$T$4:$AH$15,15,FALSE),0))),"Can't — need "&amp;TEXT(IF((IFERROR(VLOOKUP(C154,Monsters!$T$4:$AH$15,15,FALSE),0))=0,120,IFERROR(VLOOKUP(C154,Monsters!$T$4:$AH$15,15,FALSE),0))-I153,"0.0")&amp;" more Slayer points on the meter",IF(AND(B154="Hire hunter",C154="Briar",AD153&gt;=1),"Can't — already hired",IF(AND(B154="Hire hunter",H153&lt;IF(C154="Briar",140,IF(C154="Quill",3650,IF(C154="Moss",4850,IF(C154="Ember",12200,0))))),"Can't — need "&amp;TEXT(IF(C154="Briar",140,IF(C154="Quill",3650,IF(C154="Moss",4850,IF(C154="Ember",12200,0))))-H153,"0")&amp;" more gold",IF(AND(OR(B154="Buy upgrade",B154="Forge/Scrapwork buy"),IFERROR(VLOOKUP(C154,Upgrades!$N$4:$T$47,2,FALSE),0)="points"),"Can't — Sp-wallet spends not tracked here",IF(AND(OR(B154="Buy upgrade",B154="Forge/Scrapwork buy"),IFERROR(VLOOKUP(C154,Upgrades!$N$4:$T$47,2,FALSE),0)="gold",H153&lt;IFERROR(FLOOR(IFERROR(VLOOKUP(C154,Upgrades!$N$4:$T$47,3,FALSE),0)*(IFERROR(VLOOKUP(C154,Upgrades!$N$4:$T$47,4,FALSE),0)^(COUNTIFS($B$3:$B153,"Buy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buy",$C$3:$C153,C154))),1),0)),"Can't — need "&amp;TEXT(IFERROR(FLOOR(IFERROR(VLOOKUP(C154,Upgrades!$N$4:$T$47,3,FALSE),0)*(IFERROR(VLOOKUP(C154,Upgrades!$N$4:$T$47,4,FALSE),0)^(COUNTIFS($B$3:$B153,"Buy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buy",$C$3:$C153,C154))),1),0)-H153,"0")&amp;" more gold",IF(AND(OR(B154="Buy upgrade",B154="Forge/Scrapwork buy"),IFERROR(VLOOKUP(C154,Upgrades!$N$4:$T$47,2,FALSE),0)="scraps",J153&lt;IFERROR(FLOOR(IFERROR(VLOOKUP(C154,Upgrades!$N$4:$T$47,3,FALSE),0)*(IFERROR(VLOOKUP(C154,Upgrades!$N$4:$T$47,4,FALSE),0)^(COUNTIFS($B$3:$B153,"Buy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buy",$C$3:$C153,C154))),1),0)),"Can't — need "&amp;TEXT(IFERROR(FLOOR(IFERROR(VLOOKUP(C154,Upgrades!$N$4:$T$47,3,FALSE),0)*(IFERROR(VLOOKUP(C154,Upgrades!$N$4:$T$47,4,FALSE),0)^(COUNTIFS($B$3:$B153,"Buy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buy",$C$3:$C153,C154))),1),0)-J153,"0")&amp;" more scraps",IF(AND(B154="Fight boss",E154="OK",(IF((((105/'Rules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Formulas'!B12)),"WIN — boss down, next Level unlocks",IF(AND(B154="Fight boss",E154="OK"),"LOSE — TTK "&amp;TEXT(IF((((105/'Rules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Formulas'!B20*SQRT(1+0.55*(AG153&gt;=1))),0)))),"0")&amp;"s &gt; patience "&amp;TEXT('Rules &amp; Formulas'!B12,"0")&amp;"s (leave resets HP)",IF(B154="Go AFK","AFK resolved (see AFK counted h)","Applied")))))))))</f>
        <v/>
      </c>
      <c r="G154" s="7">
        <f>IF(AND((E154="OK"),B154="Fight boss",(IF((((105/'Rules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Formulas'!B12),C154="Elder Thornpelt"),2,IF(AND((E154="OK"),B154="Fight boss",(IF((((105/'Rules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Formulas'!B12),C154="Ashfang Alpha"),3,G153))</f>
        <v/>
      </c>
      <c r="H154" s="7">
        <f>MAX(0,H153+IF(AND((E154="OK"),B154="Hunt"),(IF(B154="Hunt",(('Rules &amp; Formulas'!B4*N153*('Rules &amp; Formulas'!B5+O153)*IFERROR(VLOOKUP(C154,Monsters!$T$4:$AH$15,10,FALSE),0)*IFERROR(VLOOKUP(C154,Monsters!$T$4:$AH$15,9,FALSE),0))*'Rules &amp; Formulas'!B6)*IF(D154="",0,D154),0))*(IFERROR(VLOOKUP(C154,Monsters!$T$4:$AH$15,3,FALSE),0))*(1+0.1*AH153)+(IF(OR(B154&lt;&gt;"Hunt",IFERROR(VLOOKUP(C154,Monsters!$T$4:$AH$15,6,FALSE),0)=0),0,FLOOR((IF(B154="Hunt",(('Rules &amp; Formulas'!B4*N153*('Rules &amp; Formulas'!B5+O153)*IFERROR(VLOOKUP(C154,Monsters!$T$4:$AH$15,10,FALSE),0)*IFERROR(VLOOKUP(C154,Monsters!$T$4:$AH$15,9,FALSE),0))*'Rules &amp; Formulas'!B6)*IF(D154="",0,D154),0))/MAX(1,IFERROR(VLOOKUP(C154,Monsters!$T$4:$AH$15,6,FALSE),0)),1)))*(IFERROR(VLOOKUP(C154,Monsters!$T$4:$AH$15,7,FALSE),0))*0.5*(1+0.1*AH153),0)+IF(AND((E154="OK"),B154="Go AFK"),(IF(B154="Go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AFK",IF(D154="",0,D154),0),Z153/60)*60)),0))*(IFERROR(VLOOKUP(C154,Monsters!$T$4:$AH$15,3,FALSE),0))*(1+0.1*AH153)+(IF(OR(B154&lt;&gt;"Go AFK",IFERROR(VLOOKUP(C154,Monsters!$T$4:$AH$15,6,FALSE),0)=0),0,FLOOR((IF(B154="Go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AFK",IF(D154="",0,D154),0),Z153/60)*60)),0))/MAX(1,IFERROR(VLOOKUP(C154,Monsters!$T$4:$AH$15,6,FALSE),0)),1)))*(IFERROR(VLOOKUP(C154,Monsters!$T$4:$AH$15,7,FALSE),0))*0.5*(1+0.1*AH153),0)+IF(AND((E154="OK"),B154="Fight boss",(IF((((105/'Rules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Formulas'!B12)),IFERROR(VLOOKUP(C154,Monsters!$T$4:$AH$15,3,FALSE),0),0)-IF(AND((E154="OK"),OR(B154="Buy upgrade",B154="Forge/Scrapwork buy"),IFERROR(VLOOKUP(C154,Upgrades!$N$4:$T$47,2,FALSE),0)="gold"),IFERROR(FLOOR(IFERROR(VLOOKUP(C154,Upgrades!$N$4:$T$47,3,FALSE),0)*(IFERROR(VLOOKUP(C154,Upgrades!$N$4:$T$47,4,FALSE),0)^(COUNTIFS($B$3:$B153,"Buy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buy",$C$3:$C153,C154))),1),0),0)-IF(AND((E154="OK"),B154="Hire hunter"),IF(C154="Briar",140,IF(C154="Quill",3650,IF(C154="Moss",4850,IF(C154="Ember",12200,0)))),0))</f>
        <v/>
      </c>
      <c r="I154" s="7">
        <f>IF(AND((E154="OK"),B154="Fight boss",(IF((((105/'Rules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Formulas'!B12)),0,MIN(IF(G153&lt;=1,120,IF(G153=2,280,600)),I153+IF(AND((E154="OK"),B154="Hunt"),((IF(B154="Hunt",(('Rules &amp; Formulas'!B4*N153*('Rules &amp; Formulas'!B5+O153)*IFERROR(VLOOKUP(C154,Monsters!$T$4:$AH$15,10,FALSE),0)*IFERROR(VLOOKUP(C154,Monsters!$T$4:$AH$15,9,FALSE),0))*'Rules &amp; Formulas'!B6)*IF(D154="",0,D154),0))*(IFERROR(VLOOKUP(C154,Monsters!$T$4:$AH$15,4,FALSE),0))+(IF(OR(B154&lt;&gt;"Hunt",IFERROR(VLOOKUP(C154,Monsters!$T$4:$AH$15,6,FALSE),0)=0),0,FLOOR((IF(B154="Hunt",(('Rules &amp; Formulas'!B4*N153*('Rules &amp; Formulas'!B5+O153)*IFERROR(VLOOKUP(C154,Monsters!$T$4:$AH$15,10,FALSE),0)*IFERROR(VLOOKUP(C154,Monsters!$T$4:$AH$15,9,FALSE),0))*'Rules &amp; Formulas'!B6)*IF(D154="",0,D154),0))/MAX(1,IFERROR(VLOOKUP(C154,Monsters!$T$4:$AH$15,6,FALSE),0)),1)))*(IFERROR(VLOOKUP(C154,Monsters!$T$4:$AH$15,7,FALSE),0))),0)+IF(AND((E154="OK"),B154="Go AFK"),((IF(B154="Go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AFK",IF(D154="",0,D154),0),Z153/60)*60)),0))*(IFERROR(VLOOKUP(C154,Monsters!$T$4:$AH$15,4,FALSE),0))+(IF(OR(B154&lt;&gt;"Go AFK",IFERROR(VLOOKUP(C154,Monsters!$T$4:$AH$15,6,FALSE),0)=0),0,FLOOR((IF(B154="Go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AFK",IF(D154="",0,D154),0),Z153/60)*60)),0))/MAX(1,IFERROR(VLOOKUP(C154,Monsters!$T$4:$AH$15,6,FALSE),0)),1)))*(IFERROR(VLOOKUP(C154,Monsters!$T$4:$AH$15,7,FALSE),0))),0)))</f>
        <v/>
      </c>
      <c r="J154" s="7">
        <f>MAX(0,J153+IF(AND((E154="OK"),B154="Hunt"),(IF(B154="Hunt",(('Rules &amp; Formulas'!B4*N153*('Rules &amp; Formulas'!B5+O153)*IFERROR(VLOOKUP(C154,Monsters!$T$4:$AH$15,10,FALSE),0)*IFERROR(VLOOKUP(C154,Monsters!$T$4:$AH$15,9,FALSE),0))*'Rules &amp; Formulas'!B6)*IF(D154="",0,D154),0))*(IFERROR(VLOOKUP(C154,Monsters!$T$4:$AH$15,5,FALSE),0)),0)+IF(AND((E154="OK"),B154="Go AFK"),(IF(B154="Go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AFK",IF(D154="",0,D154),0),Z153/60)*60)),0))*(IFERROR(VLOOKUP(C154,Monsters!$T$4:$AH$15,5,FALSE),0)),0)-IF(AND((E154="OK"),OR(B154="Buy upgrade",B154="Forge/Scrapwork buy"),IFERROR(VLOOKUP(C154,Upgrades!$N$4:$T$47,2,FALSE),0)="scraps"),IFERROR(FLOOR(IFERROR(VLOOKUP(C154,Upgrades!$N$4:$T$47,3,FALSE),0)*(IFERROR(VLOOKUP(C154,Upgrades!$N$4:$T$47,4,FALSE),0)^(COUNTIFS($B$3:$B153,"Buy upgrade",$C$3:$C153,C154)+COUNTIFS($B$3:$B153,"Hire hunter",$C$3:$C153,C154)+COUNTIFS($B$3:$B153,"Forge/Scrapwork buy",$C$3:$C153,C154))),1),0),0))</f>
        <v/>
      </c>
      <c r="K154" s="7">
        <f>MAX(0,K153+IF(AND((E154="OK"),B154="Hunt"),IF(C154="Thornpelt Bear",(IF(B154="Hunt",(('Rules &amp; Formulas'!B4*N153*('Rules &amp; Formulas'!B5+O153)*IFERROR(VLOOKUP(C154,Monsters!$T$4:$AH$15,10,FALSE),0)*IFERROR(VLOOKUP(C154,Monsters!$T$4:$AH$15,9,FALSE),0))*'Rules &amp; Formulas'!B6)*IF(D154="",0,D154),0))*0.12,0),0)+IF(AND((E154="OK"),B154="Go AFK"),IF(C154="Thornpelt Bear",(IF(B154="Go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AFK",IF(D154="",0,D154),0),Z153/60)*60)),0))*0.12,0),0))</f>
        <v/>
      </c>
      <c r="L154" s="7">
        <f>MAX(0,L153+IF(AND((E154="OK"),B154="Hunt"),IF(C154="Dire Thornpelt",(IF(B154="Hunt",(('Rules &amp; Formulas'!B4*N153*('Rules &amp; Formulas'!B5+O153)*IFERROR(VLOOKUP(C154,Monsters!$T$4:$AH$15,10,FALSE),0)*IFERROR(VLOOKUP(C154,Monsters!$T$4:$AH$15,9,FALSE),0))*'Rules &amp; Formulas'!B6)*IF(D154="",0,D154),0))*0.1,0),0)+IF(AND((E154="OK"),B154="Go AFK"),IF(C154="Dire Thornpelt",(IF(B154="Go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AFK",IF(D154="",0,D154),0),Z153/60)*60)),0))*0.1,0),0))</f>
        <v/>
      </c>
      <c r="M154" s="7">
        <f>IF(AND((E154="OK"),B154="Go AFK"),MAX(0,MIN(('Rules &amp; Formulas'!B15+25*AJ153),M153+('Rules &amp; Formulas'!B14+0.4*AJ153)*(MIN(IF(B154="Go AFK",IF(D154="",0,D154),0),Z153/60)*60))-(IF(B154="Go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AFK",IF(D154="",0,D154),0),Z153/60)*60)),0))*(IF((IFERROR(VLOOKUP(C154,Monsters!$T$4:$AH$15,8,FALSE),0))=0,0.35,IFERROR(VLOOKUP(C154,Monsters!$T$4:$AH$15,8,FALSE),0))/(1+0.08*AK153))),MIN(('Rules &amp; Formulas'!B15+25*AJ154),M153))</f>
        <v/>
      </c>
      <c r="N154" s="7">
        <f>(1+0.08+0.12*AA154+0.12*AB154+0.16*AC154)</f>
        <v/>
      </c>
      <c r="O154" s="7">
        <f>((AD154&gt;=1)*1*(1+0.3*AE154))</f>
        <v/>
      </c>
      <c r="P154" s="7">
        <f>IF(OR(B154="Hunt",B154="Go AFK"),(('Rules &amp; Formulas'!B4*N153*('Rules &amp; Formulas'!B5+O153)*IFERROR(VLOOKUP(C154,Monsters!$T$4:$AH$15,10,FALSE),0)*IFERROR(VLOOKUP(C154,Monsters!$T$4:$AH$15,9,FALSE),0))*'Rules &amp; Formulas'!B6),"")</f>
        <v/>
      </c>
      <c r="Q154" s="7">
        <f>IF(OR(B154="Hunt",B154="Go AFK"),('Rules &amp; Formulas'!B4*N153*('Rules &amp; Formulas'!B5+O153)*IFERROR(VLOOKUP(C154,Monsters!$T$4:$AH$15,10,FALSE),0)*IFERROR(VLOOKUP(C154,Monsters!$T$4:$AH$15,9,FALSE),0)),"")</f>
        <v/>
      </c>
      <c r="R154" s="7">
        <f>IF(AND((E154="OK"),B154="Hunt"),IF(B154="Hunt",(('Rules &amp; Formulas'!B4*N153*('Rules &amp; Formulas'!B5+O153)*IFERROR(VLOOKUP(C154,Monsters!$T$4:$AH$15,10,FALSE),0)*IFERROR(VLOOKUP(C154,Monsters!$T$4:$AH$15,9,FALSE),0))*'Rules &amp; Formulas'!B6)*IF(D154="",0,D154),0),IF(AND((E154="OK"),B154="Go AFK"),IF(B154="Go AFK",MIN(IF((IF((IFERROR(VLOOKUP(C154,Monsters!$T$4:$AH$15,8,FALSE),0))=0,0.35,IFERROR(VLOOKUP(C154,Monsters!$T$4:$AH$15,8,FALSE),0))/(1+0.08*AK153))&lt;=0,999999,FLOOR(MIN(('Rules &amp; Formulas'!B15+25*AJ153),M153+('Rules &amp; Formulas'!B14+0.4*AJ153)*(MIN(IF(B154="Go AFK",IF(D154="",0,D154),0),Z153/60)*60))/(IF((IFERROR(VLOOKUP(C154,Monsters!$T$4:$AH$15,8,FALSE),0))=0,0.35,IFERROR(VLOOKUP(C154,Monsters!$T$4:$AH$15,8,FALSE),0))/(1+0.08*AK153)),1)),('Rules &amp; Formulas'!B4*N153*('Rules &amp; Formulas'!B5+O153)*IFERROR(VLOOKUP(C154,Monsters!$T$4:$AH$15,10,FALSE),0)*IFERROR(VLOOKUP(C154,Monsters!$T$4:$AH$15,9,FALSE),0))*(MIN(IF(B154="Go AFK",IF(D154="",0,D154),0),Z153/60)*60)),0),0))</f>
        <v/>
      </c>
      <c r="S154" s="7">
        <f>(105/'Rules &amp; Formulas'!B10)*'Rules &amp; Formulas'!B11</f>
        <v/>
      </c>
      <c r="T154" s="7">
        <f>IF(AD153&gt;=1,(MAX(1,ROUND('Rules &amp; Formulas'!B18*(1+0.3*AE153)*(1+0.4*AF153),0)))*(1000/'Rules &amp; Formulas'!B19)*MIN(0.95,'Rules &amp; Formulas'!B20*SQRT(1+0.55*(AG153&gt;=1))),0)</f>
        <v/>
      </c>
      <c r="U154" s="7">
        <f>S154+T154</f>
        <v/>
      </c>
      <c r="V154" s="7">
        <f>IF(I153&gt;=IF((IFERROR(VLOOKUP(C154,Monsters!$T$4:$AH$15,15,FALSE),0))=0,120,IFERROR(VLOOKUP(C154,Monsters!$T$4:$AH$15,15,FALSE),0)),"YES","no")</f>
        <v/>
      </c>
      <c r="W154" s="7">
        <f>IF(AND(B154="Fight boss",E154="OK"),IF((((105/'Rules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Formulas'!B20*SQRT(1+0.55*(AG153&gt;=1))),0)))),"")</f>
        <v/>
      </c>
      <c r="X154" s="7">
        <f>IF(AND(B154="Fight boss",E154="OK"),IF((IF((((105/'Rules &amp; Formulas'!B10)*'Rules &amp; Formulas'!B11+IF(AD153&gt;=1,(MAX(1,ROUND('Rules &amp; Formulas'!B18*(1+0.3*AE153)*(1+0.4*AF153),0)))*(1000/'Rules &amp; Formulas'!B19)*MIN(0.95,'Rules &amp; Formulas'!B20*SQRT(1+0.55*(AG153&gt;=1))),0)))&lt;=0,9999,(IFERROR(VLOOKUP(C154,Monsters!$T$4:$AH$15,2,FALSE),0))/(((105/'Rules &amp; Formulas'!B10)*'Rules &amp; Formulas'!B11+IF(AD153&gt;=1,(MAX(1,ROUND('Rules &amp; Formulas'!B18*(1+0.3*AE153)*(1+0.4*AF153),0)))*(1000/'Rules &amp; Formulas'!B19)*MIN(0.95,'Rules &amp; Formulas'!B20*SQRT(1+0.55*(AG153&gt;=1))),0))))&lt;='Rules &amp; Formulas'!B12),"WIN","LOSE"),"")</f>
        <v/>
      </c>
      <c r="Y154" s="7">
        <f>IF(B154="Go AFK",MIN(IF(B154="Go AFK",IF(D154="",0,D154),0),Z153/60),"")</f>
        <v/>
      </c>
      <c r="Z154" s="7">
        <f>('Rules &amp; Formulas'!B13+30*AI154)</f>
        <v/>
      </c>
      <c r="AA154">
        <f>COUNTIFS($B$3:$B154,"Buy upgrade",$C$3:$C154,"Idle Power")</f>
        <v/>
      </c>
      <c r="AB154">
        <f>COUNTIFS($B$3:$B154,"Buy upgrade",$C$3:$C154,"Iron Blade")</f>
        <v/>
      </c>
      <c r="AC154">
        <f>COUNTIFS($B$3:$B154,"Buy upgrade",$C$3:$C154,"Steel Blade")</f>
        <v/>
      </c>
      <c r="AD154">
        <f>COUNTIFS($B$3:$B154,"Hire hunter",$C$3:$C154,"Briar")+COUNTIFS($B$3:$B154,"Buy upgrade",$C$3:$C154,"Hire Briar")</f>
        <v/>
      </c>
      <c r="AE154">
        <f>COUNTIFS($B$3:$B154,"Buy upgrade",$C$3:$C154,"Hunter Power")</f>
        <v/>
      </c>
      <c r="AF154">
        <f>COUNTIFS($B$3:$B154,"Buy upgrade",$C$3:$C154,"Bigger Hits")</f>
        <v/>
      </c>
      <c r="AG154">
        <f>COUNTIFS($B$3:$B154,"Buy upgrade",$C$3:$C154,"Swift Walk")</f>
        <v/>
      </c>
      <c r="AH154">
        <f>COUNTIFS($B$3:$B154,"Buy upgrade",$C$3:$C154,"Loot Luck")</f>
        <v/>
      </c>
      <c r="AI154">
        <f>COUNTIFS($B$3:$B154,"Buy upgrade",$C$3:$C154,"Offline Cap")</f>
        <v/>
      </c>
      <c r="AJ154">
        <f>COUNTIFS($B$3:$B154,"Buy upgrade",$C$3:$C154,"Bigger Food Stock")</f>
        <v/>
      </c>
      <c r="AK154">
        <f>COUNTIFS($B$3:$B154,"Buy upgrade",$C$3:$C154,"Food Efficiency")</f>
        <v/>
      </c>
    </row>
    <row r="155">
      <c r="A155" t="n">
        <v>153</v>
      </c>
      <c r="B155" s="6" t="n"/>
      <c r="C155" s="6" t="n"/>
      <c r="D155" s="6" t="n"/>
      <c r="E155" s="7">
        <f>IF(B155="","",IF(OR(B155="Hunt",B155="Go AFK"),IF(C155="","Can't","OK"),IF(B155="Fight boss",IF(I154&lt;IF((IFERROR(VLOOKUP(C155,Monsters!$T$4:$AH$15,15,FALSE),0))=0,120,IFERROR(VLOOKUP(C155,Monsters!$T$4:$AH$15,15,FALSE),0)),"Can't","OK"),IF(B155="Hire hunter",IF(AND(C155="Briar",AD154&gt;=1),"Can't",IF(H154&lt;IF(C155="Briar",140,IF(C155="Quill",3650,IF(C155="Moss",4850,IF(C155="Ember",12200,0)))),"Can't","OK")),IF(OR(B155="Buy upgrade",B155="Forge/Scrapwork buy"),IF(IFERROR(VLOOKUP(C155,Upgrades!$N$4:$T$47,2,FALSE),0)="points","Can't",IF(IFERROR(VLOOKUP(C155,Upgrades!$N$4:$T$47,2,FALSE),0)="gold",IF(H154&lt;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buy",$C$3:$C154,C155))),1),0),"Can't","OK"),IF(IFERROR(VLOOKUP(C155,Upgrades!$N$4:$T$47,2,FALSE),0)="scraps",IF(J154&lt;IFERROR(FLOOR(IFERROR(VLOOKUP(C155,Upgrades!$N$4:$T$47,3,FALSE),0)*(IFERROR(VLOOKUP(C155,Upgrades!$N$4:$T$47,4,FALSE),0)^(COUNTIFS($B$3:$B154,"Buy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buy",$C$3:$C154,C155))),1),0),"Can't","OK"),IF(IFERROR(VLOOKUP(C155,Upgrades!$N$4:$T$47,2,FALSE),0)="mats","Can't","OK")))),"Check")))))</f>
        <v/>
      </c>
      <c r="F155" s="7">
        <f>IF(B155="","",IF(AND(B155="Fight boss",I154&lt;IF((IFERROR(VLOOKUP(C155,Monsters!$T$4:$AH$15,15,FALSE),0))=0,120,IFERROR(VLOOKUP(C155,Monsters!$T$4:$AH$15,15,FALSE),0))),"Can't — need "&amp;TEXT(IF((IFERROR(VLOOKUP(C155,Monsters!$T$4:$AH$15,15,FALSE),0))=0,120,IFERROR(VLOOKUP(C155,Monsters!$T$4:$AH$15,15,FALSE),0))-I154,"0.0")&amp;" more Slayer points on the meter",IF(AND(B155="Hire hunter",C155="Briar",AD154&gt;=1),"Can't — already hired",IF(AND(B155="Hire hunter",H154&lt;IF(C155="Briar",140,IF(C155="Quill",3650,IF(C155="Moss",4850,IF(C155="Ember",12200,0))))),"Can't — need "&amp;TEXT(IF(C155="Briar",140,IF(C155="Quill",3650,IF(C155="Moss",4850,IF(C155="Ember",12200,0))))-H154,"0")&amp;" more gold",IF(AND(OR(B155="Buy upgrade",B155="Forge/Scrapwork buy"),IFERROR(VLOOKUP(C155,Upgrades!$N$4:$T$47,2,FALSE),0)="points"),"Can't — Sp-wallet spends not tracked here",IF(AND(OR(B155="Buy upgrade",B155="Forge/Scrapwork buy"),IFERROR(VLOOKUP(C155,Upgrades!$N$4:$T$47,2,FALSE),0)="gold",H154&lt;IFERROR(FLOOR(IFERROR(VLOOKUP(C155,Upgrades!$N$4:$T$47,3,FALSE),0)*(IFERROR(VLOOKUP(C155,Upgrades!$N$4:$T$47,4,FALSE),0)^(COUNTIFS($B$3:$B154,"Buy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buy",$C$3:$C154,C155))),1),0)),"Can't — need "&amp;TEXT(IFERROR(FLOOR(IFERROR(VLOOKUP(C155,Upgrades!$N$4:$T$47,3,FALSE),0)*(IFERROR(VLOOKUP(C155,Upgrades!$N$4:$T$47,4,FALSE),0)^(COUNTIFS($B$3:$B154,"Buy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buy",$C$3:$C154,C155))),1),0)-H154,"0")&amp;" more gold",IF(AND(OR(B155="Buy upgrade",B155="Forge/Scrapwork buy"),IFERROR(VLOOKUP(C155,Upgrades!$N$4:$T$47,2,FALSE),0)="scraps",J154&lt;IFERROR(FLOOR(IFERROR(VLOOKUP(C155,Upgrades!$N$4:$T$47,3,FALSE),0)*(IFERROR(VLOOKUP(C155,Upgrades!$N$4:$T$47,4,FALSE),0)^(COUNTIFS($B$3:$B154,"Buy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buy",$C$3:$C154,C155))),1),0)),"Can't — need "&amp;TEXT(IFERROR(FLOOR(IFERROR(VLOOKUP(C155,Upgrades!$N$4:$T$47,3,FALSE),0)*(IFERROR(VLOOKUP(C155,Upgrades!$N$4:$T$47,4,FALSE),0)^(COUNTIFS($B$3:$B154,"Buy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buy",$C$3:$C154,C155))),1),0)-J154,"0")&amp;" more scraps",IF(AND(B155="Fight boss",E155="OK",(IF((((105/'Rules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Formulas'!B12)),"WIN — boss down, next Level unlocks",IF(AND(B155="Fight boss",E155="OK"),"LOSE — TTK "&amp;TEXT(IF((((105/'Rules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Formulas'!B20*SQRT(1+0.55*(AG154&gt;=1))),0)))),"0")&amp;"s &gt; patience "&amp;TEXT('Rules &amp; Formulas'!B12,"0")&amp;"s (leave resets HP)",IF(B155="Go AFK","AFK resolved (see AFK counted h)","Applied")))))))))</f>
        <v/>
      </c>
      <c r="G155" s="7">
        <f>IF(AND((E155="OK"),B155="Fight boss",(IF((((105/'Rules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Formulas'!B12),C155="Elder Thornpelt"),2,IF(AND((E155="OK"),B155="Fight boss",(IF((((105/'Rules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Formulas'!B12),C155="Ashfang Alpha"),3,G154))</f>
        <v/>
      </c>
      <c r="H155" s="7">
        <f>MAX(0,H154+IF(AND((E155="OK"),B155="Hunt"),(IF(B155="Hunt",(('Rules &amp; Formulas'!B4*N154*('Rules &amp; Formulas'!B5+O154)*IFERROR(VLOOKUP(C155,Monsters!$T$4:$AH$15,10,FALSE),0)*IFERROR(VLOOKUP(C155,Monsters!$T$4:$AH$15,9,FALSE),0))*'Rules &amp; Formulas'!B6)*IF(D155="",0,D155),0))*(IFERROR(VLOOKUP(C155,Monsters!$T$4:$AH$15,3,FALSE),0))*(1+0.1*AH154)+(IF(OR(B155&lt;&gt;"Hunt",IFERROR(VLOOKUP(C155,Monsters!$T$4:$AH$15,6,FALSE),0)=0),0,FLOOR((IF(B155="Hunt",(('Rules &amp; Formulas'!B4*N154*('Rules &amp; Formulas'!B5+O154)*IFERROR(VLOOKUP(C155,Monsters!$T$4:$AH$15,10,FALSE),0)*IFERROR(VLOOKUP(C155,Monsters!$T$4:$AH$15,9,FALSE),0))*'Rules &amp; Formulas'!B6)*IF(D155="",0,D155),0))/MAX(1,IFERROR(VLOOKUP(C155,Monsters!$T$4:$AH$15,6,FALSE),0)),1)))*(IFERROR(VLOOKUP(C155,Monsters!$T$4:$AH$15,7,FALSE),0))*0.5*(1+0.1*AH154),0)+IF(AND((E155="OK"),B155="Go AFK"),(IF(B155="Go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AFK",IF(D155="",0,D155),0),Z154/60)*60)),0))*(IFERROR(VLOOKUP(C155,Monsters!$T$4:$AH$15,3,FALSE),0))*(1+0.1*AH154)+(IF(OR(B155&lt;&gt;"Go AFK",IFERROR(VLOOKUP(C155,Monsters!$T$4:$AH$15,6,FALSE),0)=0),0,FLOOR((IF(B155="Go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AFK",IF(D155="",0,D155),0),Z154/60)*60)),0))/MAX(1,IFERROR(VLOOKUP(C155,Monsters!$T$4:$AH$15,6,FALSE),0)),1)))*(IFERROR(VLOOKUP(C155,Monsters!$T$4:$AH$15,7,FALSE),0))*0.5*(1+0.1*AH154),0)+IF(AND((E155="OK"),B155="Fight boss",(IF((((105/'Rules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Formulas'!B12)),IFERROR(VLOOKUP(C155,Monsters!$T$4:$AH$15,3,FALSE),0),0)-IF(AND((E155="OK"),OR(B155="Buy upgrade",B155="Forge/Scrapwork buy"),IFERROR(VLOOKUP(C155,Upgrades!$N$4:$T$47,2,FALSE),0)="gold"),IFERROR(FLOOR(IFERROR(VLOOKUP(C155,Upgrades!$N$4:$T$47,3,FALSE),0)*(IFERROR(VLOOKUP(C155,Upgrades!$N$4:$T$47,4,FALSE),0)^(COUNTIFS($B$3:$B154,"Buy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buy",$C$3:$C154,C155))),1),0),0)-IF(AND((E155="OK"),B155="Hire hunter"),IF(C155="Briar",140,IF(C155="Quill",3650,IF(C155="Moss",4850,IF(C155="Ember",12200,0)))),0))</f>
        <v/>
      </c>
      <c r="I155" s="7">
        <f>IF(AND((E155="OK"),B155="Fight boss",(IF((((105/'Rules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Formulas'!B12)),0,MIN(IF(G154&lt;=1,120,IF(G154=2,280,600)),I154+IF(AND((E155="OK"),B155="Hunt"),((IF(B155="Hunt",(('Rules &amp; Formulas'!B4*N154*('Rules &amp; Formulas'!B5+O154)*IFERROR(VLOOKUP(C155,Monsters!$T$4:$AH$15,10,FALSE),0)*IFERROR(VLOOKUP(C155,Monsters!$T$4:$AH$15,9,FALSE),0))*'Rules &amp; Formulas'!B6)*IF(D155="",0,D155),0))*(IFERROR(VLOOKUP(C155,Monsters!$T$4:$AH$15,4,FALSE),0))+(IF(OR(B155&lt;&gt;"Hunt",IFERROR(VLOOKUP(C155,Monsters!$T$4:$AH$15,6,FALSE),0)=0),0,FLOOR((IF(B155="Hunt",(('Rules &amp; Formulas'!B4*N154*('Rules &amp; Formulas'!B5+O154)*IFERROR(VLOOKUP(C155,Monsters!$T$4:$AH$15,10,FALSE),0)*IFERROR(VLOOKUP(C155,Monsters!$T$4:$AH$15,9,FALSE),0))*'Rules &amp; Formulas'!B6)*IF(D155="",0,D155),0))/MAX(1,IFERROR(VLOOKUP(C155,Monsters!$T$4:$AH$15,6,FALSE),0)),1)))*(IFERROR(VLOOKUP(C155,Monsters!$T$4:$AH$15,7,FALSE),0))),0)+IF(AND((E155="OK"),B155="Go AFK"),((IF(B155="Go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AFK",IF(D155="",0,D155),0),Z154/60)*60)),0))*(IFERROR(VLOOKUP(C155,Monsters!$T$4:$AH$15,4,FALSE),0))+(IF(OR(B155&lt;&gt;"Go AFK",IFERROR(VLOOKUP(C155,Monsters!$T$4:$AH$15,6,FALSE),0)=0),0,FLOOR((IF(B155="Go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AFK",IF(D155="",0,D155),0),Z154/60)*60)),0))/MAX(1,IFERROR(VLOOKUP(C155,Monsters!$T$4:$AH$15,6,FALSE),0)),1)))*(IFERROR(VLOOKUP(C155,Monsters!$T$4:$AH$15,7,FALSE),0))),0)))</f>
        <v/>
      </c>
      <c r="J155" s="7">
        <f>MAX(0,J154+IF(AND((E155="OK"),B155="Hunt"),(IF(B155="Hunt",(('Rules &amp; Formulas'!B4*N154*('Rules &amp; Formulas'!B5+O154)*IFERROR(VLOOKUP(C155,Monsters!$T$4:$AH$15,10,FALSE),0)*IFERROR(VLOOKUP(C155,Monsters!$T$4:$AH$15,9,FALSE),0))*'Rules &amp; Formulas'!B6)*IF(D155="",0,D155),0))*(IFERROR(VLOOKUP(C155,Monsters!$T$4:$AH$15,5,FALSE),0)),0)+IF(AND((E155="OK"),B155="Go AFK"),(IF(B155="Go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AFK",IF(D155="",0,D155),0),Z154/60)*60)),0))*(IFERROR(VLOOKUP(C155,Monsters!$T$4:$AH$15,5,FALSE),0)),0)-IF(AND((E155="OK"),OR(B155="Buy upgrade",B155="Forge/Scrapwork buy"),IFERROR(VLOOKUP(C155,Upgrades!$N$4:$T$47,2,FALSE),0)="scraps"),IFERROR(FLOOR(IFERROR(VLOOKUP(C155,Upgrades!$N$4:$T$47,3,FALSE),0)*(IFERROR(VLOOKUP(C155,Upgrades!$N$4:$T$47,4,FALSE),0)^(COUNTIFS($B$3:$B154,"Buy upgrade",$C$3:$C154,C155)+COUNTIFS($B$3:$B154,"Hire hunter",$C$3:$C154,C155)+COUNTIFS($B$3:$B154,"Forge/Scrapwork buy",$C$3:$C154,C155))),1),0),0))</f>
        <v/>
      </c>
      <c r="K155" s="7">
        <f>MAX(0,K154+IF(AND((E155="OK"),B155="Hunt"),IF(C155="Thornpelt Bear",(IF(B155="Hunt",(('Rules &amp; Formulas'!B4*N154*('Rules &amp; Formulas'!B5+O154)*IFERROR(VLOOKUP(C155,Monsters!$T$4:$AH$15,10,FALSE),0)*IFERROR(VLOOKUP(C155,Monsters!$T$4:$AH$15,9,FALSE),0))*'Rules &amp; Formulas'!B6)*IF(D155="",0,D155),0))*0.12,0),0)+IF(AND((E155="OK"),B155="Go AFK"),IF(C155="Thornpelt Bear",(IF(B155="Go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AFK",IF(D155="",0,D155),0),Z154/60)*60)),0))*0.12,0),0))</f>
        <v/>
      </c>
      <c r="L155" s="7">
        <f>MAX(0,L154+IF(AND((E155="OK"),B155="Hunt"),IF(C155="Dire Thornpelt",(IF(B155="Hunt",(('Rules &amp; Formulas'!B4*N154*('Rules &amp; Formulas'!B5+O154)*IFERROR(VLOOKUP(C155,Monsters!$T$4:$AH$15,10,FALSE),0)*IFERROR(VLOOKUP(C155,Monsters!$T$4:$AH$15,9,FALSE),0))*'Rules &amp; Formulas'!B6)*IF(D155="",0,D155),0))*0.1,0),0)+IF(AND((E155="OK"),B155="Go AFK"),IF(C155="Dire Thornpelt",(IF(B155="Go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AFK",IF(D155="",0,D155),0),Z154/60)*60)),0))*0.1,0),0))</f>
        <v/>
      </c>
      <c r="M155" s="7">
        <f>IF(AND((E155="OK"),B155="Go AFK"),MAX(0,MIN(('Rules &amp; Formulas'!B15+25*AJ154),M154+('Rules &amp; Formulas'!B14+0.4*AJ154)*(MIN(IF(B155="Go AFK",IF(D155="",0,D155),0),Z154/60)*60))-(IF(B155="Go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AFK",IF(D155="",0,D155),0),Z154/60)*60)),0))*(IF((IFERROR(VLOOKUP(C155,Monsters!$T$4:$AH$15,8,FALSE),0))=0,0.35,IFERROR(VLOOKUP(C155,Monsters!$T$4:$AH$15,8,FALSE),0))/(1+0.08*AK154))),MIN(('Rules &amp; Formulas'!B15+25*AJ155),M154))</f>
        <v/>
      </c>
      <c r="N155" s="7">
        <f>(1+0.08+0.12*AA155+0.12*AB155+0.16*AC155)</f>
        <v/>
      </c>
      <c r="O155" s="7">
        <f>((AD155&gt;=1)*1*(1+0.3*AE155))</f>
        <v/>
      </c>
      <c r="P155" s="7">
        <f>IF(OR(B155="Hunt",B155="Go AFK"),(('Rules &amp; Formulas'!B4*N154*('Rules &amp; Formulas'!B5+O154)*IFERROR(VLOOKUP(C155,Monsters!$T$4:$AH$15,10,FALSE),0)*IFERROR(VLOOKUP(C155,Monsters!$T$4:$AH$15,9,FALSE),0))*'Rules &amp; Formulas'!B6),"")</f>
        <v/>
      </c>
      <c r="Q155" s="7">
        <f>IF(OR(B155="Hunt",B155="Go AFK"),('Rules &amp; Formulas'!B4*N154*('Rules &amp; Formulas'!B5+O154)*IFERROR(VLOOKUP(C155,Monsters!$T$4:$AH$15,10,FALSE),0)*IFERROR(VLOOKUP(C155,Monsters!$T$4:$AH$15,9,FALSE),0)),"")</f>
        <v/>
      </c>
      <c r="R155" s="7">
        <f>IF(AND((E155="OK"),B155="Hunt"),IF(B155="Hunt",(('Rules &amp; Formulas'!B4*N154*('Rules &amp; Formulas'!B5+O154)*IFERROR(VLOOKUP(C155,Monsters!$T$4:$AH$15,10,FALSE),0)*IFERROR(VLOOKUP(C155,Monsters!$T$4:$AH$15,9,FALSE),0))*'Rules &amp; Formulas'!B6)*IF(D155="",0,D155),0),IF(AND((E155="OK"),B155="Go AFK"),IF(B155="Go AFK",MIN(IF((IF((IFERROR(VLOOKUP(C155,Monsters!$T$4:$AH$15,8,FALSE),0))=0,0.35,IFERROR(VLOOKUP(C155,Monsters!$T$4:$AH$15,8,FALSE),0))/(1+0.08*AK154))&lt;=0,999999,FLOOR(MIN(('Rules &amp; Formulas'!B15+25*AJ154),M154+('Rules &amp; Formulas'!B14+0.4*AJ154)*(MIN(IF(B155="Go AFK",IF(D155="",0,D155),0),Z154/60)*60))/(IF((IFERROR(VLOOKUP(C155,Monsters!$T$4:$AH$15,8,FALSE),0))=0,0.35,IFERROR(VLOOKUP(C155,Monsters!$T$4:$AH$15,8,FALSE),0))/(1+0.08*AK154)),1)),('Rules &amp; Formulas'!B4*N154*('Rules &amp; Formulas'!B5+O154)*IFERROR(VLOOKUP(C155,Monsters!$T$4:$AH$15,10,FALSE),0)*IFERROR(VLOOKUP(C155,Monsters!$T$4:$AH$15,9,FALSE),0))*(MIN(IF(B155="Go AFK",IF(D155="",0,D155),0),Z154/60)*60)),0),0))</f>
        <v/>
      </c>
      <c r="S155" s="7">
        <f>(105/'Rules &amp; Formulas'!B10)*'Rules &amp; Formulas'!B11</f>
        <v/>
      </c>
      <c r="T155" s="7">
        <f>IF(AD154&gt;=1,(MAX(1,ROUND('Rules &amp; Formulas'!B18*(1+0.3*AE154)*(1+0.4*AF154),0)))*(1000/'Rules &amp; Formulas'!B19)*MIN(0.95,'Rules &amp; Formulas'!B20*SQRT(1+0.55*(AG154&gt;=1))),0)</f>
        <v/>
      </c>
      <c r="U155" s="7">
        <f>S155+T155</f>
        <v/>
      </c>
      <c r="V155" s="7">
        <f>IF(I154&gt;=IF((IFERROR(VLOOKUP(C155,Monsters!$T$4:$AH$15,15,FALSE),0))=0,120,IFERROR(VLOOKUP(C155,Monsters!$T$4:$AH$15,15,FALSE),0)),"YES","no")</f>
        <v/>
      </c>
      <c r="W155" s="7">
        <f>IF(AND(B155="Fight boss",E155="OK"),IF((((105/'Rules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Formulas'!B20*SQRT(1+0.55*(AG154&gt;=1))),0)))),"")</f>
        <v/>
      </c>
      <c r="X155" s="7">
        <f>IF(AND(B155="Fight boss",E155="OK"),IF((IF((((105/'Rules &amp; Formulas'!B10)*'Rules &amp; Formulas'!B11+IF(AD154&gt;=1,(MAX(1,ROUND('Rules &amp; Formulas'!B18*(1+0.3*AE154)*(1+0.4*AF154),0)))*(1000/'Rules &amp; Formulas'!B19)*MIN(0.95,'Rules &amp; Formulas'!B20*SQRT(1+0.55*(AG154&gt;=1))),0)))&lt;=0,9999,(IFERROR(VLOOKUP(C155,Monsters!$T$4:$AH$15,2,FALSE),0))/(((105/'Rules &amp; Formulas'!B10)*'Rules &amp; Formulas'!B11+IF(AD154&gt;=1,(MAX(1,ROUND('Rules &amp; Formulas'!B18*(1+0.3*AE154)*(1+0.4*AF154),0)))*(1000/'Rules &amp; Formulas'!B19)*MIN(0.95,'Rules &amp; Formulas'!B20*SQRT(1+0.55*(AG154&gt;=1))),0))))&lt;='Rules &amp; Formulas'!B12),"WIN","LOSE"),"")</f>
        <v/>
      </c>
      <c r="Y155" s="7">
        <f>IF(B155="Go AFK",MIN(IF(B155="Go AFK",IF(D155="",0,D155),0),Z154/60),"")</f>
        <v/>
      </c>
      <c r="Z155" s="7">
        <f>('Rules &amp; Formulas'!B13+30*AI155)</f>
        <v/>
      </c>
      <c r="AA155">
        <f>COUNTIFS($B$3:$B155,"Buy upgrade",$C$3:$C155,"Idle Power")</f>
        <v/>
      </c>
      <c r="AB155">
        <f>COUNTIFS($B$3:$B155,"Buy upgrade",$C$3:$C155,"Iron Blade")</f>
        <v/>
      </c>
      <c r="AC155">
        <f>COUNTIFS($B$3:$B155,"Buy upgrade",$C$3:$C155,"Steel Blade")</f>
        <v/>
      </c>
      <c r="AD155">
        <f>COUNTIFS($B$3:$B155,"Hire hunter",$C$3:$C155,"Briar")+COUNTIFS($B$3:$B155,"Buy upgrade",$C$3:$C155,"Hire Briar")</f>
        <v/>
      </c>
      <c r="AE155">
        <f>COUNTIFS($B$3:$B155,"Buy upgrade",$C$3:$C155,"Hunter Power")</f>
        <v/>
      </c>
      <c r="AF155">
        <f>COUNTIFS($B$3:$B155,"Buy upgrade",$C$3:$C155,"Bigger Hits")</f>
        <v/>
      </c>
      <c r="AG155">
        <f>COUNTIFS($B$3:$B155,"Buy upgrade",$C$3:$C155,"Swift Walk")</f>
        <v/>
      </c>
      <c r="AH155">
        <f>COUNTIFS($B$3:$B155,"Buy upgrade",$C$3:$C155,"Loot Luck")</f>
        <v/>
      </c>
      <c r="AI155">
        <f>COUNTIFS($B$3:$B155,"Buy upgrade",$C$3:$C155,"Offline Cap")</f>
        <v/>
      </c>
      <c r="AJ155">
        <f>COUNTIFS($B$3:$B155,"Buy upgrade",$C$3:$C155,"Bigger Food Stock")</f>
        <v/>
      </c>
      <c r="AK155">
        <f>COUNTIFS($B$3:$B155,"Buy upgrade",$C$3:$C155,"Food Efficiency")</f>
        <v/>
      </c>
    </row>
    <row r="156">
      <c r="A156" t="n">
        <v>154</v>
      </c>
      <c r="B156" s="6" t="n"/>
      <c r="C156" s="6" t="n"/>
      <c r="D156" s="6" t="n"/>
      <c r="E156" s="7">
        <f>IF(B156="","",IF(OR(B156="Hunt",B156="Go AFK"),IF(C156="","Can't","OK"),IF(B156="Fight boss",IF(I155&lt;IF((IFERROR(VLOOKUP(C156,Monsters!$T$4:$AH$15,15,FALSE),0))=0,120,IFERROR(VLOOKUP(C156,Monsters!$T$4:$AH$15,15,FALSE),0)),"Can't","OK"),IF(B156="Hire hunter",IF(AND(C156="Briar",AD155&gt;=1),"Can't",IF(H155&lt;IF(C156="Briar",140,IF(C156="Quill",3650,IF(C156="Moss",4850,IF(C156="Ember",12200,0)))),"Can't","OK")),IF(OR(B156="Buy upgrade",B156="Forge/Scrapwork buy"),IF(IFERROR(VLOOKUP(C156,Upgrades!$N$4:$T$47,2,FALSE),0)="points","Can't",IF(IFERROR(VLOOKUP(C156,Upgrades!$N$4:$T$47,2,FALSE),0)="gold",IF(H155&lt;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buy",$C$3:$C155,C156))),1),0),"Can't","OK"),IF(IFERROR(VLOOKUP(C156,Upgrades!$N$4:$T$47,2,FALSE),0)="scraps",IF(J155&lt;IFERROR(FLOOR(IFERROR(VLOOKUP(C156,Upgrades!$N$4:$T$47,3,FALSE),0)*(IFERROR(VLOOKUP(C156,Upgrades!$N$4:$T$47,4,FALSE),0)^(COUNTIFS($B$3:$B155,"Buy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buy",$C$3:$C155,C156))),1),0),"Can't","OK"),IF(IFERROR(VLOOKUP(C156,Upgrades!$N$4:$T$47,2,FALSE),0)="mats","Can't","OK")))),"Check")))))</f>
        <v/>
      </c>
      <c r="F156" s="7">
        <f>IF(B156="","",IF(AND(B156="Fight boss",I155&lt;IF((IFERROR(VLOOKUP(C156,Monsters!$T$4:$AH$15,15,FALSE),0))=0,120,IFERROR(VLOOKUP(C156,Monsters!$T$4:$AH$15,15,FALSE),0))),"Can't — need "&amp;TEXT(IF((IFERROR(VLOOKUP(C156,Monsters!$T$4:$AH$15,15,FALSE),0))=0,120,IFERROR(VLOOKUP(C156,Monsters!$T$4:$AH$15,15,FALSE),0))-I155,"0.0")&amp;" more Slayer points on the meter",IF(AND(B156="Hire hunter",C156="Briar",AD155&gt;=1),"Can't — already hired",IF(AND(B156="Hire hunter",H155&lt;IF(C156="Briar",140,IF(C156="Quill",3650,IF(C156="Moss",4850,IF(C156="Ember",12200,0))))),"Can't — need "&amp;TEXT(IF(C156="Briar",140,IF(C156="Quill",3650,IF(C156="Moss",4850,IF(C156="Ember",12200,0))))-H155,"0")&amp;" more gold",IF(AND(OR(B156="Buy upgrade",B156="Forge/Scrapwork buy"),IFERROR(VLOOKUP(C156,Upgrades!$N$4:$T$47,2,FALSE),0)="points"),"Can't — Sp-wallet spends not tracked here",IF(AND(OR(B156="Buy upgrade",B156="Forge/Scrapwork buy"),IFERROR(VLOOKUP(C156,Upgrades!$N$4:$T$47,2,FALSE),0)="gold",H155&lt;IFERROR(FLOOR(IFERROR(VLOOKUP(C156,Upgrades!$N$4:$T$47,3,FALSE),0)*(IFERROR(VLOOKUP(C156,Upgrades!$N$4:$T$47,4,FALSE),0)^(COUNTIFS($B$3:$B155,"Buy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buy",$C$3:$C155,C156))),1),0)),"Can't — need "&amp;TEXT(IFERROR(FLOOR(IFERROR(VLOOKUP(C156,Upgrades!$N$4:$T$47,3,FALSE),0)*(IFERROR(VLOOKUP(C156,Upgrades!$N$4:$T$47,4,FALSE),0)^(COUNTIFS($B$3:$B155,"Buy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buy",$C$3:$C155,C156))),1),0)-H155,"0")&amp;" more gold",IF(AND(OR(B156="Buy upgrade",B156="Forge/Scrapwork buy"),IFERROR(VLOOKUP(C156,Upgrades!$N$4:$T$47,2,FALSE),0)="scraps",J155&lt;IFERROR(FLOOR(IFERROR(VLOOKUP(C156,Upgrades!$N$4:$T$47,3,FALSE),0)*(IFERROR(VLOOKUP(C156,Upgrades!$N$4:$T$47,4,FALSE),0)^(COUNTIFS($B$3:$B155,"Buy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buy",$C$3:$C155,C156))),1),0)),"Can't — need "&amp;TEXT(IFERROR(FLOOR(IFERROR(VLOOKUP(C156,Upgrades!$N$4:$T$47,3,FALSE),0)*(IFERROR(VLOOKUP(C156,Upgrades!$N$4:$T$47,4,FALSE),0)^(COUNTIFS($B$3:$B155,"Buy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buy",$C$3:$C155,C156))),1),0)-J155,"0")&amp;" more scraps",IF(AND(B156="Fight boss",E156="OK",(IF((((105/'Rules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Formulas'!B12)),"WIN — boss down, next Level unlocks",IF(AND(B156="Fight boss",E156="OK"),"LOSE — TTK "&amp;TEXT(IF((((105/'Rules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Formulas'!B20*SQRT(1+0.55*(AG155&gt;=1))),0)))),"0")&amp;"s &gt; patience "&amp;TEXT('Rules &amp; Formulas'!B12,"0")&amp;"s (leave resets HP)",IF(B156="Go AFK","AFK resolved (see AFK counted h)","Applied")))))))))</f>
        <v/>
      </c>
      <c r="G156" s="7">
        <f>IF(AND((E156="OK"),B156="Fight boss",(IF((((105/'Rules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Formulas'!B12),C156="Elder Thornpelt"),2,IF(AND((E156="OK"),B156="Fight boss",(IF((((105/'Rules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Formulas'!B12),C156="Ashfang Alpha"),3,G155))</f>
        <v/>
      </c>
      <c r="H156" s="7">
        <f>MAX(0,H155+IF(AND((E156="OK"),B156="Hunt"),(IF(B156="Hunt",(('Rules &amp; Formulas'!B4*N155*('Rules &amp; Formulas'!B5+O155)*IFERROR(VLOOKUP(C156,Monsters!$T$4:$AH$15,10,FALSE),0)*IFERROR(VLOOKUP(C156,Monsters!$T$4:$AH$15,9,FALSE),0))*'Rules &amp; Formulas'!B6)*IF(D156="",0,D156),0))*(IFERROR(VLOOKUP(C156,Monsters!$T$4:$AH$15,3,FALSE),0))*(1+0.1*AH155)+(IF(OR(B156&lt;&gt;"Hunt",IFERROR(VLOOKUP(C156,Monsters!$T$4:$AH$15,6,FALSE),0)=0),0,FLOOR((IF(B156="Hunt",(('Rules &amp; Formulas'!B4*N155*('Rules &amp; Formulas'!B5+O155)*IFERROR(VLOOKUP(C156,Monsters!$T$4:$AH$15,10,FALSE),0)*IFERROR(VLOOKUP(C156,Monsters!$T$4:$AH$15,9,FALSE),0))*'Rules &amp; Formulas'!B6)*IF(D156="",0,D156),0))/MAX(1,IFERROR(VLOOKUP(C156,Monsters!$T$4:$AH$15,6,FALSE),0)),1)))*(IFERROR(VLOOKUP(C156,Monsters!$T$4:$AH$15,7,FALSE),0))*0.5*(1+0.1*AH155),0)+IF(AND((E156="OK"),B156="Go AFK"),(IF(B156="Go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AFK",IF(D156="",0,D156),0),Z155/60)*60)),0))*(IFERROR(VLOOKUP(C156,Monsters!$T$4:$AH$15,3,FALSE),0))*(1+0.1*AH155)+(IF(OR(B156&lt;&gt;"Go AFK",IFERROR(VLOOKUP(C156,Monsters!$T$4:$AH$15,6,FALSE),0)=0),0,FLOOR((IF(B156="Go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AFK",IF(D156="",0,D156),0),Z155/60)*60)),0))/MAX(1,IFERROR(VLOOKUP(C156,Monsters!$T$4:$AH$15,6,FALSE),0)),1)))*(IFERROR(VLOOKUP(C156,Monsters!$T$4:$AH$15,7,FALSE),0))*0.5*(1+0.1*AH155),0)+IF(AND((E156="OK"),B156="Fight boss",(IF((((105/'Rules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Formulas'!B12)),IFERROR(VLOOKUP(C156,Monsters!$T$4:$AH$15,3,FALSE),0),0)-IF(AND((E156="OK"),OR(B156="Buy upgrade",B156="Forge/Scrapwork buy"),IFERROR(VLOOKUP(C156,Upgrades!$N$4:$T$47,2,FALSE),0)="gold"),IFERROR(FLOOR(IFERROR(VLOOKUP(C156,Upgrades!$N$4:$T$47,3,FALSE),0)*(IFERROR(VLOOKUP(C156,Upgrades!$N$4:$T$47,4,FALSE),0)^(COUNTIFS($B$3:$B155,"Buy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buy",$C$3:$C155,C156))),1),0),0)-IF(AND((E156="OK"),B156="Hire hunter"),IF(C156="Briar",140,IF(C156="Quill",3650,IF(C156="Moss",4850,IF(C156="Ember",12200,0)))),0))</f>
        <v/>
      </c>
      <c r="I156" s="7">
        <f>IF(AND((E156="OK"),B156="Fight boss",(IF((((105/'Rules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Formulas'!B12)),0,MIN(IF(G155&lt;=1,120,IF(G155=2,280,600)),I155+IF(AND((E156="OK"),B156="Hunt"),((IF(B156="Hunt",(('Rules &amp; Formulas'!B4*N155*('Rules &amp; Formulas'!B5+O155)*IFERROR(VLOOKUP(C156,Monsters!$T$4:$AH$15,10,FALSE),0)*IFERROR(VLOOKUP(C156,Monsters!$T$4:$AH$15,9,FALSE),0))*'Rules &amp; Formulas'!B6)*IF(D156="",0,D156),0))*(IFERROR(VLOOKUP(C156,Monsters!$T$4:$AH$15,4,FALSE),0))+(IF(OR(B156&lt;&gt;"Hunt",IFERROR(VLOOKUP(C156,Monsters!$T$4:$AH$15,6,FALSE),0)=0),0,FLOOR((IF(B156="Hunt",(('Rules &amp; Formulas'!B4*N155*('Rules &amp; Formulas'!B5+O155)*IFERROR(VLOOKUP(C156,Monsters!$T$4:$AH$15,10,FALSE),0)*IFERROR(VLOOKUP(C156,Monsters!$T$4:$AH$15,9,FALSE),0))*'Rules &amp; Formulas'!B6)*IF(D156="",0,D156),0))/MAX(1,IFERROR(VLOOKUP(C156,Monsters!$T$4:$AH$15,6,FALSE),0)),1)))*(IFERROR(VLOOKUP(C156,Monsters!$T$4:$AH$15,7,FALSE),0))),0)+IF(AND((E156="OK"),B156="Go AFK"),((IF(B156="Go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AFK",IF(D156="",0,D156),0),Z155/60)*60)),0))*(IFERROR(VLOOKUP(C156,Monsters!$T$4:$AH$15,4,FALSE),0))+(IF(OR(B156&lt;&gt;"Go AFK",IFERROR(VLOOKUP(C156,Monsters!$T$4:$AH$15,6,FALSE),0)=0),0,FLOOR((IF(B156="Go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AFK",IF(D156="",0,D156),0),Z155/60)*60)),0))/MAX(1,IFERROR(VLOOKUP(C156,Monsters!$T$4:$AH$15,6,FALSE),0)),1)))*(IFERROR(VLOOKUP(C156,Monsters!$T$4:$AH$15,7,FALSE),0))),0)))</f>
        <v/>
      </c>
      <c r="J156" s="7">
        <f>MAX(0,J155+IF(AND((E156="OK"),B156="Hunt"),(IF(B156="Hunt",(('Rules &amp; Formulas'!B4*N155*('Rules &amp; Formulas'!B5+O155)*IFERROR(VLOOKUP(C156,Monsters!$T$4:$AH$15,10,FALSE),0)*IFERROR(VLOOKUP(C156,Monsters!$T$4:$AH$15,9,FALSE),0))*'Rules &amp; Formulas'!B6)*IF(D156="",0,D156),0))*(IFERROR(VLOOKUP(C156,Monsters!$T$4:$AH$15,5,FALSE),0)),0)+IF(AND((E156="OK"),B156="Go AFK"),(IF(B156="Go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AFK",IF(D156="",0,D156),0),Z155/60)*60)),0))*(IFERROR(VLOOKUP(C156,Monsters!$T$4:$AH$15,5,FALSE),0)),0)-IF(AND((E156="OK"),OR(B156="Buy upgrade",B156="Forge/Scrapwork buy"),IFERROR(VLOOKUP(C156,Upgrades!$N$4:$T$47,2,FALSE),0)="scraps"),IFERROR(FLOOR(IFERROR(VLOOKUP(C156,Upgrades!$N$4:$T$47,3,FALSE),0)*(IFERROR(VLOOKUP(C156,Upgrades!$N$4:$T$47,4,FALSE),0)^(COUNTIFS($B$3:$B155,"Buy upgrade",$C$3:$C155,C156)+COUNTIFS($B$3:$B155,"Hire hunter",$C$3:$C155,C156)+COUNTIFS($B$3:$B155,"Forge/Scrapwork buy",$C$3:$C155,C156))),1),0),0))</f>
        <v/>
      </c>
      <c r="K156" s="7">
        <f>MAX(0,K155+IF(AND((E156="OK"),B156="Hunt"),IF(C156="Thornpelt Bear",(IF(B156="Hunt",(('Rules &amp; Formulas'!B4*N155*('Rules &amp; Formulas'!B5+O155)*IFERROR(VLOOKUP(C156,Monsters!$T$4:$AH$15,10,FALSE),0)*IFERROR(VLOOKUP(C156,Monsters!$T$4:$AH$15,9,FALSE),0))*'Rules &amp; Formulas'!B6)*IF(D156="",0,D156),0))*0.12,0),0)+IF(AND((E156="OK"),B156="Go AFK"),IF(C156="Thornpelt Bear",(IF(B156="Go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AFK",IF(D156="",0,D156),0),Z155/60)*60)),0))*0.12,0),0))</f>
        <v/>
      </c>
      <c r="L156" s="7">
        <f>MAX(0,L155+IF(AND((E156="OK"),B156="Hunt"),IF(C156="Dire Thornpelt",(IF(B156="Hunt",(('Rules &amp; Formulas'!B4*N155*('Rules &amp; Formulas'!B5+O155)*IFERROR(VLOOKUP(C156,Monsters!$T$4:$AH$15,10,FALSE),0)*IFERROR(VLOOKUP(C156,Monsters!$T$4:$AH$15,9,FALSE),0))*'Rules &amp; Formulas'!B6)*IF(D156="",0,D156),0))*0.1,0),0)+IF(AND((E156="OK"),B156="Go AFK"),IF(C156="Dire Thornpelt",(IF(B156="Go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AFK",IF(D156="",0,D156),0),Z155/60)*60)),0))*0.1,0),0))</f>
        <v/>
      </c>
      <c r="M156" s="7">
        <f>IF(AND((E156="OK"),B156="Go AFK"),MAX(0,MIN(('Rules &amp; Formulas'!B15+25*AJ155),M155+('Rules &amp; Formulas'!B14+0.4*AJ155)*(MIN(IF(B156="Go AFK",IF(D156="",0,D156),0),Z155/60)*60))-(IF(B156="Go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AFK",IF(D156="",0,D156),0),Z155/60)*60)),0))*(IF((IFERROR(VLOOKUP(C156,Monsters!$T$4:$AH$15,8,FALSE),0))=0,0.35,IFERROR(VLOOKUP(C156,Monsters!$T$4:$AH$15,8,FALSE),0))/(1+0.08*AK155))),MIN(('Rules &amp; Formulas'!B15+25*AJ156),M155))</f>
        <v/>
      </c>
      <c r="N156" s="7">
        <f>(1+0.08+0.12*AA156+0.12*AB156+0.16*AC156)</f>
        <v/>
      </c>
      <c r="O156" s="7">
        <f>((AD156&gt;=1)*1*(1+0.3*AE156))</f>
        <v/>
      </c>
      <c r="P156" s="7">
        <f>IF(OR(B156="Hunt",B156="Go AFK"),(('Rules &amp; Formulas'!B4*N155*('Rules &amp; Formulas'!B5+O155)*IFERROR(VLOOKUP(C156,Monsters!$T$4:$AH$15,10,FALSE),0)*IFERROR(VLOOKUP(C156,Monsters!$T$4:$AH$15,9,FALSE),0))*'Rules &amp; Formulas'!B6),"")</f>
        <v/>
      </c>
      <c r="Q156" s="7">
        <f>IF(OR(B156="Hunt",B156="Go AFK"),('Rules &amp; Formulas'!B4*N155*('Rules &amp; Formulas'!B5+O155)*IFERROR(VLOOKUP(C156,Monsters!$T$4:$AH$15,10,FALSE),0)*IFERROR(VLOOKUP(C156,Monsters!$T$4:$AH$15,9,FALSE),0)),"")</f>
        <v/>
      </c>
      <c r="R156" s="7">
        <f>IF(AND((E156="OK"),B156="Hunt"),IF(B156="Hunt",(('Rules &amp; Formulas'!B4*N155*('Rules &amp; Formulas'!B5+O155)*IFERROR(VLOOKUP(C156,Monsters!$T$4:$AH$15,10,FALSE),0)*IFERROR(VLOOKUP(C156,Monsters!$T$4:$AH$15,9,FALSE),0))*'Rules &amp; Formulas'!B6)*IF(D156="",0,D156),0),IF(AND((E156="OK"),B156="Go AFK"),IF(B156="Go AFK",MIN(IF((IF((IFERROR(VLOOKUP(C156,Monsters!$T$4:$AH$15,8,FALSE),0))=0,0.35,IFERROR(VLOOKUP(C156,Monsters!$T$4:$AH$15,8,FALSE),0))/(1+0.08*AK155))&lt;=0,999999,FLOOR(MIN(('Rules &amp; Formulas'!B15+25*AJ155),M155+('Rules &amp; Formulas'!B14+0.4*AJ155)*(MIN(IF(B156="Go AFK",IF(D156="",0,D156),0),Z155/60)*60))/(IF((IFERROR(VLOOKUP(C156,Monsters!$T$4:$AH$15,8,FALSE),0))=0,0.35,IFERROR(VLOOKUP(C156,Monsters!$T$4:$AH$15,8,FALSE),0))/(1+0.08*AK155)),1)),('Rules &amp; Formulas'!B4*N155*('Rules &amp; Formulas'!B5+O155)*IFERROR(VLOOKUP(C156,Monsters!$T$4:$AH$15,10,FALSE),0)*IFERROR(VLOOKUP(C156,Monsters!$T$4:$AH$15,9,FALSE),0))*(MIN(IF(B156="Go AFK",IF(D156="",0,D156),0),Z155/60)*60)),0),0))</f>
        <v/>
      </c>
      <c r="S156" s="7">
        <f>(105/'Rules &amp; Formulas'!B10)*'Rules &amp; Formulas'!B11</f>
        <v/>
      </c>
      <c r="T156" s="7">
        <f>IF(AD155&gt;=1,(MAX(1,ROUND('Rules &amp; Formulas'!B18*(1+0.3*AE155)*(1+0.4*AF155),0)))*(1000/'Rules &amp; Formulas'!B19)*MIN(0.95,'Rules &amp; Formulas'!B20*SQRT(1+0.55*(AG155&gt;=1))),0)</f>
        <v/>
      </c>
      <c r="U156" s="7">
        <f>S156+T156</f>
        <v/>
      </c>
      <c r="V156" s="7">
        <f>IF(I155&gt;=IF((IFERROR(VLOOKUP(C156,Monsters!$T$4:$AH$15,15,FALSE),0))=0,120,IFERROR(VLOOKUP(C156,Monsters!$T$4:$AH$15,15,FALSE),0)),"YES","no")</f>
        <v/>
      </c>
      <c r="W156" s="7">
        <f>IF(AND(B156="Fight boss",E156="OK"),IF((((105/'Rules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Formulas'!B20*SQRT(1+0.55*(AG155&gt;=1))),0)))),"")</f>
        <v/>
      </c>
      <c r="X156" s="7">
        <f>IF(AND(B156="Fight boss",E156="OK"),IF((IF((((105/'Rules &amp; Formulas'!B10)*'Rules &amp; Formulas'!B11+IF(AD155&gt;=1,(MAX(1,ROUND('Rules &amp; Formulas'!B18*(1+0.3*AE155)*(1+0.4*AF155),0)))*(1000/'Rules &amp; Formulas'!B19)*MIN(0.95,'Rules &amp; Formulas'!B20*SQRT(1+0.55*(AG155&gt;=1))),0)))&lt;=0,9999,(IFERROR(VLOOKUP(C156,Monsters!$T$4:$AH$15,2,FALSE),0))/(((105/'Rules &amp; Formulas'!B10)*'Rules &amp; Formulas'!B11+IF(AD155&gt;=1,(MAX(1,ROUND('Rules &amp; Formulas'!B18*(1+0.3*AE155)*(1+0.4*AF155),0)))*(1000/'Rules &amp; Formulas'!B19)*MIN(0.95,'Rules &amp; Formulas'!B20*SQRT(1+0.55*(AG155&gt;=1))),0))))&lt;='Rules &amp; Formulas'!B12),"WIN","LOSE"),"")</f>
        <v/>
      </c>
      <c r="Y156" s="7">
        <f>IF(B156="Go AFK",MIN(IF(B156="Go AFK",IF(D156="",0,D156),0),Z155/60),"")</f>
        <v/>
      </c>
      <c r="Z156" s="7">
        <f>('Rules &amp; Formulas'!B13+30*AI156)</f>
        <v/>
      </c>
      <c r="AA156">
        <f>COUNTIFS($B$3:$B156,"Buy upgrade",$C$3:$C156,"Idle Power")</f>
        <v/>
      </c>
      <c r="AB156">
        <f>COUNTIFS($B$3:$B156,"Buy upgrade",$C$3:$C156,"Iron Blade")</f>
        <v/>
      </c>
      <c r="AC156">
        <f>COUNTIFS($B$3:$B156,"Buy upgrade",$C$3:$C156,"Steel Blade")</f>
        <v/>
      </c>
      <c r="AD156">
        <f>COUNTIFS($B$3:$B156,"Hire hunter",$C$3:$C156,"Briar")+COUNTIFS($B$3:$B156,"Buy upgrade",$C$3:$C156,"Hire Briar")</f>
        <v/>
      </c>
      <c r="AE156">
        <f>COUNTIFS($B$3:$B156,"Buy upgrade",$C$3:$C156,"Hunter Power")</f>
        <v/>
      </c>
      <c r="AF156">
        <f>COUNTIFS($B$3:$B156,"Buy upgrade",$C$3:$C156,"Bigger Hits")</f>
        <v/>
      </c>
      <c r="AG156">
        <f>COUNTIFS($B$3:$B156,"Buy upgrade",$C$3:$C156,"Swift Walk")</f>
        <v/>
      </c>
      <c r="AH156">
        <f>COUNTIFS($B$3:$B156,"Buy upgrade",$C$3:$C156,"Loot Luck")</f>
        <v/>
      </c>
      <c r="AI156">
        <f>COUNTIFS($B$3:$B156,"Buy upgrade",$C$3:$C156,"Offline Cap")</f>
        <v/>
      </c>
      <c r="AJ156">
        <f>COUNTIFS($B$3:$B156,"Buy upgrade",$C$3:$C156,"Bigger Food Stock")</f>
        <v/>
      </c>
      <c r="AK156">
        <f>COUNTIFS($B$3:$B156,"Buy upgrade",$C$3:$C156,"Food Efficiency")</f>
        <v/>
      </c>
    </row>
    <row r="157">
      <c r="A157" t="n">
        <v>155</v>
      </c>
      <c r="B157" s="6" t="n"/>
      <c r="C157" s="6" t="n"/>
      <c r="D157" s="6" t="n"/>
      <c r="E157" s="7">
        <f>IF(B157="","",IF(OR(B157="Hunt",B157="Go AFK"),IF(C157="","Can't","OK"),IF(B157="Fight boss",IF(I156&lt;IF((IFERROR(VLOOKUP(C157,Monsters!$T$4:$AH$15,15,FALSE),0))=0,120,IFERROR(VLOOKUP(C157,Monsters!$T$4:$AH$15,15,FALSE),0)),"Can't","OK"),IF(B157="Hire hunter",IF(AND(C157="Briar",AD156&gt;=1),"Can't",IF(H156&lt;IF(C157="Briar",140,IF(C157="Quill",3650,IF(C157="Moss",4850,IF(C157="Ember",12200,0)))),"Can't","OK")),IF(OR(B157="Buy upgrade",B157="Forge/Scrapwork buy"),IF(IFERROR(VLOOKUP(C157,Upgrades!$N$4:$T$47,2,FALSE),0)="points","Can't",IF(IFERROR(VLOOKUP(C157,Upgrades!$N$4:$T$47,2,FALSE),0)="gold",IF(H156&lt;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buy",$C$3:$C156,C157))),1),0),"Can't","OK"),IF(IFERROR(VLOOKUP(C157,Upgrades!$N$4:$T$47,2,FALSE),0)="scraps",IF(J156&lt;IFERROR(FLOOR(IFERROR(VLOOKUP(C157,Upgrades!$N$4:$T$47,3,FALSE),0)*(IFERROR(VLOOKUP(C157,Upgrades!$N$4:$T$47,4,FALSE),0)^(COUNTIFS($B$3:$B156,"Buy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buy",$C$3:$C156,C157))),1),0),"Can't","OK"),IF(IFERROR(VLOOKUP(C157,Upgrades!$N$4:$T$47,2,FALSE),0)="mats","Can't","OK")))),"Check")))))</f>
        <v/>
      </c>
      <c r="F157" s="7">
        <f>IF(B157="","",IF(AND(B157="Fight boss",I156&lt;IF((IFERROR(VLOOKUP(C157,Monsters!$T$4:$AH$15,15,FALSE),0))=0,120,IFERROR(VLOOKUP(C157,Monsters!$T$4:$AH$15,15,FALSE),0))),"Can't — need "&amp;TEXT(IF((IFERROR(VLOOKUP(C157,Monsters!$T$4:$AH$15,15,FALSE),0))=0,120,IFERROR(VLOOKUP(C157,Monsters!$T$4:$AH$15,15,FALSE),0))-I156,"0.0")&amp;" more Slayer points on the meter",IF(AND(B157="Hire hunter",C157="Briar",AD156&gt;=1),"Can't — already hired",IF(AND(B157="Hire hunter",H156&lt;IF(C157="Briar",140,IF(C157="Quill",3650,IF(C157="Moss",4850,IF(C157="Ember",12200,0))))),"Can't — need "&amp;TEXT(IF(C157="Briar",140,IF(C157="Quill",3650,IF(C157="Moss",4850,IF(C157="Ember",12200,0))))-H156,"0")&amp;" more gold",IF(AND(OR(B157="Buy upgrade",B157="Forge/Scrapwork buy"),IFERROR(VLOOKUP(C157,Upgrades!$N$4:$T$47,2,FALSE),0)="points"),"Can't — Sp-wallet spends not tracked here",IF(AND(OR(B157="Buy upgrade",B157="Forge/Scrapwork buy"),IFERROR(VLOOKUP(C157,Upgrades!$N$4:$T$47,2,FALSE),0)="gold",H156&lt;IFERROR(FLOOR(IFERROR(VLOOKUP(C157,Upgrades!$N$4:$T$47,3,FALSE),0)*(IFERROR(VLOOKUP(C157,Upgrades!$N$4:$T$47,4,FALSE),0)^(COUNTIFS($B$3:$B156,"Buy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buy",$C$3:$C156,C157))),1),0)),"Can't — need "&amp;TEXT(IFERROR(FLOOR(IFERROR(VLOOKUP(C157,Upgrades!$N$4:$T$47,3,FALSE),0)*(IFERROR(VLOOKUP(C157,Upgrades!$N$4:$T$47,4,FALSE),0)^(COUNTIFS($B$3:$B156,"Buy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buy",$C$3:$C156,C157))),1),0)-H156,"0")&amp;" more gold",IF(AND(OR(B157="Buy upgrade",B157="Forge/Scrapwork buy"),IFERROR(VLOOKUP(C157,Upgrades!$N$4:$T$47,2,FALSE),0)="scraps",J156&lt;IFERROR(FLOOR(IFERROR(VLOOKUP(C157,Upgrades!$N$4:$T$47,3,FALSE),0)*(IFERROR(VLOOKUP(C157,Upgrades!$N$4:$T$47,4,FALSE),0)^(COUNTIFS($B$3:$B156,"Buy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buy",$C$3:$C156,C157))),1),0)),"Can't — need "&amp;TEXT(IFERROR(FLOOR(IFERROR(VLOOKUP(C157,Upgrades!$N$4:$T$47,3,FALSE),0)*(IFERROR(VLOOKUP(C157,Upgrades!$N$4:$T$47,4,FALSE),0)^(COUNTIFS($B$3:$B156,"Buy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buy",$C$3:$C156,C157))),1),0)-J156,"0")&amp;" more scraps",IF(AND(B157="Fight boss",E157="OK",(IF((((105/'Rules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Formulas'!B12)),"WIN — boss down, next Level unlocks",IF(AND(B157="Fight boss",E157="OK"),"LOSE — TTK "&amp;TEXT(IF((((105/'Rules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Formulas'!B20*SQRT(1+0.55*(AG156&gt;=1))),0)))),"0")&amp;"s &gt; patience "&amp;TEXT('Rules &amp; Formulas'!B12,"0")&amp;"s (leave resets HP)",IF(B157="Go AFK","AFK resolved (see AFK counted h)","Applied")))))))))</f>
        <v/>
      </c>
      <c r="G157" s="7">
        <f>IF(AND((E157="OK"),B157="Fight boss",(IF((((105/'Rules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Formulas'!B12),C157="Elder Thornpelt"),2,IF(AND((E157="OK"),B157="Fight boss",(IF((((105/'Rules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Formulas'!B12),C157="Ashfang Alpha"),3,G156))</f>
        <v/>
      </c>
      <c r="H157" s="7">
        <f>MAX(0,H156+IF(AND((E157="OK"),B157="Hunt"),(IF(B157="Hunt",(('Rules &amp; Formulas'!B4*N156*('Rules &amp; Formulas'!B5+O156)*IFERROR(VLOOKUP(C157,Monsters!$T$4:$AH$15,10,FALSE),0)*IFERROR(VLOOKUP(C157,Monsters!$T$4:$AH$15,9,FALSE),0))*'Rules &amp; Formulas'!B6)*IF(D157="",0,D157),0))*(IFERROR(VLOOKUP(C157,Monsters!$T$4:$AH$15,3,FALSE),0))*(1+0.1*AH156)+(IF(OR(B157&lt;&gt;"Hunt",IFERROR(VLOOKUP(C157,Monsters!$T$4:$AH$15,6,FALSE),0)=0),0,FLOOR((IF(B157="Hunt",(('Rules &amp; Formulas'!B4*N156*('Rules &amp; Formulas'!B5+O156)*IFERROR(VLOOKUP(C157,Monsters!$T$4:$AH$15,10,FALSE),0)*IFERROR(VLOOKUP(C157,Monsters!$T$4:$AH$15,9,FALSE),0))*'Rules &amp; Formulas'!B6)*IF(D157="",0,D157),0))/MAX(1,IFERROR(VLOOKUP(C157,Monsters!$T$4:$AH$15,6,FALSE),0)),1)))*(IFERROR(VLOOKUP(C157,Monsters!$T$4:$AH$15,7,FALSE),0))*0.5*(1+0.1*AH156),0)+IF(AND((E157="OK"),B157="Go AFK"),(IF(B157="Go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AFK",IF(D157="",0,D157),0),Z156/60)*60)),0))*(IFERROR(VLOOKUP(C157,Monsters!$T$4:$AH$15,3,FALSE),0))*(1+0.1*AH156)+(IF(OR(B157&lt;&gt;"Go AFK",IFERROR(VLOOKUP(C157,Monsters!$T$4:$AH$15,6,FALSE),0)=0),0,FLOOR((IF(B157="Go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AFK",IF(D157="",0,D157),0),Z156/60)*60)),0))/MAX(1,IFERROR(VLOOKUP(C157,Monsters!$T$4:$AH$15,6,FALSE),0)),1)))*(IFERROR(VLOOKUP(C157,Monsters!$T$4:$AH$15,7,FALSE),0))*0.5*(1+0.1*AH156),0)+IF(AND((E157="OK"),B157="Fight boss",(IF((((105/'Rules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Formulas'!B12)),IFERROR(VLOOKUP(C157,Monsters!$T$4:$AH$15,3,FALSE),0),0)-IF(AND((E157="OK"),OR(B157="Buy upgrade",B157="Forge/Scrapwork buy"),IFERROR(VLOOKUP(C157,Upgrades!$N$4:$T$47,2,FALSE),0)="gold"),IFERROR(FLOOR(IFERROR(VLOOKUP(C157,Upgrades!$N$4:$T$47,3,FALSE),0)*(IFERROR(VLOOKUP(C157,Upgrades!$N$4:$T$47,4,FALSE),0)^(COUNTIFS($B$3:$B156,"Buy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buy",$C$3:$C156,C157))),1),0),0)-IF(AND((E157="OK"),B157="Hire hunter"),IF(C157="Briar",140,IF(C157="Quill",3650,IF(C157="Moss",4850,IF(C157="Ember",12200,0)))),0))</f>
        <v/>
      </c>
      <c r="I157" s="7">
        <f>IF(AND((E157="OK"),B157="Fight boss",(IF((((105/'Rules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Formulas'!B12)),0,MIN(IF(G156&lt;=1,120,IF(G156=2,280,600)),I156+IF(AND((E157="OK"),B157="Hunt"),((IF(B157="Hunt",(('Rules &amp; Formulas'!B4*N156*('Rules &amp; Formulas'!B5+O156)*IFERROR(VLOOKUP(C157,Monsters!$T$4:$AH$15,10,FALSE),0)*IFERROR(VLOOKUP(C157,Monsters!$T$4:$AH$15,9,FALSE),0))*'Rules &amp; Formulas'!B6)*IF(D157="",0,D157),0))*(IFERROR(VLOOKUP(C157,Monsters!$T$4:$AH$15,4,FALSE),0))+(IF(OR(B157&lt;&gt;"Hunt",IFERROR(VLOOKUP(C157,Monsters!$T$4:$AH$15,6,FALSE),0)=0),0,FLOOR((IF(B157="Hunt",(('Rules &amp; Formulas'!B4*N156*('Rules &amp; Formulas'!B5+O156)*IFERROR(VLOOKUP(C157,Monsters!$T$4:$AH$15,10,FALSE),0)*IFERROR(VLOOKUP(C157,Monsters!$T$4:$AH$15,9,FALSE),0))*'Rules &amp; Formulas'!B6)*IF(D157="",0,D157),0))/MAX(1,IFERROR(VLOOKUP(C157,Monsters!$T$4:$AH$15,6,FALSE),0)),1)))*(IFERROR(VLOOKUP(C157,Monsters!$T$4:$AH$15,7,FALSE),0))),0)+IF(AND((E157="OK"),B157="Go AFK"),((IF(B157="Go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AFK",IF(D157="",0,D157),0),Z156/60)*60)),0))*(IFERROR(VLOOKUP(C157,Monsters!$T$4:$AH$15,4,FALSE),0))+(IF(OR(B157&lt;&gt;"Go AFK",IFERROR(VLOOKUP(C157,Monsters!$T$4:$AH$15,6,FALSE),0)=0),0,FLOOR((IF(B157="Go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AFK",IF(D157="",0,D157),0),Z156/60)*60)),0))/MAX(1,IFERROR(VLOOKUP(C157,Monsters!$T$4:$AH$15,6,FALSE),0)),1)))*(IFERROR(VLOOKUP(C157,Monsters!$T$4:$AH$15,7,FALSE),0))),0)))</f>
        <v/>
      </c>
      <c r="J157" s="7">
        <f>MAX(0,J156+IF(AND((E157="OK"),B157="Hunt"),(IF(B157="Hunt",(('Rules &amp; Formulas'!B4*N156*('Rules &amp; Formulas'!B5+O156)*IFERROR(VLOOKUP(C157,Monsters!$T$4:$AH$15,10,FALSE),0)*IFERROR(VLOOKUP(C157,Monsters!$T$4:$AH$15,9,FALSE),0))*'Rules &amp; Formulas'!B6)*IF(D157="",0,D157),0))*(IFERROR(VLOOKUP(C157,Monsters!$T$4:$AH$15,5,FALSE),0)),0)+IF(AND((E157="OK"),B157="Go AFK"),(IF(B157="Go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AFK",IF(D157="",0,D157),0),Z156/60)*60)),0))*(IFERROR(VLOOKUP(C157,Monsters!$T$4:$AH$15,5,FALSE),0)),0)-IF(AND((E157="OK"),OR(B157="Buy upgrade",B157="Forge/Scrapwork buy"),IFERROR(VLOOKUP(C157,Upgrades!$N$4:$T$47,2,FALSE),0)="scraps"),IFERROR(FLOOR(IFERROR(VLOOKUP(C157,Upgrades!$N$4:$T$47,3,FALSE),0)*(IFERROR(VLOOKUP(C157,Upgrades!$N$4:$T$47,4,FALSE),0)^(COUNTIFS($B$3:$B156,"Buy upgrade",$C$3:$C156,C157)+COUNTIFS($B$3:$B156,"Hire hunter",$C$3:$C156,C157)+COUNTIFS($B$3:$B156,"Forge/Scrapwork buy",$C$3:$C156,C157))),1),0),0))</f>
        <v/>
      </c>
      <c r="K157" s="7">
        <f>MAX(0,K156+IF(AND((E157="OK"),B157="Hunt"),IF(C157="Thornpelt Bear",(IF(B157="Hunt",(('Rules &amp; Formulas'!B4*N156*('Rules &amp; Formulas'!B5+O156)*IFERROR(VLOOKUP(C157,Monsters!$T$4:$AH$15,10,FALSE),0)*IFERROR(VLOOKUP(C157,Monsters!$T$4:$AH$15,9,FALSE),0))*'Rules &amp; Formulas'!B6)*IF(D157="",0,D157),0))*0.12,0),0)+IF(AND((E157="OK"),B157="Go AFK"),IF(C157="Thornpelt Bear",(IF(B157="Go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AFK",IF(D157="",0,D157),0),Z156/60)*60)),0))*0.12,0),0))</f>
        <v/>
      </c>
      <c r="L157" s="7">
        <f>MAX(0,L156+IF(AND((E157="OK"),B157="Hunt"),IF(C157="Dire Thornpelt",(IF(B157="Hunt",(('Rules &amp; Formulas'!B4*N156*('Rules &amp; Formulas'!B5+O156)*IFERROR(VLOOKUP(C157,Monsters!$T$4:$AH$15,10,FALSE),0)*IFERROR(VLOOKUP(C157,Monsters!$T$4:$AH$15,9,FALSE),0))*'Rules &amp; Formulas'!B6)*IF(D157="",0,D157),0))*0.1,0),0)+IF(AND((E157="OK"),B157="Go AFK"),IF(C157="Dire Thornpelt",(IF(B157="Go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AFK",IF(D157="",0,D157),0),Z156/60)*60)),0))*0.1,0),0))</f>
        <v/>
      </c>
      <c r="M157" s="7">
        <f>IF(AND((E157="OK"),B157="Go AFK"),MAX(0,MIN(('Rules &amp; Formulas'!B15+25*AJ156),M156+('Rules &amp; Formulas'!B14+0.4*AJ156)*(MIN(IF(B157="Go AFK",IF(D157="",0,D157),0),Z156/60)*60))-(IF(B157="Go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AFK",IF(D157="",0,D157),0),Z156/60)*60)),0))*(IF((IFERROR(VLOOKUP(C157,Monsters!$T$4:$AH$15,8,FALSE),0))=0,0.35,IFERROR(VLOOKUP(C157,Monsters!$T$4:$AH$15,8,FALSE),0))/(1+0.08*AK156))),MIN(('Rules &amp; Formulas'!B15+25*AJ157),M156))</f>
        <v/>
      </c>
      <c r="N157" s="7">
        <f>(1+0.08+0.12*AA157+0.12*AB157+0.16*AC157)</f>
        <v/>
      </c>
      <c r="O157" s="7">
        <f>((AD157&gt;=1)*1*(1+0.3*AE157))</f>
        <v/>
      </c>
      <c r="P157" s="7">
        <f>IF(OR(B157="Hunt",B157="Go AFK"),(('Rules &amp; Formulas'!B4*N156*('Rules &amp; Formulas'!B5+O156)*IFERROR(VLOOKUP(C157,Monsters!$T$4:$AH$15,10,FALSE),0)*IFERROR(VLOOKUP(C157,Monsters!$T$4:$AH$15,9,FALSE),0))*'Rules &amp; Formulas'!B6),"")</f>
        <v/>
      </c>
      <c r="Q157" s="7">
        <f>IF(OR(B157="Hunt",B157="Go AFK"),('Rules &amp; Formulas'!B4*N156*('Rules &amp; Formulas'!B5+O156)*IFERROR(VLOOKUP(C157,Monsters!$T$4:$AH$15,10,FALSE),0)*IFERROR(VLOOKUP(C157,Monsters!$T$4:$AH$15,9,FALSE),0)),"")</f>
        <v/>
      </c>
      <c r="R157" s="7">
        <f>IF(AND((E157="OK"),B157="Hunt"),IF(B157="Hunt",(('Rules &amp; Formulas'!B4*N156*('Rules &amp; Formulas'!B5+O156)*IFERROR(VLOOKUP(C157,Monsters!$T$4:$AH$15,10,FALSE),0)*IFERROR(VLOOKUP(C157,Monsters!$T$4:$AH$15,9,FALSE),0))*'Rules &amp; Formulas'!B6)*IF(D157="",0,D157),0),IF(AND((E157="OK"),B157="Go AFK"),IF(B157="Go AFK",MIN(IF((IF((IFERROR(VLOOKUP(C157,Monsters!$T$4:$AH$15,8,FALSE),0))=0,0.35,IFERROR(VLOOKUP(C157,Monsters!$T$4:$AH$15,8,FALSE),0))/(1+0.08*AK156))&lt;=0,999999,FLOOR(MIN(('Rules &amp; Formulas'!B15+25*AJ156),M156+('Rules &amp; Formulas'!B14+0.4*AJ156)*(MIN(IF(B157="Go AFK",IF(D157="",0,D157),0),Z156/60)*60))/(IF((IFERROR(VLOOKUP(C157,Monsters!$T$4:$AH$15,8,FALSE),0))=0,0.35,IFERROR(VLOOKUP(C157,Monsters!$T$4:$AH$15,8,FALSE),0))/(1+0.08*AK156)),1)),('Rules &amp; Formulas'!B4*N156*('Rules &amp; Formulas'!B5+O156)*IFERROR(VLOOKUP(C157,Monsters!$T$4:$AH$15,10,FALSE),0)*IFERROR(VLOOKUP(C157,Monsters!$T$4:$AH$15,9,FALSE),0))*(MIN(IF(B157="Go AFK",IF(D157="",0,D157),0),Z156/60)*60)),0),0))</f>
        <v/>
      </c>
      <c r="S157" s="7">
        <f>(105/'Rules &amp; Formulas'!B10)*'Rules &amp; Formulas'!B11</f>
        <v/>
      </c>
      <c r="T157" s="7">
        <f>IF(AD156&gt;=1,(MAX(1,ROUND('Rules &amp; Formulas'!B18*(1+0.3*AE156)*(1+0.4*AF156),0)))*(1000/'Rules &amp; Formulas'!B19)*MIN(0.95,'Rules &amp; Formulas'!B20*SQRT(1+0.55*(AG156&gt;=1))),0)</f>
        <v/>
      </c>
      <c r="U157" s="7">
        <f>S157+T157</f>
        <v/>
      </c>
      <c r="V157" s="7">
        <f>IF(I156&gt;=IF((IFERROR(VLOOKUP(C157,Monsters!$T$4:$AH$15,15,FALSE),0))=0,120,IFERROR(VLOOKUP(C157,Monsters!$T$4:$AH$15,15,FALSE),0)),"YES","no")</f>
        <v/>
      </c>
      <c r="W157" s="7">
        <f>IF(AND(B157="Fight boss",E157="OK"),IF((((105/'Rules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Formulas'!B20*SQRT(1+0.55*(AG156&gt;=1))),0)))),"")</f>
        <v/>
      </c>
      <c r="X157" s="7">
        <f>IF(AND(B157="Fight boss",E157="OK"),IF((IF((((105/'Rules &amp; Formulas'!B10)*'Rules &amp; Formulas'!B11+IF(AD156&gt;=1,(MAX(1,ROUND('Rules &amp; Formulas'!B18*(1+0.3*AE156)*(1+0.4*AF156),0)))*(1000/'Rules &amp; Formulas'!B19)*MIN(0.95,'Rules &amp; Formulas'!B20*SQRT(1+0.55*(AG156&gt;=1))),0)))&lt;=0,9999,(IFERROR(VLOOKUP(C157,Monsters!$T$4:$AH$15,2,FALSE),0))/(((105/'Rules &amp; Formulas'!B10)*'Rules &amp; Formulas'!B11+IF(AD156&gt;=1,(MAX(1,ROUND('Rules &amp; Formulas'!B18*(1+0.3*AE156)*(1+0.4*AF156),0)))*(1000/'Rules &amp; Formulas'!B19)*MIN(0.95,'Rules &amp; Formulas'!B20*SQRT(1+0.55*(AG156&gt;=1))),0))))&lt;='Rules &amp; Formulas'!B12),"WIN","LOSE"),"")</f>
        <v/>
      </c>
      <c r="Y157" s="7">
        <f>IF(B157="Go AFK",MIN(IF(B157="Go AFK",IF(D157="",0,D157),0),Z156/60),"")</f>
        <v/>
      </c>
      <c r="Z157" s="7">
        <f>('Rules &amp; Formulas'!B13+30*AI157)</f>
        <v/>
      </c>
      <c r="AA157">
        <f>COUNTIFS($B$3:$B157,"Buy upgrade",$C$3:$C157,"Idle Power")</f>
        <v/>
      </c>
      <c r="AB157">
        <f>COUNTIFS($B$3:$B157,"Buy upgrade",$C$3:$C157,"Iron Blade")</f>
        <v/>
      </c>
      <c r="AC157">
        <f>COUNTIFS($B$3:$B157,"Buy upgrade",$C$3:$C157,"Steel Blade")</f>
        <v/>
      </c>
      <c r="AD157">
        <f>COUNTIFS($B$3:$B157,"Hire hunter",$C$3:$C157,"Briar")+COUNTIFS($B$3:$B157,"Buy upgrade",$C$3:$C157,"Hire Briar")</f>
        <v/>
      </c>
      <c r="AE157">
        <f>COUNTIFS($B$3:$B157,"Buy upgrade",$C$3:$C157,"Hunter Power")</f>
        <v/>
      </c>
      <c r="AF157">
        <f>COUNTIFS($B$3:$B157,"Buy upgrade",$C$3:$C157,"Bigger Hits")</f>
        <v/>
      </c>
      <c r="AG157">
        <f>COUNTIFS($B$3:$B157,"Buy upgrade",$C$3:$C157,"Swift Walk")</f>
        <v/>
      </c>
      <c r="AH157">
        <f>COUNTIFS($B$3:$B157,"Buy upgrade",$C$3:$C157,"Loot Luck")</f>
        <v/>
      </c>
      <c r="AI157">
        <f>COUNTIFS($B$3:$B157,"Buy upgrade",$C$3:$C157,"Offline Cap")</f>
        <v/>
      </c>
      <c r="AJ157">
        <f>COUNTIFS($B$3:$B157,"Buy upgrade",$C$3:$C157,"Bigger Food Stock")</f>
        <v/>
      </c>
      <c r="AK157">
        <f>COUNTIFS($B$3:$B157,"Buy upgrade",$C$3:$C157,"Food Efficiency")</f>
        <v/>
      </c>
    </row>
    <row r="158">
      <c r="A158" t="n">
        <v>156</v>
      </c>
      <c r="B158" s="6" t="n"/>
      <c r="C158" s="6" t="n"/>
      <c r="D158" s="6" t="n"/>
      <c r="E158" s="7">
        <f>IF(B158="","",IF(OR(B158="Hunt",B158="Go AFK"),IF(C158="","Can't","OK"),IF(B158="Fight boss",IF(I157&lt;IF((IFERROR(VLOOKUP(C158,Monsters!$T$4:$AH$15,15,FALSE),0))=0,120,IFERROR(VLOOKUP(C158,Monsters!$T$4:$AH$15,15,FALSE),0)),"Can't","OK"),IF(B158="Hire hunter",IF(AND(C158="Briar",AD157&gt;=1),"Can't",IF(H157&lt;IF(C158="Briar",140,IF(C158="Quill",3650,IF(C158="Moss",4850,IF(C158="Ember",12200,0)))),"Can't","OK")),IF(OR(B158="Buy upgrade",B158="Forge/Scrapwork buy"),IF(IFERROR(VLOOKUP(C158,Upgrades!$N$4:$T$47,2,FALSE),0)="points","Can't",IF(IFERROR(VLOOKUP(C158,Upgrades!$N$4:$T$47,2,FALSE),0)="gold",IF(H157&lt;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buy",$C$3:$C157,C158))),1),0),"Can't","OK"),IF(IFERROR(VLOOKUP(C158,Upgrades!$N$4:$T$47,2,FALSE),0)="scraps",IF(J157&lt;IFERROR(FLOOR(IFERROR(VLOOKUP(C158,Upgrades!$N$4:$T$47,3,FALSE),0)*(IFERROR(VLOOKUP(C158,Upgrades!$N$4:$T$47,4,FALSE),0)^(COUNTIFS($B$3:$B157,"Buy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buy",$C$3:$C157,C158))),1),0),"Can't","OK"),IF(IFERROR(VLOOKUP(C158,Upgrades!$N$4:$T$47,2,FALSE),0)="mats","Can't","OK")))),"Check")))))</f>
        <v/>
      </c>
      <c r="F158" s="7">
        <f>IF(B158="","",IF(AND(B158="Fight boss",I157&lt;IF((IFERROR(VLOOKUP(C158,Monsters!$T$4:$AH$15,15,FALSE),0))=0,120,IFERROR(VLOOKUP(C158,Monsters!$T$4:$AH$15,15,FALSE),0))),"Can't — need "&amp;TEXT(IF((IFERROR(VLOOKUP(C158,Monsters!$T$4:$AH$15,15,FALSE),0))=0,120,IFERROR(VLOOKUP(C158,Monsters!$T$4:$AH$15,15,FALSE),0))-I157,"0.0")&amp;" more Slayer points on the meter",IF(AND(B158="Hire hunter",C158="Briar",AD157&gt;=1),"Can't — already hired",IF(AND(B158="Hire hunter",H157&lt;IF(C158="Briar",140,IF(C158="Quill",3650,IF(C158="Moss",4850,IF(C158="Ember",12200,0))))),"Can't — need "&amp;TEXT(IF(C158="Briar",140,IF(C158="Quill",3650,IF(C158="Moss",4850,IF(C158="Ember",12200,0))))-H157,"0")&amp;" more gold",IF(AND(OR(B158="Buy upgrade",B158="Forge/Scrapwork buy"),IFERROR(VLOOKUP(C158,Upgrades!$N$4:$T$47,2,FALSE),0)="points"),"Can't — Sp-wallet spends not tracked here",IF(AND(OR(B158="Buy upgrade",B158="Forge/Scrapwork buy"),IFERROR(VLOOKUP(C158,Upgrades!$N$4:$T$47,2,FALSE),0)="gold",H157&lt;IFERROR(FLOOR(IFERROR(VLOOKUP(C158,Upgrades!$N$4:$T$47,3,FALSE),0)*(IFERROR(VLOOKUP(C158,Upgrades!$N$4:$T$47,4,FALSE),0)^(COUNTIFS($B$3:$B157,"Buy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buy",$C$3:$C157,C158))),1),0)),"Can't — need "&amp;TEXT(IFERROR(FLOOR(IFERROR(VLOOKUP(C158,Upgrades!$N$4:$T$47,3,FALSE),0)*(IFERROR(VLOOKUP(C158,Upgrades!$N$4:$T$47,4,FALSE),0)^(COUNTIFS($B$3:$B157,"Buy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buy",$C$3:$C157,C158))),1),0)-H157,"0")&amp;" more gold",IF(AND(OR(B158="Buy upgrade",B158="Forge/Scrapwork buy"),IFERROR(VLOOKUP(C158,Upgrades!$N$4:$T$47,2,FALSE),0)="scraps",J157&lt;IFERROR(FLOOR(IFERROR(VLOOKUP(C158,Upgrades!$N$4:$T$47,3,FALSE),0)*(IFERROR(VLOOKUP(C158,Upgrades!$N$4:$T$47,4,FALSE),0)^(COUNTIFS($B$3:$B157,"Buy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buy",$C$3:$C157,C158))),1),0)),"Can't — need "&amp;TEXT(IFERROR(FLOOR(IFERROR(VLOOKUP(C158,Upgrades!$N$4:$T$47,3,FALSE),0)*(IFERROR(VLOOKUP(C158,Upgrades!$N$4:$T$47,4,FALSE),0)^(COUNTIFS($B$3:$B157,"Buy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buy",$C$3:$C157,C158))),1),0)-J157,"0")&amp;" more scraps",IF(AND(B158="Fight boss",E158="OK",(IF((((105/'Rules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Formulas'!B12)),"WIN — boss down, next Level unlocks",IF(AND(B158="Fight boss",E158="OK"),"LOSE — TTK "&amp;TEXT(IF((((105/'Rules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Formulas'!B20*SQRT(1+0.55*(AG157&gt;=1))),0)))),"0")&amp;"s &gt; patience "&amp;TEXT('Rules &amp; Formulas'!B12,"0")&amp;"s (leave resets HP)",IF(B158="Go AFK","AFK resolved (see AFK counted h)","Applied")))))))))</f>
        <v/>
      </c>
      <c r="G158" s="7">
        <f>IF(AND((E158="OK"),B158="Fight boss",(IF((((105/'Rules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Formulas'!B12),C158="Elder Thornpelt"),2,IF(AND((E158="OK"),B158="Fight boss",(IF((((105/'Rules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Formulas'!B12),C158="Ashfang Alpha"),3,G157))</f>
        <v/>
      </c>
      <c r="H158" s="7">
        <f>MAX(0,H157+IF(AND((E158="OK"),B158="Hunt"),(IF(B158="Hunt",(('Rules &amp; Formulas'!B4*N157*('Rules &amp; Formulas'!B5+O157)*IFERROR(VLOOKUP(C158,Monsters!$T$4:$AH$15,10,FALSE),0)*IFERROR(VLOOKUP(C158,Monsters!$T$4:$AH$15,9,FALSE),0))*'Rules &amp; Formulas'!B6)*IF(D158="",0,D158),0))*(IFERROR(VLOOKUP(C158,Monsters!$T$4:$AH$15,3,FALSE),0))*(1+0.1*AH157)+(IF(OR(B158&lt;&gt;"Hunt",IFERROR(VLOOKUP(C158,Monsters!$T$4:$AH$15,6,FALSE),0)=0),0,FLOOR((IF(B158="Hunt",(('Rules &amp; Formulas'!B4*N157*('Rules &amp; Formulas'!B5+O157)*IFERROR(VLOOKUP(C158,Monsters!$T$4:$AH$15,10,FALSE),0)*IFERROR(VLOOKUP(C158,Monsters!$T$4:$AH$15,9,FALSE),0))*'Rules &amp; Formulas'!B6)*IF(D158="",0,D158),0))/MAX(1,IFERROR(VLOOKUP(C158,Monsters!$T$4:$AH$15,6,FALSE),0)),1)))*(IFERROR(VLOOKUP(C158,Monsters!$T$4:$AH$15,7,FALSE),0))*0.5*(1+0.1*AH157),0)+IF(AND((E158="OK"),B158="Go AFK"),(IF(B158="Go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AFK",IF(D158="",0,D158),0),Z157/60)*60)),0))*(IFERROR(VLOOKUP(C158,Monsters!$T$4:$AH$15,3,FALSE),0))*(1+0.1*AH157)+(IF(OR(B158&lt;&gt;"Go AFK",IFERROR(VLOOKUP(C158,Monsters!$T$4:$AH$15,6,FALSE),0)=0),0,FLOOR((IF(B158="Go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AFK",IF(D158="",0,D158),0),Z157/60)*60)),0))/MAX(1,IFERROR(VLOOKUP(C158,Monsters!$T$4:$AH$15,6,FALSE),0)),1)))*(IFERROR(VLOOKUP(C158,Monsters!$T$4:$AH$15,7,FALSE),0))*0.5*(1+0.1*AH157),0)+IF(AND((E158="OK"),B158="Fight boss",(IF((((105/'Rules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Formulas'!B12)),IFERROR(VLOOKUP(C158,Monsters!$T$4:$AH$15,3,FALSE),0),0)-IF(AND((E158="OK"),OR(B158="Buy upgrade",B158="Forge/Scrapwork buy"),IFERROR(VLOOKUP(C158,Upgrades!$N$4:$T$47,2,FALSE),0)="gold"),IFERROR(FLOOR(IFERROR(VLOOKUP(C158,Upgrades!$N$4:$T$47,3,FALSE),0)*(IFERROR(VLOOKUP(C158,Upgrades!$N$4:$T$47,4,FALSE),0)^(COUNTIFS($B$3:$B157,"Buy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buy",$C$3:$C157,C158))),1),0),0)-IF(AND((E158="OK"),B158="Hire hunter"),IF(C158="Briar",140,IF(C158="Quill",3650,IF(C158="Moss",4850,IF(C158="Ember",12200,0)))),0))</f>
        <v/>
      </c>
      <c r="I158" s="7">
        <f>IF(AND((E158="OK"),B158="Fight boss",(IF((((105/'Rules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Formulas'!B12)),0,MIN(IF(G157&lt;=1,120,IF(G157=2,280,600)),I157+IF(AND((E158="OK"),B158="Hunt"),((IF(B158="Hunt",(('Rules &amp; Formulas'!B4*N157*('Rules &amp; Formulas'!B5+O157)*IFERROR(VLOOKUP(C158,Monsters!$T$4:$AH$15,10,FALSE),0)*IFERROR(VLOOKUP(C158,Monsters!$T$4:$AH$15,9,FALSE),0))*'Rules &amp; Formulas'!B6)*IF(D158="",0,D158),0))*(IFERROR(VLOOKUP(C158,Monsters!$T$4:$AH$15,4,FALSE),0))+(IF(OR(B158&lt;&gt;"Hunt",IFERROR(VLOOKUP(C158,Monsters!$T$4:$AH$15,6,FALSE),0)=0),0,FLOOR((IF(B158="Hunt",(('Rules &amp; Formulas'!B4*N157*('Rules &amp; Formulas'!B5+O157)*IFERROR(VLOOKUP(C158,Monsters!$T$4:$AH$15,10,FALSE),0)*IFERROR(VLOOKUP(C158,Monsters!$T$4:$AH$15,9,FALSE),0))*'Rules &amp; Formulas'!B6)*IF(D158="",0,D158),0))/MAX(1,IFERROR(VLOOKUP(C158,Monsters!$T$4:$AH$15,6,FALSE),0)),1)))*(IFERROR(VLOOKUP(C158,Monsters!$T$4:$AH$15,7,FALSE),0))),0)+IF(AND((E158="OK"),B158="Go AFK"),((IF(B158="Go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AFK",IF(D158="",0,D158),0),Z157/60)*60)),0))*(IFERROR(VLOOKUP(C158,Monsters!$T$4:$AH$15,4,FALSE),0))+(IF(OR(B158&lt;&gt;"Go AFK",IFERROR(VLOOKUP(C158,Monsters!$T$4:$AH$15,6,FALSE),0)=0),0,FLOOR((IF(B158="Go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AFK",IF(D158="",0,D158),0),Z157/60)*60)),0))/MAX(1,IFERROR(VLOOKUP(C158,Monsters!$T$4:$AH$15,6,FALSE),0)),1)))*(IFERROR(VLOOKUP(C158,Monsters!$T$4:$AH$15,7,FALSE),0))),0)))</f>
        <v/>
      </c>
      <c r="J158" s="7">
        <f>MAX(0,J157+IF(AND((E158="OK"),B158="Hunt"),(IF(B158="Hunt",(('Rules &amp; Formulas'!B4*N157*('Rules &amp; Formulas'!B5+O157)*IFERROR(VLOOKUP(C158,Monsters!$T$4:$AH$15,10,FALSE),0)*IFERROR(VLOOKUP(C158,Monsters!$T$4:$AH$15,9,FALSE),0))*'Rules &amp; Formulas'!B6)*IF(D158="",0,D158),0))*(IFERROR(VLOOKUP(C158,Monsters!$T$4:$AH$15,5,FALSE),0)),0)+IF(AND((E158="OK"),B158="Go AFK"),(IF(B158="Go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AFK",IF(D158="",0,D158),0),Z157/60)*60)),0))*(IFERROR(VLOOKUP(C158,Monsters!$T$4:$AH$15,5,FALSE),0)),0)-IF(AND((E158="OK"),OR(B158="Buy upgrade",B158="Forge/Scrapwork buy"),IFERROR(VLOOKUP(C158,Upgrades!$N$4:$T$47,2,FALSE),0)="scraps"),IFERROR(FLOOR(IFERROR(VLOOKUP(C158,Upgrades!$N$4:$T$47,3,FALSE),0)*(IFERROR(VLOOKUP(C158,Upgrades!$N$4:$T$47,4,FALSE),0)^(COUNTIFS($B$3:$B157,"Buy upgrade",$C$3:$C157,C158)+COUNTIFS($B$3:$B157,"Hire hunter",$C$3:$C157,C158)+COUNTIFS($B$3:$B157,"Forge/Scrapwork buy",$C$3:$C157,C158))),1),0),0))</f>
        <v/>
      </c>
      <c r="K158" s="7">
        <f>MAX(0,K157+IF(AND((E158="OK"),B158="Hunt"),IF(C158="Thornpelt Bear",(IF(B158="Hunt",(('Rules &amp; Formulas'!B4*N157*('Rules &amp; Formulas'!B5+O157)*IFERROR(VLOOKUP(C158,Monsters!$T$4:$AH$15,10,FALSE),0)*IFERROR(VLOOKUP(C158,Monsters!$T$4:$AH$15,9,FALSE),0))*'Rules &amp; Formulas'!B6)*IF(D158="",0,D158),0))*0.12,0),0)+IF(AND((E158="OK"),B158="Go AFK"),IF(C158="Thornpelt Bear",(IF(B158="Go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AFK",IF(D158="",0,D158),0),Z157/60)*60)),0))*0.12,0),0))</f>
        <v/>
      </c>
      <c r="L158" s="7">
        <f>MAX(0,L157+IF(AND((E158="OK"),B158="Hunt"),IF(C158="Dire Thornpelt",(IF(B158="Hunt",(('Rules &amp; Formulas'!B4*N157*('Rules &amp; Formulas'!B5+O157)*IFERROR(VLOOKUP(C158,Monsters!$T$4:$AH$15,10,FALSE),0)*IFERROR(VLOOKUP(C158,Monsters!$T$4:$AH$15,9,FALSE),0))*'Rules &amp; Formulas'!B6)*IF(D158="",0,D158),0))*0.1,0),0)+IF(AND((E158="OK"),B158="Go AFK"),IF(C158="Dire Thornpelt",(IF(B158="Go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AFK",IF(D158="",0,D158),0),Z157/60)*60)),0))*0.1,0),0))</f>
        <v/>
      </c>
      <c r="M158" s="7">
        <f>IF(AND((E158="OK"),B158="Go AFK"),MAX(0,MIN(('Rules &amp; Formulas'!B15+25*AJ157),M157+('Rules &amp; Formulas'!B14+0.4*AJ157)*(MIN(IF(B158="Go AFK",IF(D158="",0,D158),0),Z157/60)*60))-(IF(B158="Go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AFK",IF(D158="",0,D158),0),Z157/60)*60)),0))*(IF((IFERROR(VLOOKUP(C158,Monsters!$T$4:$AH$15,8,FALSE),0))=0,0.35,IFERROR(VLOOKUP(C158,Monsters!$T$4:$AH$15,8,FALSE),0))/(1+0.08*AK157))),MIN(('Rules &amp; Formulas'!B15+25*AJ158),M157))</f>
        <v/>
      </c>
      <c r="N158" s="7">
        <f>(1+0.08+0.12*AA158+0.12*AB158+0.16*AC158)</f>
        <v/>
      </c>
      <c r="O158" s="7">
        <f>((AD158&gt;=1)*1*(1+0.3*AE158))</f>
        <v/>
      </c>
      <c r="P158" s="7">
        <f>IF(OR(B158="Hunt",B158="Go AFK"),(('Rules &amp; Formulas'!B4*N157*('Rules &amp; Formulas'!B5+O157)*IFERROR(VLOOKUP(C158,Monsters!$T$4:$AH$15,10,FALSE),0)*IFERROR(VLOOKUP(C158,Monsters!$T$4:$AH$15,9,FALSE),0))*'Rules &amp; Formulas'!B6),"")</f>
        <v/>
      </c>
      <c r="Q158" s="7">
        <f>IF(OR(B158="Hunt",B158="Go AFK"),('Rules &amp; Formulas'!B4*N157*('Rules &amp; Formulas'!B5+O157)*IFERROR(VLOOKUP(C158,Monsters!$T$4:$AH$15,10,FALSE),0)*IFERROR(VLOOKUP(C158,Monsters!$T$4:$AH$15,9,FALSE),0)),"")</f>
        <v/>
      </c>
      <c r="R158" s="7">
        <f>IF(AND((E158="OK"),B158="Hunt"),IF(B158="Hunt",(('Rules &amp; Formulas'!B4*N157*('Rules &amp; Formulas'!B5+O157)*IFERROR(VLOOKUP(C158,Monsters!$T$4:$AH$15,10,FALSE),0)*IFERROR(VLOOKUP(C158,Monsters!$T$4:$AH$15,9,FALSE),0))*'Rules &amp; Formulas'!B6)*IF(D158="",0,D158),0),IF(AND((E158="OK"),B158="Go AFK"),IF(B158="Go AFK",MIN(IF((IF((IFERROR(VLOOKUP(C158,Monsters!$T$4:$AH$15,8,FALSE),0))=0,0.35,IFERROR(VLOOKUP(C158,Monsters!$T$4:$AH$15,8,FALSE),0))/(1+0.08*AK157))&lt;=0,999999,FLOOR(MIN(('Rules &amp; Formulas'!B15+25*AJ157),M157+('Rules &amp; Formulas'!B14+0.4*AJ157)*(MIN(IF(B158="Go AFK",IF(D158="",0,D158),0),Z157/60)*60))/(IF((IFERROR(VLOOKUP(C158,Monsters!$T$4:$AH$15,8,FALSE),0))=0,0.35,IFERROR(VLOOKUP(C158,Monsters!$T$4:$AH$15,8,FALSE),0))/(1+0.08*AK157)),1)),('Rules &amp; Formulas'!B4*N157*('Rules &amp; Formulas'!B5+O157)*IFERROR(VLOOKUP(C158,Monsters!$T$4:$AH$15,10,FALSE),0)*IFERROR(VLOOKUP(C158,Monsters!$T$4:$AH$15,9,FALSE),0))*(MIN(IF(B158="Go AFK",IF(D158="",0,D158),0),Z157/60)*60)),0),0))</f>
        <v/>
      </c>
      <c r="S158" s="7">
        <f>(105/'Rules &amp; Formulas'!B10)*'Rules &amp; Formulas'!B11</f>
        <v/>
      </c>
      <c r="T158" s="7">
        <f>IF(AD157&gt;=1,(MAX(1,ROUND('Rules &amp; Formulas'!B18*(1+0.3*AE157)*(1+0.4*AF157),0)))*(1000/'Rules &amp; Formulas'!B19)*MIN(0.95,'Rules &amp; Formulas'!B20*SQRT(1+0.55*(AG157&gt;=1))),0)</f>
        <v/>
      </c>
      <c r="U158" s="7">
        <f>S158+T158</f>
        <v/>
      </c>
      <c r="V158" s="7">
        <f>IF(I157&gt;=IF((IFERROR(VLOOKUP(C158,Monsters!$T$4:$AH$15,15,FALSE),0))=0,120,IFERROR(VLOOKUP(C158,Monsters!$T$4:$AH$15,15,FALSE),0)),"YES","no")</f>
        <v/>
      </c>
      <c r="W158" s="7">
        <f>IF(AND(B158="Fight boss",E158="OK"),IF((((105/'Rules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Formulas'!B20*SQRT(1+0.55*(AG157&gt;=1))),0)))),"")</f>
        <v/>
      </c>
      <c r="X158" s="7">
        <f>IF(AND(B158="Fight boss",E158="OK"),IF((IF((((105/'Rules &amp; Formulas'!B10)*'Rules &amp; Formulas'!B11+IF(AD157&gt;=1,(MAX(1,ROUND('Rules &amp; Formulas'!B18*(1+0.3*AE157)*(1+0.4*AF157),0)))*(1000/'Rules &amp; Formulas'!B19)*MIN(0.95,'Rules &amp; Formulas'!B20*SQRT(1+0.55*(AG157&gt;=1))),0)))&lt;=0,9999,(IFERROR(VLOOKUP(C158,Monsters!$T$4:$AH$15,2,FALSE),0))/(((105/'Rules &amp; Formulas'!B10)*'Rules &amp; Formulas'!B11+IF(AD157&gt;=1,(MAX(1,ROUND('Rules &amp; Formulas'!B18*(1+0.3*AE157)*(1+0.4*AF157),0)))*(1000/'Rules &amp; Formulas'!B19)*MIN(0.95,'Rules &amp; Formulas'!B20*SQRT(1+0.55*(AG157&gt;=1))),0))))&lt;='Rules &amp; Formulas'!B12),"WIN","LOSE"),"")</f>
        <v/>
      </c>
      <c r="Y158" s="7">
        <f>IF(B158="Go AFK",MIN(IF(B158="Go AFK",IF(D158="",0,D158),0),Z157/60),"")</f>
        <v/>
      </c>
      <c r="Z158" s="7">
        <f>('Rules &amp; Formulas'!B13+30*AI158)</f>
        <v/>
      </c>
      <c r="AA158">
        <f>COUNTIFS($B$3:$B158,"Buy upgrade",$C$3:$C158,"Idle Power")</f>
        <v/>
      </c>
      <c r="AB158">
        <f>COUNTIFS($B$3:$B158,"Buy upgrade",$C$3:$C158,"Iron Blade")</f>
        <v/>
      </c>
      <c r="AC158">
        <f>COUNTIFS($B$3:$B158,"Buy upgrade",$C$3:$C158,"Steel Blade")</f>
        <v/>
      </c>
      <c r="AD158">
        <f>COUNTIFS($B$3:$B158,"Hire hunter",$C$3:$C158,"Briar")+COUNTIFS($B$3:$B158,"Buy upgrade",$C$3:$C158,"Hire Briar")</f>
        <v/>
      </c>
      <c r="AE158">
        <f>COUNTIFS($B$3:$B158,"Buy upgrade",$C$3:$C158,"Hunter Power")</f>
        <v/>
      </c>
      <c r="AF158">
        <f>COUNTIFS($B$3:$B158,"Buy upgrade",$C$3:$C158,"Bigger Hits")</f>
        <v/>
      </c>
      <c r="AG158">
        <f>COUNTIFS($B$3:$B158,"Buy upgrade",$C$3:$C158,"Swift Walk")</f>
        <v/>
      </c>
      <c r="AH158">
        <f>COUNTIFS($B$3:$B158,"Buy upgrade",$C$3:$C158,"Loot Luck")</f>
        <v/>
      </c>
      <c r="AI158">
        <f>COUNTIFS($B$3:$B158,"Buy upgrade",$C$3:$C158,"Offline Cap")</f>
        <v/>
      </c>
      <c r="AJ158">
        <f>COUNTIFS($B$3:$B158,"Buy upgrade",$C$3:$C158,"Bigger Food Stock")</f>
        <v/>
      </c>
      <c r="AK158">
        <f>COUNTIFS($B$3:$B158,"Buy upgrade",$C$3:$C158,"Food Efficiency")</f>
        <v/>
      </c>
    </row>
    <row r="159">
      <c r="A159" t="n">
        <v>157</v>
      </c>
      <c r="B159" s="6" t="n"/>
      <c r="C159" s="6" t="n"/>
      <c r="D159" s="6" t="n"/>
      <c r="E159" s="7">
        <f>IF(B159="","",IF(OR(B159="Hunt",B159="Go AFK"),IF(C159="","Can't","OK"),IF(B159="Fight boss",IF(I158&lt;IF((IFERROR(VLOOKUP(C159,Monsters!$T$4:$AH$15,15,FALSE),0))=0,120,IFERROR(VLOOKUP(C159,Monsters!$T$4:$AH$15,15,FALSE),0)),"Can't","OK"),IF(B159="Hire hunter",IF(AND(C159="Briar",AD158&gt;=1),"Can't",IF(H158&lt;IF(C159="Briar",140,IF(C159="Quill",3650,IF(C159="Moss",4850,IF(C159="Ember",12200,0)))),"Can't","OK")),IF(OR(B159="Buy upgrade",B159="Forge/Scrapwork buy"),IF(IFERROR(VLOOKUP(C159,Upgrades!$N$4:$T$47,2,FALSE),0)="points","Can't",IF(IFERROR(VLOOKUP(C159,Upgrades!$N$4:$T$47,2,FALSE),0)="gold",IF(H158&lt;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buy",$C$3:$C158,C159))),1),0),"Can't","OK"),IF(IFERROR(VLOOKUP(C159,Upgrades!$N$4:$T$47,2,FALSE),0)="scraps",IF(J158&lt;IFERROR(FLOOR(IFERROR(VLOOKUP(C159,Upgrades!$N$4:$T$47,3,FALSE),0)*(IFERROR(VLOOKUP(C159,Upgrades!$N$4:$T$47,4,FALSE),0)^(COUNTIFS($B$3:$B158,"Buy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buy",$C$3:$C158,C159))),1),0),"Can't","OK"),IF(IFERROR(VLOOKUP(C159,Upgrades!$N$4:$T$47,2,FALSE),0)="mats","Can't","OK")))),"Check")))))</f>
        <v/>
      </c>
      <c r="F159" s="7">
        <f>IF(B159="","",IF(AND(B159="Fight boss",I158&lt;IF((IFERROR(VLOOKUP(C159,Monsters!$T$4:$AH$15,15,FALSE),0))=0,120,IFERROR(VLOOKUP(C159,Monsters!$T$4:$AH$15,15,FALSE),0))),"Can't — need "&amp;TEXT(IF((IFERROR(VLOOKUP(C159,Monsters!$T$4:$AH$15,15,FALSE),0))=0,120,IFERROR(VLOOKUP(C159,Monsters!$T$4:$AH$15,15,FALSE),0))-I158,"0.0")&amp;" more Slayer points on the meter",IF(AND(B159="Hire hunter",C159="Briar",AD158&gt;=1),"Can't — already hired",IF(AND(B159="Hire hunter",H158&lt;IF(C159="Briar",140,IF(C159="Quill",3650,IF(C159="Moss",4850,IF(C159="Ember",12200,0))))),"Can't — need "&amp;TEXT(IF(C159="Briar",140,IF(C159="Quill",3650,IF(C159="Moss",4850,IF(C159="Ember",12200,0))))-H158,"0")&amp;" more gold",IF(AND(OR(B159="Buy upgrade",B159="Forge/Scrapwork buy"),IFERROR(VLOOKUP(C159,Upgrades!$N$4:$T$47,2,FALSE),0)="points"),"Can't — Sp-wallet spends not tracked here",IF(AND(OR(B159="Buy upgrade",B159="Forge/Scrapwork buy"),IFERROR(VLOOKUP(C159,Upgrades!$N$4:$T$47,2,FALSE),0)="gold",H158&lt;IFERROR(FLOOR(IFERROR(VLOOKUP(C159,Upgrades!$N$4:$T$47,3,FALSE),0)*(IFERROR(VLOOKUP(C159,Upgrades!$N$4:$T$47,4,FALSE),0)^(COUNTIFS($B$3:$B158,"Buy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buy",$C$3:$C158,C159))),1),0)),"Can't — need "&amp;TEXT(IFERROR(FLOOR(IFERROR(VLOOKUP(C159,Upgrades!$N$4:$T$47,3,FALSE),0)*(IFERROR(VLOOKUP(C159,Upgrades!$N$4:$T$47,4,FALSE),0)^(COUNTIFS($B$3:$B158,"Buy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buy",$C$3:$C158,C159))),1),0)-H158,"0")&amp;" more gold",IF(AND(OR(B159="Buy upgrade",B159="Forge/Scrapwork buy"),IFERROR(VLOOKUP(C159,Upgrades!$N$4:$T$47,2,FALSE),0)="scraps",J158&lt;IFERROR(FLOOR(IFERROR(VLOOKUP(C159,Upgrades!$N$4:$T$47,3,FALSE),0)*(IFERROR(VLOOKUP(C159,Upgrades!$N$4:$T$47,4,FALSE),0)^(COUNTIFS($B$3:$B158,"Buy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buy",$C$3:$C158,C159))),1),0)),"Can't — need "&amp;TEXT(IFERROR(FLOOR(IFERROR(VLOOKUP(C159,Upgrades!$N$4:$T$47,3,FALSE),0)*(IFERROR(VLOOKUP(C159,Upgrades!$N$4:$T$47,4,FALSE),0)^(COUNTIFS($B$3:$B158,"Buy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buy",$C$3:$C158,C159))),1),0)-J158,"0")&amp;" more scraps",IF(AND(B159="Fight boss",E159="OK",(IF((((105/'Rules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Formulas'!B12)),"WIN — boss down, next Level unlocks",IF(AND(B159="Fight boss",E159="OK"),"LOSE — TTK "&amp;TEXT(IF((((105/'Rules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Formulas'!B20*SQRT(1+0.55*(AG158&gt;=1))),0)))),"0")&amp;"s &gt; patience "&amp;TEXT('Rules &amp; Formulas'!B12,"0")&amp;"s (leave resets HP)",IF(B159="Go AFK","AFK resolved (see AFK counted h)","Applied")))))))))</f>
        <v/>
      </c>
      <c r="G159" s="7">
        <f>IF(AND((E159="OK"),B159="Fight boss",(IF((((105/'Rules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Formulas'!B12),C159="Elder Thornpelt"),2,IF(AND((E159="OK"),B159="Fight boss",(IF((((105/'Rules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Formulas'!B12),C159="Ashfang Alpha"),3,G158))</f>
        <v/>
      </c>
      <c r="H159" s="7">
        <f>MAX(0,H158+IF(AND((E159="OK"),B159="Hunt"),(IF(B159="Hunt",(('Rules &amp; Formulas'!B4*N158*('Rules &amp; Formulas'!B5+O158)*IFERROR(VLOOKUP(C159,Monsters!$T$4:$AH$15,10,FALSE),0)*IFERROR(VLOOKUP(C159,Monsters!$T$4:$AH$15,9,FALSE),0))*'Rules &amp; Formulas'!B6)*IF(D159="",0,D159),0))*(IFERROR(VLOOKUP(C159,Monsters!$T$4:$AH$15,3,FALSE),0))*(1+0.1*AH158)+(IF(OR(B159&lt;&gt;"Hunt",IFERROR(VLOOKUP(C159,Monsters!$T$4:$AH$15,6,FALSE),0)=0),0,FLOOR((IF(B159="Hunt",(('Rules &amp; Formulas'!B4*N158*('Rules &amp; Formulas'!B5+O158)*IFERROR(VLOOKUP(C159,Monsters!$T$4:$AH$15,10,FALSE),0)*IFERROR(VLOOKUP(C159,Monsters!$T$4:$AH$15,9,FALSE),0))*'Rules &amp; Formulas'!B6)*IF(D159="",0,D159),0))/MAX(1,IFERROR(VLOOKUP(C159,Monsters!$T$4:$AH$15,6,FALSE),0)),1)))*(IFERROR(VLOOKUP(C159,Monsters!$T$4:$AH$15,7,FALSE),0))*0.5*(1+0.1*AH158),0)+IF(AND((E159="OK"),B159="Go AFK"),(IF(B159="Go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AFK",IF(D159="",0,D159),0),Z158/60)*60)),0))*(IFERROR(VLOOKUP(C159,Monsters!$T$4:$AH$15,3,FALSE),0))*(1+0.1*AH158)+(IF(OR(B159&lt;&gt;"Go AFK",IFERROR(VLOOKUP(C159,Monsters!$T$4:$AH$15,6,FALSE),0)=0),0,FLOOR((IF(B159="Go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AFK",IF(D159="",0,D159),0),Z158/60)*60)),0))/MAX(1,IFERROR(VLOOKUP(C159,Monsters!$T$4:$AH$15,6,FALSE),0)),1)))*(IFERROR(VLOOKUP(C159,Monsters!$T$4:$AH$15,7,FALSE),0))*0.5*(1+0.1*AH158),0)+IF(AND((E159="OK"),B159="Fight boss",(IF((((105/'Rules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Formulas'!B12)),IFERROR(VLOOKUP(C159,Monsters!$T$4:$AH$15,3,FALSE),0),0)-IF(AND((E159="OK"),OR(B159="Buy upgrade",B159="Forge/Scrapwork buy"),IFERROR(VLOOKUP(C159,Upgrades!$N$4:$T$47,2,FALSE),0)="gold"),IFERROR(FLOOR(IFERROR(VLOOKUP(C159,Upgrades!$N$4:$T$47,3,FALSE),0)*(IFERROR(VLOOKUP(C159,Upgrades!$N$4:$T$47,4,FALSE),0)^(COUNTIFS($B$3:$B158,"Buy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buy",$C$3:$C158,C159))),1),0),0)-IF(AND((E159="OK"),B159="Hire hunter"),IF(C159="Briar",140,IF(C159="Quill",3650,IF(C159="Moss",4850,IF(C159="Ember",12200,0)))),0))</f>
        <v/>
      </c>
      <c r="I159" s="7">
        <f>IF(AND((E159="OK"),B159="Fight boss",(IF((((105/'Rules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Formulas'!B12)),0,MIN(IF(G158&lt;=1,120,IF(G158=2,280,600)),I158+IF(AND((E159="OK"),B159="Hunt"),((IF(B159="Hunt",(('Rules &amp; Formulas'!B4*N158*('Rules &amp; Formulas'!B5+O158)*IFERROR(VLOOKUP(C159,Monsters!$T$4:$AH$15,10,FALSE),0)*IFERROR(VLOOKUP(C159,Monsters!$T$4:$AH$15,9,FALSE),0))*'Rules &amp; Formulas'!B6)*IF(D159="",0,D159),0))*(IFERROR(VLOOKUP(C159,Monsters!$T$4:$AH$15,4,FALSE),0))+(IF(OR(B159&lt;&gt;"Hunt",IFERROR(VLOOKUP(C159,Monsters!$T$4:$AH$15,6,FALSE),0)=0),0,FLOOR((IF(B159="Hunt",(('Rules &amp; Formulas'!B4*N158*('Rules &amp; Formulas'!B5+O158)*IFERROR(VLOOKUP(C159,Monsters!$T$4:$AH$15,10,FALSE),0)*IFERROR(VLOOKUP(C159,Monsters!$T$4:$AH$15,9,FALSE),0))*'Rules &amp; Formulas'!B6)*IF(D159="",0,D159),0))/MAX(1,IFERROR(VLOOKUP(C159,Monsters!$T$4:$AH$15,6,FALSE),0)),1)))*(IFERROR(VLOOKUP(C159,Monsters!$T$4:$AH$15,7,FALSE),0))),0)+IF(AND((E159="OK"),B159="Go AFK"),((IF(B159="Go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AFK",IF(D159="",0,D159),0),Z158/60)*60)),0))*(IFERROR(VLOOKUP(C159,Monsters!$T$4:$AH$15,4,FALSE),0))+(IF(OR(B159&lt;&gt;"Go AFK",IFERROR(VLOOKUP(C159,Monsters!$T$4:$AH$15,6,FALSE),0)=0),0,FLOOR((IF(B159="Go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AFK",IF(D159="",0,D159),0),Z158/60)*60)),0))/MAX(1,IFERROR(VLOOKUP(C159,Monsters!$T$4:$AH$15,6,FALSE),0)),1)))*(IFERROR(VLOOKUP(C159,Monsters!$T$4:$AH$15,7,FALSE),0))),0)))</f>
        <v/>
      </c>
      <c r="J159" s="7">
        <f>MAX(0,J158+IF(AND((E159="OK"),B159="Hunt"),(IF(B159="Hunt",(('Rules &amp; Formulas'!B4*N158*('Rules &amp; Formulas'!B5+O158)*IFERROR(VLOOKUP(C159,Monsters!$T$4:$AH$15,10,FALSE),0)*IFERROR(VLOOKUP(C159,Monsters!$T$4:$AH$15,9,FALSE),0))*'Rules &amp; Formulas'!B6)*IF(D159="",0,D159),0))*(IFERROR(VLOOKUP(C159,Monsters!$T$4:$AH$15,5,FALSE),0)),0)+IF(AND((E159="OK"),B159="Go AFK"),(IF(B159="Go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AFK",IF(D159="",0,D159),0),Z158/60)*60)),0))*(IFERROR(VLOOKUP(C159,Monsters!$T$4:$AH$15,5,FALSE),0)),0)-IF(AND((E159="OK"),OR(B159="Buy upgrade",B159="Forge/Scrapwork buy"),IFERROR(VLOOKUP(C159,Upgrades!$N$4:$T$47,2,FALSE),0)="scraps"),IFERROR(FLOOR(IFERROR(VLOOKUP(C159,Upgrades!$N$4:$T$47,3,FALSE),0)*(IFERROR(VLOOKUP(C159,Upgrades!$N$4:$T$47,4,FALSE),0)^(COUNTIFS($B$3:$B158,"Buy upgrade",$C$3:$C158,C159)+COUNTIFS($B$3:$B158,"Hire hunter",$C$3:$C158,C159)+COUNTIFS($B$3:$B158,"Forge/Scrapwork buy",$C$3:$C158,C159))),1),0),0))</f>
        <v/>
      </c>
      <c r="K159" s="7">
        <f>MAX(0,K158+IF(AND((E159="OK"),B159="Hunt"),IF(C159="Thornpelt Bear",(IF(B159="Hunt",(('Rules &amp; Formulas'!B4*N158*('Rules &amp; Formulas'!B5+O158)*IFERROR(VLOOKUP(C159,Monsters!$T$4:$AH$15,10,FALSE),0)*IFERROR(VLOOKUP(C159,Monsters!$T$4:$AH$15,9,FALSE),0))*'Rules &amp; Formulas'!B6)*IF(D159="",0,D159),0))*0.12,0),0)+IF(AND((E159="OK"),B159="Go AFK"),IF(C159="Thornpelt Bear",(IF(B159="Go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AFK",IF(D159="",0,D159),0),Z158/60)*60)),0))*0.12,0),0))</f>
        <v/>
      </c>
      <c r="L159" s="7">
        <f>MAX(0,L158+IF(AND((E159="OK"),B159="Hunt"),IF(C159="Dire Thornpelt",(IF(B159="Hunt",(('Rules &amp; Formulas'!B4*N158*('Rules &amp; Formulas'!B5+O158)*IFERROR(VLOOKUP(C159,Monsters!$T$4:$AH$15,10,FALSE),0)*IFERROR(VLOOKUP(C159,Monsters!$T$4:$AH$15,9,FALSE),0))*'Rules &amp; Formulas'!B6)*IF(D159="",0,D159),0))*0.1,0),0)+IF(AND((E159="OK"),B159="Go AFK"),IF(C159="Dire Thornpelt",(IF(B159="Go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AFK",IF(D159="",0,D159),0),Z158/60)*60)),0))*0.1,0),0))</f>
        <v/>
      </c>
      <c r="M159" s="7">
        <f>IF(AND((E159="OK"),B159="Go AFK"),MAX(0,MIN(('Rules &amp; Formulas'!B15+25*AJ158),M158+('Rules &amp; Formulas'!B14+0.4*AJ158)*(MIN(IF(B159="Go AFK",IF(D159="",0,D159),0),Z158/60)*60))-(IF(B159="Go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AFK",IF(D159="",0,D159),0),Z158/60)*60)),0))*(IF((IFERROR(VLOOKUP(C159,Monsters!$T$4:$AH$15,8,FALSE),0))=0,0.35,IFERROR(VLOOKUP(C159,Monsters!$T$4:$AH$15,8,FALSE),0))/(1+0.08*AK158))),MIN(('Rules &amp; Formulas'!B15+25*AJ159),M158))</f>
        <v/>
      </c>
      <c r="N159" s="7">
        <f>(1+0.08+0.12*AA159+0.12*AB159+0.16*AC159)</f>
        <v/>
      </c>
      <c r="O159" s="7">
        <f>((AD159&gt;=1)*1*(1+0.3*AE159))</f>
        <v/>
      </c>
      <c r="P159" s="7">
        <f>IF(OR(B159="Hunt",B159="Go AFK"),(('Rules &amp; Formulas'!B4*N158*('Rules &amp; Formulas'!B5+O158)*IFERROR(VLOOKUP(C159,Monsters!$T$4:$AH$15,10,FALSE),0)*IFERROR(VLOOKUP(C159,Monsters!$T$4:$AH$15,9,FALSE),0))*'Rules &amp; Formulas'!B6),"")</f>
        <v/>
      </c>
      <c r="Q159" s="7">
        <f>IF(OR(B159="Hunt",B159="Go AFK"),('Rules &amp; Formulas'!B4*N158*('Rules &amp; Formulas'!B5+O158)*IFERROR(VLOOKUP(C159,Monsters!$T$4:$AH$15,10,FALSE),0)*IFERROR(VLOOKUP(C159,Monsters!$T$4:$AH$15,9,FALSE),0)),"")</f>
        <v/>
      </c>
      <c r="R159" s="7">
        <f>IF(AND((E159="OK"),B159="Hunt"),IF(B159="Hunt",(('Rules &amp; Formulas'!B4*N158*('Rules &amp; Formulas'!B5+O158)*IFERROR(VLOOKUP(C159,Monsters!$T$4:$AH$15,10,FALSE),0)*IFERROR(VLOOKUP(C159,Monsters!$T$4:$AH$15,9,FALSE),0))*'Rules &amp; Formulas'!B6)*IF(D159="",0,D159),0),IF(AND((E159="OK"),B159="Go AFK"),IF(B159="Go AFK",MIN(IF((IF((IFERROR(VLOOKUP(C159,Monsters!$T$4:$AH$15,8,FALSE),0))=0,0.35,IFERROR(VLOOKUP(C159,Monsters!$T$4:$AH$15,8,FALSE),0))/(1+0.08*AK158))&lt;=0,999999,FLOOR(MIN(('Rules &amp; Formulas'!B15+25*AJ158),M158+('Rules &amp; Formulas'!B14+0.4*AJ158)*(MIN(IF(B159="Go AFK",IF(D159="",0,D159),0),Z158/60)*60))/(IF((IFERROR(VLOOKUP(C159,Monsters!$T$4:$AH$15,8,FALSE),0))=0,0.35,IFERROR(VLOOKUP(C159,Monsters!$T$4:$AH$15,8,FALSE),0))/(1+0.08*AK158)),1)),('Rules &amp; Formulas'!B4*N158*('Rules &amp; Formulas'!B5+O158)*IFERROR(VLOOKUP(C159,Monsters!$T$4:$AH$15,10,FALSE),0)*IFERROR(VLOOKUP(C159,Monsters!$T$4:$AH$15,9,FALSE),0))*(MIN(IF(B159="Go AFK",IF(D159="",0,D159),0),Z158/60)*60)),0),0))</f>
        <v/>
      </c>
      <c r="S159" s="7">
        <f>(105/'Rules &amp; Formulas'!B10)*'Rules &amp; Formulas'!B11</f>
        <v/>
      </c>
      <c r="T159" s="7">
        <f>IF(AD158&gt;=1,(MAX(1,ROUND('Rules &amp; Formulas'!B18*(1+0.3*AE158)*(1+0.4*AF158),0)))*(1000/'Rules &amp; Formulas'!B19)*MIN(0.95,'Rules &amp; Formulas'!B20*SQRT(1+0.55*(AG158&gt;=1))),0)</f>
        <v/>
      </c>
      <c r="U159" s="7">
        <f>S159+T159</f>
        <v/>
      </c>
      <c r="V159" s="7">
        <f>IF(I158&gt;=IF((IFERROR(VLOOKUP(C159,Monsters!$T$4:$AH$15,15,FALSE),0))=0,120,IFERROR(VLOOKUP(C159,Monsters!$T$4:$AH$15,15,FALSE),0)),"YES","no")</f>
        <v/>
      </c>
      <c r="W159" s="7">
        <f>IF(AND(B159="Fight boss",E159="OK"),IF((((105/'Rules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Formulas'!B20*SQRT(1+0.55*(AG158&gt;=1))),0)))),"")</f>
        <v/>
      </c>
      <c r="X159" s="7">
        <f>IF(AND(B159="Fight boss",E159="OK"),IF((IF((((105/'Rules &amp; Formulas'!B10)*'Rules &amp; Formulas'!B11+IF(AD158&gt;=1,(MAX(1,ROUND('Rules &amp; Formulas'!B18*(1+0.3*AE158)*(1+0.4*AF158),0)))*(1000/'Rules &amp; Formulas'!B19)*MIN(0.95,'Rules &amp; Formulas'!B20*SQRT(1+0.55*(AG158&gt;=1))),0)))&lt;=0,9999,(IFERROR(VLOOKUP(C159,Monsters!$T$4:$AH$15,2,FALSE),0))/(((105/'Rules &amp; Formulas'!B10)*'Rules &amp; Formulas'!B11+IF(AD158&gt;=1,(MAX(1,ROUND('Rules &amp; Formulas'!B18*(1+0.3*AE158)*(1+0.4*AF158),0)))*(1000/'Rules &amp; Formulas'!B19)*MIN(0.95,'Rules &amp; Formulas'!B20*SQRT(1+0.55*(AG158&gt;=1))),0))))&lt;='Rules &amp; Formulas'!B12),"WIN","LOSE"),"")</f>
        <v/>
      </c>
      <c r="Y159" s="7">
        <f>IF(B159="Go AFK",MIN(IF(B159="Go AFK",IF(D159="",0,D159),0),Z158/60),"")</f>
        <v/>
      </c>
      <c r="Z159" s="7">
        <f>('Rules &amp; Formulas'!B13+30*AI159)</f>
        <v/>
      </c>
      <c r="AA159">
        <f>COUNTIFS($B$3:$B159,"Buy upgrade",$C$3:$C159,"Idle Power")</f>
        <v/>
      </c>
      <c r="AB159">
        <f>COUNTIFS($B$3:$B159,"Buy upgrade",$C$3:$C159,"Iron Blade")</f>
        <v/>
      </c>
      <c r="AC159">
        <f>COUNTIFS($B$3:$B159,"Buy upgrade",$C$3:$C159,"Steel Blade")</f>
        <v/>
      </c>
      <c r="AD159">
        <f>COUNTIFS($B$3:$B159,"Hire hunter",$C$3:$C159,"Briar")+COUNTIFS($B$3:$B159,"Buy upgrade",$C$3:$C159,"Hire Briar")</f>
        <v/>
      </c>
      <c r="AE159">
        <f>COUNTIFS($B$3:$B159,"Buy upgrade",$C$3:$C159,"Hunter Power")</f>
        <v/>
      </c>
      <c r="AF159">
        <f>COUNTIFS($B$3:$B159,"Buy upgrade",$C$3:$C159,"Bigger Hits")</f>
        <v/>
      </c>
      <c r="AG159">
        <f>COUNTIFS($B$3:$B159,"Buy upgrade",$C$3:$C159,"Swift Walk")</f>
        <v/>
      </c>
      <c r="AH159">
        <f>COUNTIFS($B$3:$B159,"Buy upgrade",$C$3:$C159,"Loot Luck")</f>
        <v/>
      </c>
      <c r="AI159">
        <f>COUNTIFS($B$3:$B159,"Buy upgrade",$C$3:$C159,"Offline Cap")</f>
        <v/>
      </c>
      <c r="AJ159">
        <f>COUNTIFS($B$3:$B159,"Buy upgrade",$C$3:$C159,"Bigger Food Stock")</f>
        <v/>
      </c>
      <c r="AK159">
        <f>COUNTIFS($B$3:$B159,"Buy upgrade",$C$3:$C159,"Food Efficiency")</f>
        <v/>
      </c>
    </row>
    <row r="160">
      <c r="A160" t="n">
        <v>158</v>
      </c>
      <c r="B160" s="6" t="n"/>
      <c r="C160" s="6" t="n"/>
      <c r="D160" s="6" t="n"/>
      <c r="E160" s="7">
        <f>IF(B160="","",IF(OR(B160="Hunt",B160="Go AFK"),IF(C160="","Can't","OK"),IF(B160="Fight boss",IF(I159&lt;IF((IFERROR(VLOOKUP(C160,Monsters!$T$4:$AH$15,15,FALSE),0))=0,120,IFERROR(VLOOKUP(C160,Monsters!$T$4:$AH$15,15,FALSE),0)),"Can't","OK"),IF(B160="Hire hunter",IF(AND(C160="Briar",AD159&gt;=1),"Can't",IF(H159&lt;IF(C160="Briar",140,IF(C160="Quill",3650,IF(C160="Moss",4850,IF(C160="Ember",12200,0)))),"Can't","OK")),IF(OR(B160="Buy upgrade",B160="Forge/Scrapwork buy"),IF(IFERROR(VLOOKUP(C160,Upgrades!$N$4:$T$47,2,FALSE),0)="points","Can't",IF(IFERROR(VLOOKUP(C160,Upgrades!$N$4:$T$47,2,FALSE),0)="gold",IF(H159&lt;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buy",$C$3:$C159,C160))),1),0),"Can't","OK"),IF(IFERROR(VLOOKUP(C160,Upgrades!$N$4:$T$47,2,FALSE),0)="scraps",IF(J159&lt;IFERROR(FLOOR(IFERROR(VLOOKUP(C160,Upgrades!$N$4:$T$47,3,FALSE),0)*(IFERROR(VLOOKUP(C160,Upgrades!$N$4:$T$47,4,FALSE),0)^(COUNTIFS($B$3:$B159,"Buy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buy",$C$3:$C159,C160))),1),0),"Can't","OK"),IF(IFERROR(VLOOKUP(C160,Upgrades!$N$4:$T$47,2,FALSE),0)="mats","Can't","OK")))),"Check")))))</f>
        <v/>
      </c>
      <c r="F160" s="7">
        <f>IF(B160="","",IF(AND(B160="Fight boss",I159&lt;IF((IFERROR(VLOOKUP(C160,Monsters!$T$4:$AH$15,15,FALSE),0))=0,120,IFERROR(VLOOKUP(C160,Monsters!$T$4:$AH$15,15,FALSE),0))),"Can't — need "&amp;TEXT(IF((IFERROR(VLOOKUP(C160,Monsters!$T$4:$AH$15,15,FALSE),0))=0,120,IFERROR(VLOOKUP(C160,Monsters!$T$4:$AH$15,15,FALSE),0))-I159,"0.0")&amp;" more Slayer points on the meter",IF(AND(B160="Hire hunter",C160="Briar",AD159&gt;=1),"Can't — already hired",IF(AND(B160="Hire hunter",H159&lt;IF(C160="Briar",140,IF(C160="Quill",3650,IF(C160="Moss",4850,IF(C160="Ember",12200,0))))),"Can't — need "&amp;TEXT(IF(C160="Briar",140,IF(C160="Quill",3650,IF(C160="Moss",4850,IF(C160="Ember",12200,0))))-H159,"0")&amp;" more gold",IF(AND(OR(B160="Buy upgrade",B160="Forge/Scrapwork buy"),IFERROR(VLOOKUP(C160,Upgrades!$N$4:$T$47,2,FALSE),0)="points"),"Can't — Sp-wallet spends not tracked here",IF(AND(OR(B160="Buy upgrade",B160="Forge/Scrapwork buy"),IFERROR(VLOOKUP(C160,Upgrades!$N$4:$T$47,2,FALSE),0)="gold",H159&lt;IFERROR(FLOOR(IFERROR(VLOOKUP(C160,Upgrades!$N$4:$T$47,3,FALSE),0)*(IFERROR(VLOOKUP(C160,Upgrades!$N$4:$T$47,4,FALSE),0)^(COUNTIFS($B$3:$B159,"Buy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buy",$C$3:$C159,C160))),1),0)),"Can't — need "&amp;TEXT(IFERROR(FLOOR(IFERROR(VLOOKUP(C160,Upgrades!$N$4:$T$47,3,FALSE),0)*(IFERROR(VLOOKUP(C160,Upgrades!$N$4:$T$47,4,FALSE),0)^(COUNTIFS($B$3:$B159,"Buy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buy",$C$3:$C159,C160))),1),0)-H159,"0")&amp;" more gold",IF(AND(OR(B160="Buy upgrade",B160="Forge/Scrapwork buy"),IFERROR(VLOOKUP(C160,Upgrades!$N$4:$T$47,2,FALSE),0)="scraps",J159&lt;IFERROR(FLOOR(IFERROR(VLOOKUP(C160,Upgrades!$N$4:$T$47,3,FALSE),0)*(IFERROR(VLOOKUP(C160,Upgrades!$N$4:$T$47,4,FALSE),0)^(COUNTIFS($B$3:$B159,"Buy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buy",$C$3:$C159,C160))),1),0)),"Can't — need "&amp;TEXT(IFERROR(FLOOR(IFERROR(VLOOKUP(C160,Upgrades!$N$4:$T$47,3,FALSE),0)*(IFERROR(VLOOKUP(C160,Upgrades!$N$4:$T$47,4,FALSE),0)^(COUNTIFS($B$3:$B159,"Buy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buy",$C$3:$C159,C160))),1),0)-J159,"0")&amp;" more scraps",IF(AND(B160="Fight boss",E160="OK",(IF((((105/'Rules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Formulas'!B12)),"WIN — boss down, next Level unlocks",IF(AND(B160="Fight boss",E160="OK"),"LOSE — TTK "&amp;TEXT(IF((((105/'Rules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Formulas'!B20*SQRT(1+0.55*(AG159&gt;=1))),0)))),"0")&amp;"s &gt; patience "&amp;TEXT('Rules &amp; Formulas'!B12,"0")&amp;"s (leave resets HP)",IF(B160="Go AFK","AFK resolved (see AFK counted h)","Applied")))))))))</f>
        <v/>
      </c>
      <c r="G160" s="7">
        <f>IF(AND((E160="OK"),B160="Fight boss",(IF((((105/'Rules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Formulas'!B12),C160="Elder Thornpelt"),2,IF(AND((E160="OK"),B160="Fight boss",(IF((((105/'Rules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Formulas'!B12),C160="Ashfang Alpha"),3,G159))</f>
        <v/>
      </c>
      <c r="H160" s="7">
        <f>MAX(0,H159+IF(AND((E160="OK"),B160="Hunt"),(IF(B160="Hunt",(('Rules &amp; Formulas'!B4*N159*('Rules &amp; Formulas'!B5+O159)*IFERROR(VLOOKUP(C160,Monsters!$T$4:$AH$15,10,FALSE),0)*IFERROR(VLOOKUP(C160,Monsters!$T$4:$AH$15,9,FALSE),0))*'Rules &amp; Formulas'!B6)*IF(D160="",0,D160),0))*(IFERROR(VLOOKUP(C160,Monsters!$T$4:$AH$15,3,FALSE),0))*(1+0.1*AH159)+(IF(OR(B160&lt;&gt;"Hunt",IFERROR(VLOOKUP(C160,Monsters!$T$4:$AH$15,6,FALSE),0)=0),0,FLOOR((IF(B160="Hunt",(('Rules &amp; Formulas'!B4*N159*('Rules &amp; Formulas'!B5+O159)*IFERROR(VLOOKUP(C160,Monsters!$T$4:$AH$15,10,FALSE),0)*IFERROR(VLOOKUP(C160,Monsters!$T$4:$AH$15,9,FALSE),0))*'Rules &amp; Formulas'!B6)*IF(D160="",0,D160),0))/MAX(1,IFERROR(VLOOKUP(C160,Monsters!$T$4:$AH$15,6,FALSE),0)),1)))*(IFERROR(VLOOKUP(C160,Monsters!$T$4:$AH$15,7,FALSE),0))*0.5*(1+0.1*AH159),0)+IF(AND((E160="OK"),B160="Go AFK"),(IF(B160="Go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AFK",IF(D160="",0,D160),0),Z159/60)*60)),0))*(IFERROR(VLOOKUP(C160,Monsters!$T$4:$AH$15,3,FALSE),0))*(1+0.1*AH159)+(IF(OR(B160&lt;&gt;"Go AFK",IFERROR(VLOOKUP(C160,Monsters!$T$4:$AH$15,6,FALSE),0)=0),0,FLOOR((IF(B160="Go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AFK",IF(D160="",0,D160),0),Z159/60)*60)),0))/MAX(1,IFERROR(VLOOKUP(C160,Monsters!$T$4:$AH$15,6,FALSE),0)),1)))*(IFERROR(VLOOKUP(C160,Monsters!$T$4:$AH$15,7,FALSE),0))*0.5*(1+0.1*AH159),0)+IF(AND((E160="OK"),B160="Fight boss",(IF((((105/'Rules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Formulas'!B12)),IFERROR(VLOOKUP(C160,Monsters!$T$4:$AH$15,3,FALSE),0),0)-IF(AND((E160="OK"),OR(B160="Buy upgrade",B160="Forge/Scrapwork buy"),IFERROR(VLOOKUP(C160,Upgrades!$N$4:$T$47,2,FALSE),0)="gold"),IFERROR(FLOOR(IFERROR(VLOOKUP(C160,Upgrades!$N$4:$T$47,3,FALSE),0)*(IFERROR(VLOOKUP(C160,Upgrades!$N$4:$T$47,4,FALSE),0)^(COUNTIFS($B$3:$B159,"Buy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buy",$C$3:$C159,C160))),1),0),0)-IF(AND((E160="OK"),B160="Hire hunter"),IF(C160="Briar",140,IF(C160="Quill",3650,IF(C160="Moss",4850,IF(C160="Ember",12200,0)))),0))</f>
        <v/>
      </c>
      <c r="I160" s="7">
        <f>IF(AND((E160="OK"),B160="Fight boss",(IF((((105/'Rules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Formulas'!B12)),0,MIN(IF(G159&lt;=1,120,IF(G159=2,280,600)),I159+IF(AND((E160="OK"),B160="Hunt"),((IF(B160="Hunt",(('Rules &amp; Formulas'!B4*N159*('Rules &amp; Formulas'!B5+O159)*IFERROR(VLOOKUP(C160,Monsters!$T$4:$AH$15,10,FALSE),0)*IFERROR(VLOOKUP(C160,Monsters!$T$4:$AH$15,9,FALSE),0))*'Rules &amp; Formulas'!B6)*IF(D160="",0,D160),0))*(IFERROR(VLOOKUP(C160,Monsters!$T$4:$AH$15,4,FALSE),0))+(IF(OR(B160&lt;&gt;"Hunt",IFERROR(VLOOKUP(C160,Monsters!$T$4:$AH$15,6,FALSE),0)=0),0,FLOOR((IF(B160="Hunt",(('Rules &amp; Formulas'!B4*N159*('Rules &amp; Formulas'!B5+O159)*IFERROR(VLOOKUP(C160,Monsters!$T$4:$AH$15,10,FALSE),0)*IFERROR(VLOOKUP(C160,Monsters!$T$4:$AH$15,9,FALSE),0))*'Rules &amp; Formulas'!B6)*IF(D160="",0,D160),0))/MAX(1,IFERROR(VLOOKUP(C160,Monsters!$T$4:$AH$15,6,FALSE),0)),1)))*(IFERROR(VLOOKUP(C160,Monsters!$T$4:$AH$15,7,FALSE),0))),0)+IF(AND((E160="OK"),B160="Go AFK"),((IF(B160="Go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AFK",IF(D160="",0,D160),0),Z159/60)*60)),0))*(IFERROR(VLOOKUP(C160,Monsters!$T$4:$AH$15,4,FALSE),0))+(IF(OR(B160&lt;&gt;"Go AFK",IFERROR(VLOOKUP(C160,Monsters!$T$4:$AH$15,6,FALSE),0)=0),0,FLOOR((IF(B160="Go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AFK",IF(D160="",0,D160),0),Z159/60)*60)),0))/MAX(1,IFERROR(VLOOKUP(C160,Monsters!$T$4:$AH$15,6,FALSE),0)),1)))*(IFERROR(VLOOKUP(C160,Monsters!$T$4:$AH$15,7,FALSE),0))),0)))</f>
        <v/>
      </c>
      <c r="J160" s="7">
        <f>MAX(0,J159+IF(AND((E160="OK"),B160="Hunt"),(IF(B160="Hunt",(('Rules &amp; Formulas'!B4*N159*('Rules &amp; Formulas'!B5+O159)*IFERROR(VLOOKUP(C160,Monsters!$T$4:$AH$15,10,FALSE),0)*IFERROR(VLOOKUP(C160,Monsters!$T$4:$AH$15,9,FALSE),0))*'Rules &amp; Formulas'!B6)*IF(D160="",0,D160),0))*(IFERROR(VLOOKUP(C160,Monsters!$T$4:$AH$15,5,FALSE),0)),0)+IF(AND((E160="OK"),B160="Go AFK"),(IF(B160="Go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AFK",IF(D160="",0,D160),0),Z159/60)*60)),0))*(IFERROR(VLOOKUP(C160,Monsters!$T$4:$AH$15,5,FALSE),0)),0)-IF(AND((E160="OK"),OR(B160="Buy upgrade",B160="Forge/Scrapwork buy"),IFERROR(VLOOKUP(C160,Upgrades!$N$4:$T$47,2,FALSE),0)="scraps"),IFERROR(FLOOR(IFERROR(VLOOKUP(C160,Upgrades!$N$4:$T$47,3,FALSE),0)*(IFERROR(VLOOKUP(C160,Upgrades!$N$4:$T$47,4,FALSE),0)^(COUNTIFS($B$3:$B159,"Buy upgrade",$C$3:$C159,C160)+COUNTIFS($B$3:$B159,"Hire hunter",$C$3:$C159,C160)+COUNTIFS($B$3:$B159,"Forge/Scrapwork buy",$C$3:$C159,C160))),1),0),0))</f>
        <v/>
      </c>
      <c r="K160" s="7">
        <f>MAX(0,K159+IF(AND((E160="OK"),B160="Hunt"),IF(C160="Thornpelt Bear",(IF(B160="Hunt",(('Rules &amp; Formulas'!B4*N159*('Rules &amp; Formulas'!B5+O159)*IFERROR(VLOOKUP(C160,Monsters!$T$4:$AH$15,10,FALSE),0)*IFERROR(VLOOKUP(C160,Monsters!$T$4:$AH$15,9,FALSE),0))*'Rules &amp; Formulas'!B6)*IF(D160="",0,D160),0))*0.12,0),0)+IF(AND((E160="OK"),B160="Go AFK"),IF(C160="Thornpelt Bear",(IF(B160="Go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AFK",IF(D160="",0,D160),0),Z159/60)*60)),0))*0.12,0),0))</f>
        <v/>
      </c>
      <c r="L160" s="7">
        <f>MAX(0,L159+IF(AND((E160="OK"),B160="Hunt"),IF(C160="Dire Thornpelt",(IF(B160="Hunt",(('Rules &amp; Formulas'!B4*N159*('Rules &amp; Formulas'!B5+O159)*IFERROR(VLOOKUP(C160,Monsters!$T$4:$AH$15,10,FALSE),0)*IFERROR(VLOOKUP(C160,Monsters!$T$4:$AH$15,9,FALSE),0))*'Rules &amp; Formulas'!B6)*IF(D160="",0,D160),0))*0.1,0),0)+IF(AND((E160="OK"),B160="Go AFK"),IF(C160="Dire Thornpelt",(IF(B160="Go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AFK",IF(D160="",0,D160),0),Z159/60)*60)),0))*0.1,0),0))</f>
        <v/>
      </c>
      <c r="M160" s="7">
        <f>IF(AND((E160="OK"),B160="Go AFK"),MAX(0,MIN(('Rules &amp; Formulas'!B15+25*AJ159),M159+('Rules &amp; Formulas'!B14+0.4*AJ159)*(MIN(IF(B160="Go AFK",IF(D160="",0,D160),0),Z159/60)*60))-(IF(B160="Go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AFK",IF(D160="",0,D160),0),Z159/60)*60)),0))*(IF((IFERROR(VLOOKUP(C160,Monsters!$T$4:$AH$15,8,FALSE),0))=0,0.35,IFERROR(VLOOKUP(C160,Monsters!$T$4:$AH$15,8,FALSE),0))/(1+0.08*AK159))),MIN(('Rules &amp; Formulas'!B15+25*AJ160),M159))</f>
        <v/>
      </c>
      <c r="N160" s="7">
        <f>(1+0.08+0.12*AA160+0.12*AB160+0.16*AC160)</f>
        <v/>
      </c>
      <c r="O160" s="7">
        <f>((AD160&gt;=1)*1*(1+0.3*AE160))</f>
        <v/>
      </c>
      <c r="P160" s="7">
        <f>IF(OR(B160="Hunt",B160="Go AFK"),(('Rules &amp; Formulas'!B4*N159*('Rules &amp; Formulas'!B5+O159)*IFERROR(VLOOKUP(C160,Monsters!$T$4:$AH$15,10,FALSE),0)*IFERROR(VLOOKUP(C160,Monsters!$T$4:$AH$15,9,FALSE),0))*'Rules &amp; Formulas'!B6),"")</f>
        <v/>
      </c>
      <c r="Q160" s="7">
        <f>IF(OR(B160="Hunt",B160="Go AFK"),('Rules &amp; Formulas'!B4*N159*('Rules &amp; Formulas'!B5+O159)*IFERROR(VLOOKUP(C160,Monsters!$T$4:$AH$15,10,FALSE),0)*IFERROR(VLOOKUP(C160,Monsters!$T$4:$AH$15,9,FALSE),0)),"")</f>
        <v/>
      </c>
      <c r="R160" s="7">
        <f>IF(AND((E160="OK"),B160="Hunt"),IF(B160="Hunt",(('Rules &amp; Formulas'!B4*N159*('Rules &amp; Formulas'!B5+O159)*IFERROR(VLOOKUP(C160,Monsters!$T$4:$AH$15,10,FALSE),0)*IFERROR(VLOOKUP(C160,Monsters!$T$4:$AH$15,9,FALSE),0))*'Rules &amp; Formulas'!B6)*IF(D160="",0,D160),0),IF(AND((E160="OK"),B160="Go AFK"),IF(B160="Go AFK",MIN(IF((IF((IFERROR(VLOOKUP(C160,Monsters!$T$4:$AH$15,8,FALSE),0))=0,0.35,IFERROR(VLOOKUP(C160,Monsters!$T$4:$AH$15,8,FALSE),0))/(1+0.08*AK159))&lt;=0,999999,FLOOR(MIN(('Rules &amp; Formulas'!B15+25*AJ159),M159+('Rules &amp; Formulas'!B14+0.4*AJ159)*(MIN(IF(B160="Go AFK",IF(D160="",0,D160),0),Z159/60)*60))/(IF((IFERROR(VLOOKUP(C160,Monsters!$T$4:$AH$15,8,FALSE),0))=0,0.35,IFERROR(VLOOKUP(C160,Monsters!$T$4:$AH$15,8,FALSE),0))/(1+0.08*AK159)),1)),('Rules &amp; Formulas'!B4*N159*('Rules &amp; Formulas'!B5+O159)*IFERROR(VLOOKUP(C160,Monsters!$T$4:$AH$15,10,FALSE),0)*IFERROR(VLOOKUP(C160,Monsters!$T$4:$AH$15,9,FALSE),0))*(MIN(IF(B160="Go AFK",IF(D160="",0,D160),0),Z159/60)*60)),0),0))</f>
        <v/>
      </c>
      <c r="S160" s="7">
        <f>(105/'Rules &amp; Formulas'!B10)*'Rules &amp; Formulas'!B11</f>
        <v/>
      </c>
      <c r="T160" s="7">
        <f>IF(AD159&gt;=1,(MAX(1,ROUND('Rules &amp; Formulas'!B18*(1+0.3*AE159)*(1+0.4*AF159),0)))*(1000/'Rules &amp; Formulas'!B19)*MIN(0.95,'Rules &amp; Formulas'!B20*SQRT(1+0.55*(AG159&gt;=1))),0)</f>
        <v/>
      </c>
      <c r="U160" s="7">
        <f>S160+T160</f>
        <v/>
      </c>
      <c r="V160" s="7">
        <f>IF(I159&gt;=IF((IFERROR(VLOOKUP(C160,Monsters!$T$4:$AH$15,15,FALSE),0))=0,120,IFERROR(VLOOKUP(C160,Monsters!$T$4:$AH$15,15,FALSE),0)),"YES","no")</f>
        <v/>
      </c>
      <c r="W160" s="7">
        <f>IF(AND(B160="Fight boss",E160="OK"),IF((((105/'Rules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Formulas'!B20*SQRT(1+0.55*(AG159&gt;=1))),0)))),"")</f>
        <v/>
      </c>
      <c r="X160" s="7">
        <f>IF(AND(B160="Fight boss",E160="OK"),IF((IF((((105/'Rules &amp; Formulas'!B10)*'Rules &amp; Formulas'!B11+IF(AD159&gt;=1,(MAX(1,ROUND('Rules &amp; Formulas'!B18*(1+0.3*AE159)*(1+0.4*AF159),0)))*(1000/'Rules &amp; Formulas'!B19)*MIN(0.95,'Rules &amp; Formulas'!B20*SQRT(1+0.55*(AG159&gt;=1))),0)))&lt;=0,9999,(IFERROR(VLOOKUP(C160,Monsters!$T$4:$AH$15,2,FALSE),0))/(((105/'Rules &amp; Formulas'!B10)*'Rules &amp; Formulas'!B11+IF(AD159&gt;=1,(MAX(1,ROUND('Rules &amp; Formulas'!B18*(1+0.3*AE159)*(1+0.4*AF159),0)))*(1000/'Rules &amp; Formulas'!B19)*MIN(0.95,'Rules &amp; Formulas'!B20*SQRT(1+0.55*(AG159&gt;=1))),0))))&lt;='Rules &amp; Formulas'!B12),"WIN","LOSE"),"")</f>
        <v/>
      </c>
      <c r="Y160" s="7">
        <f>IF(B160="Go AFK",MIN(IF(B160="Go AFK",IF(D160="",0,D160),0),Z159/60),"")</f>
        <v/>
      </c>
      <c r="Z160" s="7">
        <f>('Rules &amp; Formulas'!B13+30*AI160)</f>
        <v/>
      </c>
      <c r="AA160">
        <f>COUNTIFS($B$3:$B160,"Buy upgrade",$C$3:$C160,"Idle Power")</f>
        <v/>
      </c>
      <c r="AB160">
        <f>COUNTIFS($B$3:$B160,"Buy upgrade",$C$3:$C160,"Iron Blade")</f>
        <v/>
      </c>
      <c r="AC160">
        <f>COUNTIFS($B$3:$B160,"Buy upgrade",$C$3:$C160,"Steel Blade")</f>
        <v/>
      </c>
      <c r="AD160">
        <f>COUNTIFS($B$3:$B160,"Hire hunter",$C$3:$C160,"Briar")+COUNTIFS($B$3:$B160,"Buy upgrade",$C$3:$C160,"Hire Briar")</f>
        <v/>
      </c>
      <c r="AE160">
        <f>COUNTIFS($B$3:$B160,"Buy upgrade",$C$3:$C160,"Hunter Power")</f>
        <v/>
      </c>
      <c r="AF160">
        <f>COUNTIFS($B$3:$B160,"Buy upgrade",$C$3:$C160,"Bigger Hits")</f>
        <v/>
      </c>
      <c r="AG160">
        <f>COUNTIFS($B$3:$B160,"Buy upgrade",$C$3:$C160,"Swift Walk")</f>
        <v/>
      </c>
      <c r="AH160">
        <f>COUNTIFS($B$3:$B160,"Buy upgrade",$C$3:$C160,"Loot Luck")</f>
        <v/>
      </c>
      <c r="AI160">
        <f>COUNTIFS($B$3:$B160,"Buy upgrade",$C$3:$C160,"Offline Cap")</f>
        <v/>
      </c>
      <c r="AJ160">
        <f>COUNTIFS($B$3:$B160,"Buy upgrade",$C$3:$C160,"Bigger Food Stock")</f>
        <v/>
      </c>
      <c r="AK160">
        <f>COUNTIFS($B$3:$B160,"Buy upgrade",$C$3:$C160,"Food Efficiency")</f>
        <v/>
      </c>
    </row>
    <row r="161">
      <c r="A161" t="n">
        <v>159</v>
      </c>
      <c r="B161" s="6" t="n"/>
      <c r="C161" s="6" t="n"/>
      <c r="D161" s="6" t="n"/>
      <c r="E161" s="7">
        <f>IF(B161="","",IF(OR(B161="Hunt",B161="Go AFK"),IF(C161="","Can't","OK"),IF(B161="Fight boss",IF(I160&lt;IF((IFERROR(VLOOKUP(C161,Monsters!$T$4:$AH$15,15,FALSE),0))=0,120,IFERROR(VLOOKUP(C161,Monsters!$T$4:$AH$15,15,FALSE),0)),"Can't","OK"),IF(B161="Hire hunter",IF(AND(C161="Briar",AD160&gt;=1),"Can't",IF(H160&lt;IF(C161="Briar",140,IF(C161="Quill",3650,IF(C161="Moss",4850,IF(C161="Ember",12200,0)))),"Can't","OK")),IF(OR(B161="Buy upgrade",B161="Forge/Scrapwork buy"),IF(IFERROR(VLOOKUP(C161,Upgrades!$N$4:$T$47,2,FALSE),0)="points","Can't",IF(IFERROR(VLOOKUP(C161,Upgrades!$N$4:$T$47,2,FALSE),0)="gold",IF(H160&lt;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buy",$C$3:$C160,C161))),1),0),"Can't","OK"),IF(IFERROR(VLOOKUP(C161,Upgrades!$N$4:$T$47,2,FALSE),0)="scraps",IF(J160&lt;IFERROR(FLOOR(IFERROR(VLOOKUP(C161,Upgrades!$N$4:$T$47,3,FALSE),0)*(IFERROR(VLOOKUP(C161,Upgrades!$N$4:$T$47,4,FALSE),0)^(COUNTIFS($B$3:$B160,"Buy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buy",$C$3:$C160,C161))),1),0),"Can't","OK"),IF(IFERROR(VLOOKUP(C161,Upgrades!$N$4:$T$47,2,FALSE),0)="mats","Can't","OK")))),"Check")))))</f>
        <v/>
      </c>
      <c r="F161" s="7">
        <f>IF(B161="","",IF(AND(B161="Fight boss",I160&lt;IF((IFERROR(VLOOKUP(C161,Monsters!$T$4:$AH$15,15,FALSE),0))=0,120,IFERROR(VLOOKUP(C161,Monsters!$T$4:$AH$15,15,FALSE),0))),"Can't — need "&amp;TEXT(IF((IFERROR(VLOOKUP(C161,Monsters!$T$4:$AH$15,15,FALSE),0))=0,120,IFERROR(VLOOKUP(C161,Monsters!$T$4:$AH$15,15,FALSE),0))-I160,"0.0")&amp;" more Slayer points on the meter",IF(AND(B161="Hire hunter",C161="Briar",AD160&gt;=1),"Can't — already hired",IF(AND(B161="Hire hunter",H160&lt;IF(C161="Briar",140,IF(C161="Quill",3650,IF(C161="Moss",4850,IF(C161="Ember",12200,0))))),"Can't — need "&amp;TEXT(IF(C161="Briar",140,IF(C161="Quill",3650,IF(C161="Moss",4850,IF(C161="Ember",12200,0))))-H160,"0")&amp;" more gold",IF(AND(OR(B161="Buy upgrade",B161="Forge/Scrapwork buy"),IFERROR(VLOOKUP(C161,Upgrades!$N$4:$T$47,2,FALSE),0)="points"),"Can't — Sp-wallet spends not tracked here",IF(AND(OR(B161="Buy upgrade",B161="Forge/Scrapwork buy"),IFERROR(VLOOKUP(C161,Upgrades!$N$4:$T$47,2,FALSE),0)="gold",H160&lt;IFERROR(FLOOR(IFERROR(VLOOKUP(C161,Upgrades!$N$4:$T$47,3,FALSE),0)*(IFERROR(VLOOKUP(C161,Upgrades!$N$4:$T$47,4,FALSE),0)^(COUNTIFS($B$3:$B160,"Buy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buy",$C$3:$C160,C161))),1),0)),"Can't — need "&amp;TEXT(IFERROR(FLOOR(IFERROR(VLOOKUP(C161,Upgrades!$N$4:$T$47,3,FALSE),0)*(IFERROR(VLOOKUP(C161,Upgrades!$N$4:$T$47,4,FALSE),0)^(COUNTIFS($B$3:$B160,"Buy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buy",$C$3:$C160,C161))),1),0)-H160,"0")&amp;" more gold",IF(AND(OR(B161="Buy upgrade",B161="Forge/Scrapwork buy"),IFERROR(VLOOKUP(C161,Upgrades!$N$4:$T$47,2,FALSE),0)="scraps",J160&lt;IFERROR(FLOOR(IFERROR(VLOOKUP(C161,Upgrades!$N$4:$T$47,3,FALSE),0)*(IFERROR(VLOOKUP(C161,Upgrades!$N$4:$T$47,4,FALSE),0)^(COUNTIFS($B$3:$B160,"Buy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buy",$C$3:$C160,C161))),1),0)),"Can't — need "&amp;TEXT(IFERROR(FLOOR(IFERROR(VLOOKUP(C161,Upgrades!$N$4:$T$47,3,FALSE),0)*(IFERROR(VLOOKUP(C161,Upgrades!$N$4:$T$47,4,FALSE),0)^(COUNTIFS($B$3:$B160,"Buy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buy",$C$3:$C160,C161))),1),0)-J160,"0")&amp;" more scraps",IF(AND(B161="Fight boss",E161="OK",(IF((((105/'Rules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Formulas'!B12)),"WIN — boss down, next Level unlocks",IF(AND(B161="Fight boss",E161="OK"),"LOSE — TTK "&amp;TEXT(IF((((105/'Rules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Formulas'!B20*SQRT(1+0.55*(AG160&gt;=1))),0)))),"0")&amp;"s &gt; patience "&amp;TEXT('Rules &amp; Formulas'!B12,"0")&amp;"s (leave resets HP)",IF(B161="Go AFK","AFK resolved (see AFK counted h)","Applied")))))))))</f>
        <v/>
      </c>
      <c r="G161" s="7">
        <f>IF(AND((E161="OK"),B161="Fight boss",(IF((((105/'Rules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Formulas'!B12),C161="Elder Thornpelt"),2,IF(AND((E161="OK"),B161="Fight boss",(IF((((105/'Rules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Formulas'!B12),C161="Ashfang Alpha"),3,G160))</f>
        <v/>
      </c>
      <c r="H161" s="7">
        <f>MAX(0,H160+IF(AND((E161="OK"),B161="Hunt"),(IF(B161="Hunt",(('Rules &amp; Formulas'!B4*N160*('Rules &amp; Formulas'!B5+O160)*IFERROR(VLOOKUP(C161,Monsters!$T$4:$AH$15,10,FALSE),0)*IFERROR(VLOOKUP(C161,Monsters!$T$4:$AH$15,9,FALSE),0))*'Rules &amp; Formulas'!B6)*IF(D161="",0,D161),0))*(IFERROR(VLOOKUP(C161,Monsters!$T$4:$AH$15,3,FALSE),0))*(1+0.1*AH160)+(IF(OR(B161&lt;&gt;"Hunt",IFERROR(VLOOKUP(C161,Monsters!$T$4:$AH$15,6,FALSE),0)=0),0,FLOOR((IF(B161="Hunt",(('Rules &amp; Formulas'!B4*N160*('Rules &amp; Formulas'!B5+O160)*IFERROR(VLOOKUP(C161,Monsters!$T$4:$AH$15,10,FALSE),0)*IFERROR(VLOOKUP(C161,Monsters!$T$4:$AH$15,9,FALSE),0))*'Rules &amp; Formulas'!B6)*IF(D161="",0,D161),0))/MAX(1,IFERROR(VLOOKUP(C161,Monsters!$T$4:$AH$15,6,FALSE),0)),1)))*(IFERROR(VLOOKUP(C161,Monsters!$T$4:$AH$15,7,FALSE),0))*0.5*(1+0.1*AH160),0)+IF(AND((E161="OK"),B161="Go AFK"),(IF(B161="Go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AFK",IF(D161="",0,D161),0),Z160/60)*60)),0))*(IFERROR(VLOOKUP(C161,Monsters!$T$4:$AH$15,3,FALSE),0))*(1+0.1*AH160)+(IF(OR(B161&lt;&gt;"Go AFK",IFERROR(VLOOKUP(C161,Monsters!$T$4:$AH$15,6,FALSE),0)=0),0,FLOOR((IF(B161="Go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AFK",IF(D161="",0,D161),0),Z160/60)*60)),0))/MAX(1,IFERROR(VLOOKUP(C161,Monsters!$T$4:$AH$15,6,FALSE),0)),1)))*(IFERROR(VLOOKUP(C161,Monsters!$T$4:$AH$15,7,FALSE),0))*0.5*(1+0.1*AH160),0)+IF(AND((E161="OK"),B161="Fight boss",(IF((((105/'Rules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Formulas'!B12)),IFERROR(VLOOKUP(C161,Monsters!$T$4:$AH$15,3,FALSE),0),0)-IF(AND((E161="OK"),OR(B161="Buy upgrade",B161="Forge/Scrapwork buy"),IFERROR(VLOOKUP(C161,Upgrades!$N$4:$T$47,2,FALSE),0)="gold"),IFERROR(FLOOR(IFERROR(VLOOKUP(C161,Upgrades!$N$4:$T$47,3,FALSE),0)*(IFERROR(VLOOKUP(C161,Upgrades!$N$4:$T$47,4,FALSE),0)^(COUNTIFS($B$3:$B160,"Buy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buy",$C$3:$C160,C161))),1),0),0)-IF(AND((E161="OK"),B161="Hire hunter"),IF(C161="Briar",140,IF(C161="Quill",3650,IF(C161="Moss",4850,IF(C161="Ember",12200,0)))),0))</f>
        <v/>
      </c>
      <c r="I161" s="7">
        <f>IF(AND((E161="OK"),B161="Fight boss",(IF((((105/'Rules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Formulas'!B12)),0,MIN(IF(G160&lt;=1,120,IF(G160=2,280,600)),I160+IF(AND((E161="OK"),B161="Hunt"),((IF(B161="Hunt",(('Rules &amp; Formulas'!B4*N160*('Rules &amp; Formulas'!B5+O160)*IFERROR(VLOOKUP(C161,Monsters!$T$4:$AH$15,10,FALSE),0)*IFERROR(VLOOKUP(C161,Monsters!$T$4:$AH$15,9,FALSE),0))*'Rules &amp; Formulas'!B6)*IF(D161="",0,D161),0))*(IFERROR(VLOOKUP(C161,Monsters!$T$4:$AH$15,4,FALSE),0))+(IF(OR(B161&lt;&gt;"Hunt",IFERROR(VLOOKUP(C161,Monsters!$T$4:$AH$15,6,FALSE),0)=0),0,FLOOR((IF(B161="Hunt",(('Rules &amp; Formulas'!B4*N160*('Rules &amp; Formulas'!B5+O160)*IFERROR(VLOOKUP(C161,Monsters!$T$4:$AH$15,10,FALSE),0)*IFERROR(VLOOKUP(C161,Monsters!$T$4:$AH$15,9,FALSE),0))*'Rules &amp; Formulas'!B6)*IF(D161="",0,D161),0))/MAX(1,IFERROR(VLOOKUP(C161,Monsters!$T$4:$AH$15,6,FALSE),0)),1)))*(IFERROR(VLOOKUP(C161,Monsters!$T$4:$AH$15,7,FALSE),0))),0)+IF(AND((E161="OK"),B161="Go AFK"),((IF(B161="Go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AFK",IF(D161="",0,D161),0),Z160/60)*60)),0))*(IFERROR(VLOOKUP(C161,Monsters!$T$4:$AH$15,4,FALSE),0))+(IF(OR(B161&lt;&gt;"Go AFK",IFERROR(VLOOKUP(C161,Monsters!$T$4:$AH$15,6,FALSE),0)=0),0,FLOOR((IF(B161="Go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AFK",IF(D161="",0,D161),0),Z160/60)*60)),0))/MAX(1,IFERROR(VLOOKUP(C161,Monsters!$T$4:$AH$15,6,FALSE),0)),1)))*(IFERROR(VLOOKUP(C161,Monsters!$T$4:$AH$15,7,FALSE),0))),0)))</f>
        <v/>
      </c>
      <c r="J161" s="7">
        <f>MAX(0,J160+IF(AND((E161="OK"),B161="Hunt"),(IF(B161="Hunt",(('Rules &amp; Formulas'!B4*N160*('Rules &amp; Formulas'!B5+O160)*IFERROR(VLOOKUP(C161,Monsters!$T$4:$AH$15,10,FALSE),0)*IFERROR(VLOOKUP(C161,Monsters!$T$4:$AH$15,9,FALSE),0))*'Rules &amp; Formulas'!B6)*IF(D161="",0,D161),0))*(IFERROR(VLOOKUP(C161,Monsters!$T$4:$AH$15,5,FALSE),0)),0)+IF(AND((E161="OK"),B161="Go AFK"),(IF(B161="Go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AFK",IF(D161="",0,D161),0),Z160/60)*60)),0))*(IFERROR(VLOOKUP(C161,Monsters!$T$4:$AH$15,5,FALSE),0)),0)-IF(AND((E161="OK"),OR(B161="Buy upgrade",B161="Forge/Scrapwork buy"),IFERROR(VLOOKUP(C161,Upgrades!$N$4:$T$47,2,FALSE),0)="scraps"),IFERROR(FLOOR(IFERROR(VLOOKUP(C161,Upgrades!$N$4:$T$47,3,FALSE),0)*(IFERROR(VLOOKUP(C161,Upgrades!$N$4:$T$47,4,FALSE),0)^(COUNTIFS($B$3:$B160,"Buy upgrade",$C$3:$C160,C161)+COUNTIFS($B$3:$B160,"Hire hunter",$C$3:$C160,C161)+COUNTIFS($B$3:$B160,"Forge/Scrapwork buy",$C$3:$C160,C161))),1),0),0))</f>
        <v/>
      </c>
      <c r="K161" s="7">
        <f>MAX(0,K160+IF(AND((E161="OK"),B161="Hunt"),IF(C161="Thornpelt Bear",(IF(B161="Hunt",(('Rules &amp; Formulas'!B4*N160*('Rules &amp; Formulas'!B5+O160)*IFERROR(VLOOKUP(C161,Monsters!$T$4:$AH$15,10,FALSE),0)*IFERROR(VLOOKUP(C161,Monsters!$T$4:$AH$15,9,FALSE),0))*'Rules &amp; Formulas'!B6)*IF(D161="",0,D161),0))*0.12,0),0)+IF(AND((E161="OK"),B161="Go AFK"),IF(C161="Thornpelt Bear",(IF(B161="Go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AFK",IF(D161="",0,D161),0),Z160/60)*60)),0))*0.12,0),0))</f>
        <v/>
      </c>
      <c r="L161" s="7">
        <f>MAX(0,L160+IF(AND((E161="OK"),B161="Hunt"),IF(C161="Dire Thornpelt",(IF(B161="Hunt",(('Rules &amp; Formulas'!B4*N160*('Rules &amp; Formulas'!B5+O160)*IFERROR(VLOOKUP(C161,Monsters!$T$4:$AH$15,10,FALSE),0)*IFERROR(VLOOKUP(C161,Monsters!$T$4:$AH$15,9,FALSE),0))*'Rules &amp; Formulas'!B6)*IF(D161="",0,D161),0))*0.1,0),0)+IF(AND((E161="OK"),B161="Go AFK"),IF(C161="Dire Thornpelt",(IF(B161="Go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AFK",IF(D161="",0,D161),0),Z160/60)*60)),0))*0.1,0),0))</f>
        <v/>
      </c>
      <c r="M161" s="7">
        <f>IF(AND((E161="OK"),B161="Go AFK"),MAX(0,MIN(('Rules &amp; Formulas'!B15+25*AJ160),M160+('Rules &amp; Formulas'!B14+0.4*AJ160)*(MIN(IF(B161="Go AFK",IF(D161="",0,D161),0),Z160/60)*60))-(IF(B161="Go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AFK",IF(D161="",0,D161),0),Z160/60)*60)),0))*(IF((IFERROR(VLOOKUP(C161,Monsters!$T$4:$AH$15,8,FALSE),0))=0,0.35,IFERROR(VLOOKUP(C161,Monsters!$T$4:$AH$15,8,FALSE),0))/(1+0.08*AK160))),MIN(('Rules &amp; Formulas'!B15+25*AJ161),M160))</f>
        <v/>
      </c>
      <c r="N161" s="7">
        <f>(1+0.08+0.12*AA161+0.12*AB161+0.16*AC161)</f>
        <v/>
      </c>
      <c r="O161" s="7">
        <f>((AD161&gt;=1)*1*(1+0.3*AE161))</f>
        <v/>
      </c>
      <c r="P161" s="7">
        <f>IF(OR(B161="Hunt",B161="Go AFK"),(('Rules &amp; Formulas'!B4*N160*('Rules &amp; Formulas'!B5+O160)*IFERROR(VLOOKUP(C161,Monsters!$T$4:$AH$15,10,FALSE),0)*IFERROR(VLOOKUP(C161,Monsters!$T$4:$AH$15,9,FALSE),0))*'Rules &amp; Formulas'!B6),"")</f>
        <v/>
      </c>
      <c r="Q161" s="7">
        <f>IF(OR(B161="Hunt",B161="Go AFK"),('Rules &amp; Formulas'!B4*N160*('Rules &amp; Formulas'!B5+O160)*IFERROR(VLOOKUP(C161,Monsters!$T$4:$AH$15,10,FALSE),0)*IFERROR(VLOOKUP(C161,Monsters!$T$4:$AH$15,9,FALSE),0)),"")</f>
        <v/>
      </c>
      <c r="R161" s="7">
        <f>IF(AND((E161="OK"),B161="Hunt"),IF(B161="Hunt",(('Rules &amp; Formulas'!B4*N160*('Rules &amp; Formulas'!B5+O160)*IFERROR(VLOOKUP(C161,Monsters!$T$4:$AH$15,10,FALSE),0)*IFERROR(VLOOKUP(C161,Monsters!$T$4:$AH$15,9,FALSE),0))*'Rules &amp; Formulas'!B6)*IF(D161="",0,D161),0),IF(AND((E161="OK"),B161="Go AFK"),IF(B161="Go AFK",MIN(IF((IF((IFERROR(VLOOKUP(C161,Monsters!$T$4:$AH$15,8,FALSE),0))=0,0.35,IFERROR(VLOOKUP(C161,Monsters!$T$4:$AH$15,8,FALSE),0))/(1+0.08*AK160))&lt;=0,999999,FLOOR(MIN(('Rules &amp; Formulas'!B15+25*AJ160),M160+('Rules &amp; Formulas'!B14+0.4*AJ160)*(MIN(IF(B161="Go AFK",IF(D161="",0,D161),0),Z160/60)*60))/(IF((IFERROR(VLOOKUP(C161,Monsters!$T$4:$AH$15,8,FALSE),0))=0,0.35,IFERROR(VLOOKUP(C161,Monsters!$T$4:$AH$15,8,FALSE),0))/(1+0.08*AK160)),1)),('Rules &amp; Formulas'!B4*N160*('Rules &amp; Formulas'!B5+O160)*IFERROR(VLOOKUP(C161,Monsters!$T$4:$AH$15,10,FALSE),0)*IFERROR(VLOOKUP(C161,Monsters!$T$4:$AH$15,9,FALSE),0))*(MIN(IF(B161="Go AFK",IF(D161="",0,D161),0),Z160/60)*60)),0),0))</f>
        <v/>
      </c>
      <c r="S161" s="7">
        <f>(105/'Rules &amp; Formulas'!B10)*'Rules &amp; Formulas'!B11</f>
        <v/>
      </c>
      <c r="T161" s="7">
        <f>IF(AD160&gt;=1,(MAX(1,ROUND('Rules &amp; Formulas'!B18*(1+0.3*AE160)*(1+0.4*AF160),0)))*(1000/'Rules &amp; Formulas'!B19)*MIN(0.95,'Rules &amp; Formulas'!B20*SQRT(1+0.55*(AG160&gt;=1))),0)</f>
        <v/>
      </c>
      <c r="U161" s="7">
        <f>S161+T161</f>
        <v/>
      </c>
      <c r="V161" s="7">
        <f>IF(I160&gt;=IF((IFERROR(VLOOKUP(C161,Monsters!$T$4:$AH$15,15,FALSE),0))=0,120,IFERROR(VLOOKUP(C161,Monsters!$T$4:$AH$15,15,FALSE),0)),"YES","no")</f>
        <v/>
      </c>
      <c r="W161" s="7">
        <f>IF(AND(B161="Fight boss",E161="OK"),IF((((105/'Rules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Formulas'!B20*SQRT(1+0.55*(AG160&gt;=1))),0)))),"")</f>
        <v/>
      </c>
      <c r="X161" s="7">
        <f>IF(AND(B161="Fight boss",E161="OK"),IF((IF((((105/'Rules &amp; Formulas'!B10)*'Rules &amp; Formulas'!B11+IF(AD160&gt;=1,(MAX(1,ROUND('Rules &amp; Formulas'!B18*(1+0.3*AE160)*(1+0.4*AF160),0)))*(1000/'Rules &amp; Formulas'!B19)*MIN(0.95,'Rules &amp; Formulas'!B20*SQRT(1+0.55*(AG160&gt;=1))),0)))&lt;=0,9999,(IFERROR(VLOOKUP(C161,Monsters!$T$4:$AH$15,2,FALSE),0))/(((105/'Rules &amp; Formulas'!B10)*'Rules &amp; Formulas'!B11+IF(AD160&gt;=1,(MAX(1,ROUND('Rules &amp; Formulas'!B18*(1+0.3*AE160)*(1+0.4*AF160),0)))*(1000/'Rules &amp; Formulas'!B19)*MIN(0.95,'Rules &amp; Formulas'!B20*SQRT(1+0.55*(AG160&gt;=1))),0))))&lt;='Rules &amp; Formulas'!B12),"WIN","LOSE"),"")</f>
        <v/>
      </c>
      <c r="Y161" s="7">
        <f>IF(B161="Go AFK",MIN(IF(B161="Go AFK",IF(D161="",0,D161),0),Z160/60),"")</f>
        <v/>
      </c>
      <c r="Z161" s="7">
        <f>('Rules &amp; Formulas'!B13+30*AI161)</f>
        <v/>
      </c>
      <c r="AA161">
        <f>COUNTIFS($B$3:$B161,"Buy upgrade",$C$3:$C161,"Idle Power")</f>
        <v/>
      </c>
      <c r="AB161">
        <f>COUNTIFS($B$3:$B161,"Buy upgrade",$C$3:$C161,"Iron Blade")</f>
        <v/>
      </c>
      <c r="AC161">
        <f>COUNTIFS($B$3:$B161,"Buy upgrade",$C$3:$C161,"Steel Blade")</f>
        <v/>
      </c>
      <c r="AD161">
        <f>COUNTIFS($B$3:$B161,"Hire hunter",$C$3:$C161,"Briar")+COUNTIFS($B$3:$B161,"Buy upgrade",$C$3:$C161,"Hire Briar")</f>
        <v/>
      </c>
      <c r="AE161">
        <f>COUNTIFS($B$3:$B161,"Buy upgrade",$C$3:$C161,"Hunter Power")</f>
        <v/>
      </c>
      <c r="AF161">
        <f>COUNTIFS($B$3:$B161,"Buy upgrade",$C$3:$C161,"Bigger Hits")</f>
        <v/>
      </c>
      <c r="AG161">
        <f>COUNTIFS($B$3:$B161,"Buy upgrade",$C$3:$C161,"Swift Walk")</f>
        <v/>
      </c>
      <c r="AH161">
        <f>COUNTIFS($B$3:$B161,"Buy upgrade",$C$3:$C161,"Loot Luck")</f>
        <v/>
      </c>
      <c r="AI161">
        <f>COUNTIFS($B$3:$B161,"Buy upgrade",$C$3:$C161,"Offline Cap")</f>
        <v/>
      </c>
      <c r="AJ161">
        <f>COUNTIFS($B$3:$B161,"Buy upgrade",$C$3:$C161,"Bigger Food Stock")</f>
        <v/>
      </c>
      <c r="AK161">
        <f>COUNTIFS($B$3:$B161,"Buy upgrade",$C$3:$C161,"Food Efficiency")</f>
        <v/>
      </c>
    </row>
    <row r="162">
      <c r="A162" t="n">
        <v>160</v>
      </c>
      <c r="B162" s="6" t="n"/>
      <c r="C162" s="6" t="n"/>
      <c r="D162" s="6" t="n"/>
      <c r="E162" s="7">
        <f>IF(B162="","",IF(OR(B162="Hunt",B162="Go AFK"),IF(C162="","Can't","OK"),IF(B162="Fight boss",IF(I161&lt;IF((IFERROR(VLOOKUP(C162,Monsters!$T$4:$AH$15,15,FALSE),0))=0,120,IFERROR(VLOOKUP(C162,Monsters!$T$4:$AH$15,15,FALSE),0)),"Can't","OK"),IF(B162="Hire hunter",IF(AND(C162="Briar",AD161&gt;=1),"Can't",IF(H161&lt;IF(C162="Briar",140,IF(C162="Quill",3650,IF(C162="Moss",4850,IF(C162="Ember",12200,0)))),"Can't","OK")),IF(OR(B162="Buy upgrade",B162="Forge/Scrapwork buy"),IF(IFERROR(VLOOKUP(C162,Upgrades!$N$4:$T$47,2,FALSE),0)="points","Can't",IF(IFERROR(VLOOKUP(C162,Upgrades!$N$4:$T$47,2,FALSE),0)="gold",IF(H161&lt;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buy",$C$3:$C161,C162))),1),0),"Can't","OK"),IF(IFERROR(VLOOKUP(C162,Upgrades!$N$4:$T$47,2,FALSE),0)="scraps",IF(J161&lt;IFERROR(FLOOR(IFERROR(VLOOKUP(C162,Upgrades!$N$4:$T$47,3,FALSE),0)*(IFERROR(VLOOKUP(C162,Upgrades!$N$4:$T$47,4,FALSE),0)^(COUNTIFS($B$3:$B161,"Buy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buy",$C$3:$C161,C162))),1),0),"Can't","OK"),IF(IFERROR(VLOOKUP(C162,Upgrades!$N$4:$T$47,2,FALSE),0)="mats","Can't","OK")))),"Check")))))</f>
        <v/>
      </c>
      <c r="F162" s="7">
        <f>IF(B162="","",IF(AND(B162="Fight boss",I161&lt;IF((IFERROR(VLOOKUP(C162,Monsters!$T$4:$AH$15,15,FALSE),0))=0,120,IFERROR(VLOOKUP(C162,Monsters!$T$4:$AH$15,15,FALSE),0))),"Can't — need "&amp;TEXT(IF((IFERROR(VLOOKUP(C162,Monsters!$T$4:$AH$15,15,FALSE),0))=0,120,IFERROR(VLOOKUP(C162,Monsters!$T$4:$AH$15,15,FALSE),0))-I161,"0.0")&amp;" more Slayer points on the meter",IF(AND(B162="Hire hunter",C162="Briar",AD161&gt;=1),"Can't — already hired",IF(AND(B162="Hire hunter",H161&lt;IF(C162="Briar",140,IF(C162="Quill",3650,IF(C162="Moss",4850,IF(C162="Ember",12200,0))))),"Can't — need "&amp;TEXT(IF(C162="Briar",140,IF(C162="Quill",3650,IF(C162="Moss",4850,IF(C162="Ember",12200,0))))-H161,"0")&amp;" more gold",IF(AND(OR(B162="Buy upgrade",B162="Forge/Scrapwork buy"),IFERROR(VLOOKUP(C162,Upgrades!$N$4:$T$47,2,FALSE),0)="points"),"Can't — Sp-wallet spends not tracked here",IF(AND(OR(B162="Buy upgrade",B162="Forge/Scrapwork buy"),IFERROR(VLOOKUP(C162,Upgrades!$N$4:$T$47,2,FALSE),0)="gold",H161&lt;IFERROR(FLOOR(IFERROR(VLOOKUP(C162,Upgrades!$N$4:$T$47,3,FALSE),0)*(IFERROR(VLOOKUP(C162,Upgrades!$N$4:$T$47,4,FALSE),0)^(COUNTIFS($B$3:$B161,"Buy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buy",$C$3:$C161,C162))),1),0)),"Can't — need "&amp;TEXT(IFERROR(FLOOR(IFERROR(VLOOKUP(C162,Upgrades!$N$4:$T$47,3,FALSE),0)*(IFERROR(VLOOKUP(C162,Upgrades!$N$4:$T$47,4,FALSE),0)^(COUNTIFS($B$3:$B161,"Buy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buy",$C$3:$C161,C162))),1),0)-H161,"0")&amp;" more gold",IF(AND(OR(B162="Buy upgrade",B162="Forge/Scrapwork buy"),IFERROR(VLOOKUP(C162,Upgrades!$N$4:$T$47,2,FALSE),0)="scraps",J161&lt;IFERROR(FLOOR(IFERROR(VLOOKUP(C162,Upgrades!$N$4:$T$47,3,FALSE),0)*(IFERROR(VLOOKUP(C162,Upgrades!$N$4:$T$47,4,FALSE),0)^(COUNTIFS($B$3:$B161,"Buy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buy",$C$3:$C161,C162))),1),0)),"Can't — need "&amp;TEXT(IFERROR(FLOOR(IFERROR(VLOOKUP(C162,Upgrades!$N$4:$T$47,3,FALSE),0)*(IFERROR(VLOOKUP(C162,Upgrades!$N$4:$T$47,4,FALSE),0)^(COUNTIFS($B$3:$B161,"Buy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buy",$C$3:$C161,C162))),1),0)-J161,"0")&amp;" more scraps",IF(AND(B162="Fight boss",E162="OK",(IF((((105/'Rules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Formulas'!B12)),"WIN — boss down, next Level unlocks",IF(AND(B162="Fight boss",E162="OK"),"LOSE — TTK "&amp;TEXT(IF((((105/'Rules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Formulas'!B20*SQRT(1+0.55*(AG161&gt;=1))),0)))),"0")&amp;"s &gt; patience "&amp;TEXT('Rules &amp; Formulas'!B12,"0")&amp;"s (leave resets HP)",IF(B162="Go AFK","AFK resolved (see AFK counted h)","Applied")))))))))</f>
        <v/>
      </c>
      <c r="G162" s="7">
        <f>IF(AND((E162="OK"),B162="Fight boss",(IF((((105/'Rules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Formulas'!B12),C162="Elder Thornpelt"),2,IF(AND((E162="OK"),B162="Fight boss",(IF((((105/'Rules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Formulas'!B12),C162="Ashfang Alpha"),3,G161))</f>
        <v/>
      </c>
      <c r="H162" s="7">
        <f>MAX(0,H161+IF(AND((E162="OK"),B162="Hunt"),(IF(B162="Hunt",(('Rules &amp; Formulas'!B4*N161*('Rules &amp; Formulas'!B5+O161)*IFERROR(VLOOKUP(C162,Monsters!$T$4:$AH$15,10,FALSE),0)*IFERROR(VLOOKUP(C162,Monsters!$T$4:$AH$15,9,FALSE),0))*'Rules &amp; Formulas'!B6)*IF(D162="",0,D162),0))*(IFERROR(VLOOKUP(C162,Monsters!$T$4:$AH$15,3,FALSE),0))*(1+0.1*AH161)+(IF(OR(B162&lt;&gt;"Hunt",IFERROR(VLOOKUP(C162,Monsters!$T$4:$AH$15,6,FALSE),0)=0),0,FLOOR((IF(B162="Hunt",(('Rules &amp; Formulas'!B4*N161*('Rules &amp; Formulas'!B5+O161)*IFERROR(VLOOKUP(C162,Monsters!$T$4:$AH$15,10,FALSE),0)*IFERROR(VLOOKUP(C162,Monsters!$T$4:$AH$15,9,FALSE),0))*'Rules &amp; Formulas'!B6)*IF(D162="",0,D162),0))/MAX(1,IFERROR(VLOOKUP(C162,Monsters!$T$4:$AH$15,6,FALSE),0)),1)))*(IFERROR(VLOOKUP(C162,Monsters!$T$4:$AH$15,7,FALSE),0))*0.5*(1+0.1*AH161),0)+IF(AND((E162="OK"),B162="Go AFK"),(IF(B162="Go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AFK",IF(D162="",0,D162),0),Z161/60)*60)),0))*(IFERROR(VLOOKUP(C162,Monsters!$T$4:$AH$15,3,FALSE),0))*(1+0.1*AH161)+(IF(OR(B162&lt;&gt;"Go AFK",IFERROR(VLOOKUP(C162,Monsters!$T$4:$AH$15,6,FALSE),0)=0),0,FLOOR((IF(B162="Go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AFK",IF(D162="",0,D162),0),Z161/60)*60)),0))/MAX(1,IFERROR(VLOOKUP(C162,Monsters!$T$4:$AH$15,6,FALSE),0)),1)))*(IFERROR(VLOOKUP(C162,Monsters!$T$4:$AH$15,7,FALSE),0))*0.5*(1+0.1*AH161),0)+IF(AND((E162="OK"),B162="Fight boss",(IF((((105/'Rules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Formulas'!B12)),IFERROR(VLOOKUP(C162,Monsters!$T$4:$AH$15,3,FALSE),0),0)-IF(AND((E162="OK"),OR(B162="Buy upgrade",B162="Forge/Scrapwork buy"),IFERROR(VLOOKUP(C162,Upgrades!$N$4:$T$47,2,FALSE),0)="gold"),IFERROR(FLOOR(IFERROR(VLOOKUP(C162,Upgrades!$N$4:$T$47,3,FALSE),0)*(IFERROR(VLOOKUP(C162,Upgrades!$N$4:$T$47,4,FALSE),0)^(COUNTIFS($B$3:$B161,"Buy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buy",$C$3:$C161,C162))),1),0),0)-IF(AND((E162="OK"),B162="Hire hunter"),IF(C162="Briar",140,IF(C162="Quill",3650,IF(C162="Moss",4850,IF(C162="Ember",12200,0)))),0))</f>
        <v/>
      </c>
      <c r="I162" s="7">
        <f>IF(AND((E162="OK"),B162="Fight boss",(IF((((105/'Rules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Formulas'!B12)),0,MIN(IF(G161&lt;=1,120,IF(G161=2,280,600)),I161+IF(AND((E162="OK"),B162="Hunt"),((IF(B162="Hunt",(('Rules &amp; Formulas'!B4*N161*('Rules &amp; Formulas'!B5+O161)*IFERROR(VLOOKUP(C162,Monsters!$T$4:$AH$15,10,FALSE),0)*IFERROR(VLOOKUP(C162,Monsters!$T$4:$AH$15,9,FALSE),0))*'Rules &amp; Formulas'!B6)*IF(D162="",0,D162),0))*(IFERROR(VLOOKUP(C162,Monsters!$T$4:$AH$15,4,FALSE),0))+(IF(OR(B162&lt;&gt;"Hunt",IFERROR(VLOOKUP(C162,Monsters!$T$4:$AH$15,6,FALSE),0)=0),0,FLOOR((IF(B162="Hunt",(('Rules &amp; Formulas'!B4*N161*('Rules &amp; Formulas'!B5+O161)*IFERROR(VLOOKUP(C162,Monsters!$T$4:$AH$15,10,FALSE),0)*IFERROR(VLOOKUP(C162,Monsters!$T$4:$AH$15,9,FALSE),0))*'Rules &amp; Formulas'!B6)*IF(D162="",0,D162),0))/MAX(1,IFERROR(VLOOKUP(C162,Monsters!$T$4:$AH$15,6,FALSE),0)),1)))*(IFERROR(VLOOKUP(C162,Monsters!$T$4:$AH$15,7,FALSE),0))),0)+IF(AND((E162="OK"),B162="Go AFK"),((IF(B162="Go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AFK",IF(D162="",0,D162),0),Z161/60)*60)),0))*(IFERROR(VLOOKUP(C162,Monsters!$T$4:$AH$15,4,FALSE),0))+(IF(OR(B162&lt;&gt;"Go AFK",IFERROR(VLOOKUP(C162,Monsters!$T$4:$AH$15,6,FALSE),0)=0),0,FLOOR((IF(B162="Go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AFK",IF(D162="",0,D162),0),Z161/60)*60)),0))/MAX(1,IFERROR(VLOOKUP(C162,Monsters!$T$4:$AH$15,6,FALSE),0)),1)))*(IFERROR(VLOOKUP(C162,Monsters!$T$4:$AH$15,7,FALSE),0))),0)))</f>
        <v/>
      </c>
      <c r="J162" s="7">
        <f>MAX(0,J161+IF(AND((E162="OK"),B162="Hunt"),(IF(B162="Hunt",(('Rules &amp; Formulas'!B4*N161*('Rules &amp; Formulas'!B5+O161)*IFERROR(VLOOKUP(C162,Monsters!$T$4:$AH$15,10,FALSE),0)*IFERROR(VLOOKUP(C162,Monsters!$T$4:$AH$15,9,FALSE),0))*'Rules &amp; Formulas'!B6)*IF(D162="",0,D162),0))*(IFERROR(VLOOKUP(C162,Monsters!$T$4:$AH$15,5,FALSE),0)),0)+IF(AND((E162="OK"),B162="Go AFK"),(IF(B162="Go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AFK",IF(D162="",0,D162),0),Z161/60)*60)),0))*(IFERROR(VLOOKUP(C162,Monsters!$T$4:$AH$15,5,FALSE),0)),0)-IF(AND((E162="OK"),OR(B162="Buy upgrade",B162="Forge/Scrapwork buy"),IFERROR(VLOOKUP(C162,Upgrades!$N$4:$T$47,2,FALSE),0)="scraps"),IFERROR(FLOOR(IFERROR(VLOOKUP(C162,Upgrades!$N$4:$T$47,3,FALSE),0)*(IFERROR(VLOOKUP(C162,Upgrades!$N$4:$T$47,4,FALSE),0)^(COUNTIFS($B$3:$B161,"Buy upgrade",$C$3:$C161,C162)+COUNTIFS($B$3:$B161,"Hire hunter",$C$3:$C161,C162)+COUNTIFS($B$3:$B161,"Forge/Scrapwork buy",$C$3:$C161,C162))),1),0),0))</f>
        <v/>
      </c>
      <c r="K162" s="7">
        <f>MAX(0,K161+IF(AND((E162="OK"),B162="Hunt"),IF(C162="Thornpelt Bear",(IF(B162="Hunt",(('Rules &amp; Formulas'!B4*N161*('Rules &amp; Formulas'!B5+O161)*IFERROR(VLOOKUP(C162,Monsters!$T$4:$AH$15,10,FALSE),0)*IFERROR(VLOOKUP(C162,Monsters!$T$4:$AH$15,9,FALSE),0))*'Rules &amp; Formulas'!B6)*IF(D162="",0,D162),0))*0.12,0),0)+IF(AND((E162="OK"),B162="Go AFK"),IF(C162="Thornpelt Bear",(IF(B162="Go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AFK",IF(D162="",0,D162),0),Z161/60)*60)),0))*0.12,0),0))</f>
        <v/>
      </c>
      <c r="L162" s="7">
        <f>MAX(0,L161+IF(AND((E162="OK"),B162="Hunt"),IF(C162="Dire Thornpelt",(IF(B162="Hunt",(('Rules &amp; Formulas'!B4*N161*('Rules &amp; Formulas'!B5+O161)*IFERROR(VLOOKUP(C162,Monsters!$T$4:$AH$15,10,FALSE),0)*IFERROR(VLOOKUP(C162,Monsters!$T$4:$AH$15,9,FALSE),0))*'Rules &amp; Formulas'!B6)*IF(D162="",0,D162),0))*0.1,0),0)+IF(AND((E162="OK"),B162="Go AFK"),IF(C162="Dire Thornpelt",(IF(B162="Go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AFK",IF(D162="",0,D162),0),Z161/60)*60)),0))*0.1,0),0))</f>
        <v/>
      </c>
      <c r="M162" s="7">
        <f>IF(AND((E162="OK"),B162="Go AFK"),MAX(0,MIN(('Rules &amp; Formulas'!B15+25*AJ161),M161+('Rules &amp; Formulas'!B14+0.4*AJ161)*(MIN(IF(B162="Go AFK",IF(D162="",0,D162),0),Z161/60)*60))-(IF(B162="Go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AFK",IF(D162="",0,D162),0),Z161/60)*60)),0))*(IF((IFERROR(VLOOKUP(C162,Monsters!$T$4:$AH$15,8,FALSE),0))=0,0.35,IFERROR(VLOOKUP(C162,Monsters!$T$4:$AH$15,8,FALSE),0))/(1+0.08*AK161))),MIN(('Rules &amp; Formulas'!B15+25*AJ162),M161))</f>
        <v/>
      </c>
      <c r="N162" s="7">
        <f>(1+0.08+0.12*AA162+0.12*AB162+0.16*AC162)</f>
        <v/>
      </c>
      <c r="O162" s="7">
        <f>((AD162&gt;=1)*1*(1+0.3*AE162))</f>
        <v/>
      </c>
      <c r="P162" s="7">
        <f>IF(OR(B162="Hunt",B162="Go AFK"),(('Rules &amp; Formulas'!B4*N161*('Rules &amp; Formulas'!B5+O161)*IFERROR(VLOOKUP(C162,Monsters!$T$4:$AH$15,10,FALSE),0)*IFERROR(VLOOKUP(C162,Monsters!$T$4:$AH$15,9,FALSE),0))*'Rules &amp; Formulas'!B6),"")</f>
        <v/>
      </c>
      <c r="Q162" s="7">
        <f>IF(OR(B162="Hunt",B162="Go AFK"),('Rules &amp; Formulas'!B4*N161*('Rules &amp; Formulas'!B5+O161)*IFERROR(VLOOKUP(C162,Monsters!$T$4:$AH$15,10,FALSE),0)*IFERROR(VLOOKUP(C162,Monsters!$T$4:$AH$15,9,FALSE),0)),"")</f>
        <v/>
      </c>
      <c r="R162" s="7">
        <f>IF(AND((E162="OK"),B162="Hunt"),IF(B162="Hunt",(('Rules &amp; Formulas'!B4*N161*('Rules &amp; Formulas'!B5+O161)*IFERROR(VLOOKUP(C162,Monsters!$T$4:$AH$15,10,FALSE),0)*IFERROR(VLOOKUP(C162,Monsters!$T$4:$AH$15,9,FALSE),0))*'Rules &amp; Formulas'!B6)*IF(D162="",0,D162),0),IF(AND((E162="OK"),B162="Go AFK"),IF(B162="Go AFK",MIN(IF((IF((IFERROR(VLOOKUP(C162,Monsters!$T$4:$AH$15,8,FALSE),0))=0,0.35,IFERROR(VLOOKUP(C162,Monsters!$T$4:$AH$15,8,FALSE),0))/(1+0.08*AK161))&lt;=0,999999,FLOOR(MIN(('Rules &amp; Formulas'!B15+25*AJ161),M161+('Rules &amp; Formulas'!B14+0.4*AJ161)*(MIN(IF(B162="Go AFK",IF(D162="",0,D162),0),Z161/60)*60))/(IF((IFERROR(VLOOKUP(C162,Monsters!$T$4:$AH$15,8,FALSE),0))=0,0.35,IFERROR(VLOOKUP(C162,Monsters!$T$4:$AH$15,8,FALSE),0))/(1+0.08*AK161)),1)),('Rules &amp; Formulas'!B4*N161*('Rules &amp; Formulas'!B5+O161)*IFERROR(VLOOKUP(C162,Monsters!$T$4:$AH$15,10,FALSE),0)*IFERROR(VLOOKUP(C162,Monsters!$T$4:$AH$15,9,FALSE),0))*(MIN(IF(B162="Go AFK",IF(D162="",0,D162),0),Z161/60)*60)),0),0))</f>
        <v/>
      </c>
      <c r="S162" s="7">
        <f>(105/'Rules &amp; Formulas'!B10)*'Rules &amp; Formulas'!B11</f>
        <v/>
      </c>
      <c r="T162" s="7">
        <f>IF(AD161&gt;=1,(MAX(1,ROUND('Rules &amp; Formulas'!B18*(1+0.3*AE161)*(1+0.4*AF161),0)))*(1000/'Rules &amp; Formulas'!B19)*MIN(0.95,'Rules &amp; Formulas'!B20*SQRT(1+0.55*(AG161&gt;=1))),0)</f>
        <v/>
      </c>
      <c r="U162" s="7">
        <f>S162+T162</f>
        <v/>
      </c>
      <c r="V162" s="7">
        <f>IF(I161&gt;=IF((IFERROR(VLOOKUP(C162,Monsters!$T$4:$AH$15,15,FALSE),0))=0,120,IFERROR(VLOOKUP(C162,Monsters!$T$4:$AH$15,15,FALSE),0)),"YES","no")</f>
        <v/>
      </c>
      <c r="W162" s="7">
        <f>IF(AND(B162="Fight boss",E162="OK"),IF((((105/'Rules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Formulas'!B20*SQRT(1+0.55*(AG161&gt;=1))),0)))),"")</f>
        <v/>
      </c>
      <c r="X162" s="7">
        <f>IF(AND(B162="Fight boss",E162="OK"),IF((IF((((105/'Rules &amp; Formulas'!B10)*'Rules &amp; Formulas'!B11+IF(AD161&gt;=1,(MAX(1,ROUND('Rules &amp; Formulas'!B18*(1+0.3*AE161)*(1+0.4*AF161),0)))*(1000/'Rules &amp; Formulas'!B19)*MIN(0.95,'Rules &amp; Formulas'!B20*SQRT(1+0.55*(AG161&gt;=1))),0)))&lt;=0,9999,(IFERROR(VLOOKUP(C162,Monsters!$T$4:$AH$15,2,FALSE),0))/(((105/'Rules &amp; Formulas'!B10)*'Rules &amp; Formulas'!B11+IF(AD161&gt;=1,(MAX(1,ROUND('Rules &amp; Formulas'!B18*(1+0.3*AE161)*(1+0.4*AF161),0)))*(1000/'Rules &amp; Formulas'!B19)*MIN(0.95,'Rules &amp; Formulas'!B20*SQRT(1+0.55*(AG161&gt;=1))),0))))&lt;='Rules &amp; Formulas'!B12),"WIN","LOSE"),"")</f>
        <v/>
      </c>
      <c r="Y162" s="7">
        <f>IF(B162="Go AFK",MIN(IF(B162="Go AFK",IF(D162="",0,D162),0),Z161/60),"")</f>
        <v/>
      </c>
      <c r="Z162" s="7">
        <f>('Rules &amp; Formulas'!B13+30*AI162)</f>
        <v/>
      </c>
      <c r="AA162">
        <f>COUNTIFS($B$3:$B162,"Buy upgrade",$C$3:$C162,"Idle Power")</f>
        <v/>
      </c>
      <c r="AB162">
        <f>COUNTIFS($B$3:$B162,"Buy upgrade",$C$3:$C162,"Iron Blade")</f>
        <v/>
      </c>
      <c r="AC162">
        <f>COUNTIFS($B$3:$B162,"Buy upgrade",$C$3:$C162,"Steel Blade")</f>
        <v/>
      </c>
      <c r="AD162">
        <f>COUNTIFS($B$3:$B162,"Hire hunter",$C$3:$C162,"Briar")+COUNTIFS($B$3:$B162,"Buy upgrade",$C$3:$C162,"Hire Briar")</f>
        <v/>
      </c>
      <c r="AE162">
        <f>COUNTIFS($B$3:$B162,"Buy upgrade",$C$3:$C162,"Hunter Power")</f>
        <v/>
      </c>
      <c r="AF162">
        <f>COUNTIFS($B$3:$B162,"Buy upgrade",$C$3:$C162,"Bigger Hits")</f>
        <v/>
      </c>
      <c r="AG162">
        <f>COUNTIFS($B$3:$B162,"Buy upgrade",$C$3:$C162,"Swift Walk")</f>
        <v/>
      </c>
      <c r="AH162">
        <f>COUNTIFS($B$3:$B162,"Buy upgrade",$C$3:$C162,"Loot Luck")</f>
        <v/>
      </c>
      <c r="AI162">
        <f>COUNTIFS($B$3:$B162,"Buy upgrade",$C$3:$C162,"Offline Cap")</f>
        <v/>
      </c>
      <c r="AJ162">
        <f>COUNTIFS($B$3:$B162,"Buy upgrade",$C$3:$C162,"Bigger Food Stock")</f>
        <v/>
      </c>
      <c r="AK162">
        <f>COUNTIFS($B$3:$B162,"Buy upgrade",$C$3:$C162,"Food Efficiency")</f>
        <v/>
      </c>
    </row>
    <row r="163">
      <c r="A163" t="n">
        <v>161</v>
      </c>
      <c r="B163" s="6" t="n"/>
      <c r="C163" s="6" t="n"/>
      <c r="D163" s="6" t="n"/>
      <c r="E163" s="7">
        <f>IF(B163="","",IF(OR(B163="Hunt",B163="Go AFK"),IF(C163="","Can't","OK"),IF(B163="Fight boss",IF(I162&lt;IF((IFERROR(VLOOKUP(C163,Monsters!$T$4:$AH$15,15,FALSE),0))=0,120,IFERROR(VLOOKUP(C163,Monsters!$T$4:$AH$15,15,FALSE),0)),"Can't","OK"),IF(B163="Hire hunter",IF(AND(C163="Briar",AD162&gt;=1),"Can't",IF(H162&lt;IF(C163="Briar",140,IF(C163="Quill",3650,IF(C163="Moss",4850,IF(C163="Ember",12200,0)))),"Can't","OK")),IF(OR(B163="Buy upgrade",B163="Forge/Scrapwork buy"),IF(IFERROR(VLOOKUP(C163,Upgrades!$N$4:$T$47,2,FALSE),0)="points","Can't",IF(IFERROR(VLOOKUP(C163,Upgrades!$N$4:$T$47,2,FALSE),0)="gold",IF(H162&lt;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buy",$C$3:$C162,C163))),1),0),"Can't","OK"),IF(IFERROR(VLOOKUP(C163,Upgrades!$N$4:$T$47,2,FALSE),0)="scraps",IF(J162&lt;IFERROR(FLOOR(IFERROR(VLOOKUP(C163,Upgrades!$N$4:$T$47,3,FALSE),0)*(IFERROR(VLOOKUP(C163,Upgrades!$N$4:$T$47,4,FALSE),0)^(COUNTIFS($B$3:$B162,"Buy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buy",$C$3:$C162,C163))),1),0),"Can't","OK"),IF(IFERROR(VLOOKUP(C163,Upgrades!$N$4:$T$47,2,FALSE),0)="mats","Can't","OK")))),"Check")))))</f>
        <v/>
      </c>
      <c r="F163" s="7">
        <f>IF(B163="","",IF(AND(B163="Fight boss",I162&lt;IF((IFERROR(VLOOKUP(C163,Monsters!$T$4:$AH$15,15,FALSE),0))=0,120,IFERROR(VLOOKUP(C163,Monsters!$T$4:$AH$15,15,FALSE),0))),"Can't — need "&amp;TEXT(IF((IFERROR(VLOOKUP(C163,Monsters!$T$4:$AH$15,15,FALSE),0))=0,120,IFERROR(VLOOKUP(C163,Monsters!$T$4:$AH$15,15,FALSE),0))-I162,"0.0")&amp;" more Slayer points on the meter",IF(AND(B163="Hire hunter",C163="Briar",AD162&gt;=1),"Can't — already hired",IF(AND(B163="Hire hunter",H162&lt;IF(C163="Briar",140,IF(C163="Quill",3650,IF(C163="Moss",4850,IF(C163="Ember",12200,0))))),"Can't — need "&amp;TEXT(IF(C163="Briar",140,IF(C163="Quill",3650,IF(C163="Moss",4850,IF(C163="Ember",12200,0))))-H162,"0")&amp;" more gold",IF(AND(OR(B163="Buy upgrade",B163="Forge/Scrapwork buy"),IFERROR(VLOOKUP(C163,Upgrades!$N$4:$T$47,2,FALSE),0)="points"),"Can't — Sp-wallet spends not tracked here",IF(AND(OR(B163="Buy upgrade",B163="Forge/Scrapwork buy"),IFERROR(VLOOKUP(C163,Upgrades!$N$4:$T$47,2,FALSE),0)="gold",H162&lt;IFERROR(FLOOR(IFERROR(VLOOKUP(C163,Upgrades!$N$4:$T$47,3,FALSE),0)*(IFERROR(VLOOKUP(C163,Upgrades!$N$4:$T$47,4,FALSE),0)^(COUNTIFS($B$3:$B162,"Buy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buy",$C$3:$C162,C163))),1),0)),"Can't — need "&amp;TEXT(IFERROR(FLOOR(IFERROR(VLOOKUP(C163,Upgrades!$N$4:$T$47,3,FALSE),0)*(IFERROR(VLOOKUP(C163,Upgrades!$N$4:$T$47,4,FALSE),0)^(COUNTIFS($B$3:$B162,"Buy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buy",$C$3:$C162,C163))),1),0)-H162,"0")&amp;" more gold",IF(AND(OR(B163="Buy upgrade",B163="Forge/Scrapwork buy"),IFERROR(VLOOKUP(C163,Upgrades!$N$4:$T$47,2,FALSE),0)="scraps",J162&lt;IFERROR(FLOOR(IFERROR(VLOOKUP(C163,Upgrades!$N$4:$T$47,3,FALSE),0)*(IFERROR(VLOOKUP(C163,Upgrades!$N$4:$T$47,4,FALSE),0)^(COUNTIFS($B$3:$B162,"Buy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buy",$C$3:$C162,C163))),1),0)),"Can't — need "&amp;TEXT(IFERROR(FLOOR(IFERROR(VLOOKUP(C163,Upgrades!$N$4:$T$47,3,FALSE),0)*(IFERROR(VLOOKUP(C163,Upgrades!$N$4:$T$47,4,FALSE),0)^(COUNTIFS($B$3:$B162,"Buy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buy",$C$3:$C162,C163))),1),0)-J162,"0")&amp;" more scraps",IF(AND(B163="Fight boss",E163="OK",(IF((((105/'Rules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Formulas'!B12)),"WIN — boss down, next Level unlocks",IF(AND(B163="Fight boss",E163="OK"),"LOSE — TTK "&amp;TEXT(IF((((105/'Rules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Formulas'!B20*SQRT(1+0.55*(AG162&gt;=1))),0)))),"0")&amp;"s &gt; patience "&amp;TEXT('Rules &amp; Formulas'!B12,"0")&amp;"s (leave resets HP)",IF(B163="Go AFK","AFK resolved (see AFK counted h)","Applied")))))))))</f>
        <v/>
      </c>
      <c r="G163" s="7">
        <f>IF(AND((E163="OK"),B163="Fight boss",(IF((((105/'Rules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Formulas'!B12),C163="Elder Thornpelt"),2,IF(AND((E163="OK"),B163="Fight boss",(IF((((105/'Rules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Formulas'!B12),C163="Ashfang Alpha"),3,G162))</f>
        <v/>
      </c>
      <c r="H163" s="7">
        <f>MAX(0,H162+IF(AND((E163="OK"),B163="Hunt"),(IF(B163="Hunt",(('Rules &amp; Formulas'!B4*N162*('Rules &amp; Formulas'!B5+O162)*IFERROR(VLOOKUP(C163,Monsters!$T$4:$AH$15,10,FALSE),0)*IFERROR(VLOOKUP(C163,Monsters!$T$4:$AH$15,9,FALSE),0))*'Rules &amp; Formulas'!B6)*IF(D163="",0,D163),0))*(IFERROR(VLOOKUP(C163,Monsters!$T$4:$AH$15,3,FALSE),0))*(1+0.1*AH162)+(IF(OR(B163&lt;&gt;"Hunt",IFERROR(VLOOKUP(C163,Monsters!$T$4:$AH$15,6,FALSE),0)=0),0,FLOOR((IF(B163="Hunt",(('Rules &amp; Formulas'!B4*N162*('Rules &amp; Formulas'!B5+O162)*IFERROR(VLOOKUP(C163,Monsters!$T$4:$AH$15,10,FALSE),0)*IFERROR(VLOOKUP(C163,Monsters!$T$4:$AH$15,9,FALSE),0))*'Rules &amp; Formulas'!B6)*IF(D163="",0,D163),0))/MAX(1,IFERROR(VLOOKUP(C163,Monsters!$T$4:$AH$15,6,FALSE),0)),1)))*(IFERROR(VLOOKUP(C163,Monsters!$T$4:$AH$15,7,FALSE),0))*0.5*(1+0.1*AH162),0)+IF(AND((E163="OK"),B163="Go AFK"),(IF(B163="Go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AFK",IF(D163="",0,D163),0),Z162/60)*60)),0))*(IFERROR(VLOOKUP(C163,Monsters!$T$4:$AH$15,3,FALSE),0))*(1+0.1*AH162)+(IF(OR(B163&lt;&gt;"Go AFK",IFERROR(VLOOKUP(C163,Monsters!$T$4:$AH$15,6,FALSE),0)=0),0,FLOOR((IF(B163="Go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AFK",IF(D163="",0,D163),0),Z162/60)*60)),0))/MAX(1,IFERROR(VLOOKUP(C163,Monsters!$T$4:$AH$15,6,FALSE),0)),1)))*(IFERROR(VLOOKUP(C163,Monsters!$T$4:$AH$15,7,FALSE),0))*0.5*(1+0.1*AH162),0)+IF(AND((E163="OK"),B163="Fight boss",(IF((((105/'Rules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Formulas'!B12)),IFERROR(VLOOKUP(C163,Monsters!$T$4:$AH$15,3,FALSE),0),0)-IF(AND((E163="OK"),OR(B163="Buy upgrade",B163="Forge/Scrapwork buy"),IFERROR(VLOOKUP(C163,Upgrades!$N$4:$T$47,2,FALSE),0)="gold"),IFERROR(FLOOR(IFERROR(VLOOKUP(C163,Upgrades!$N$4:$T$47,3,FALSE),0)*(IFERROR(VLOOKUP(C163,Upgrades!$N$4:$T$47,4,FALSE),0)^(COUNTIFS($B$3:$B162,"Buy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buy",$C$3:$C162,C163))),1),0),0)-IF(AND((E163="OK"),B163="Hire hunter"),IF(C163="Briar",140,IF(C163="Quill",3650,IF(C163="Moss",4850,IF(C163="Ember",12200,0)))),0))</f>
        <v/>
      </c>
      <c r="I163" s="7">
        <f>IF(AND((E163="OK"),B163="Fight boss",(IF((((105/'Rules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Formulas'!B12)),0,MIN(IF(G162&lt;=1,120,IF(G162=2,280,600)),I162+IF(AND((E163="OK"),B163="Hunt"),((IF(B163="Hunt",(('Rules &amp; Formulas'!B4*N162*('Rules &amp; Formulas'!B5+O162)*IFERROR(VLOOKUP(C163,Monsters!$T$4:$AH$15,10,FALSE),0)*IFERROR(VLOOKUP(C163,Monsters!$T$4:$AH$15,9,FALSE),0))*'Rules &amp; Formulas'!B6)*IF(D163="",0,D163),0))*(IFERROR(VLOOKUP(C163,Monsters!$T$4:$AH$15,4,FALSE),0))+(IF(OR(B163&lt;&gt;"Hunt",IFERROR(VLOOKUP(C163,Monsters!$T$4:$AH$15,6,FALSE),0)=0),0,FLOOR((IF(B163="Hunt",(('Rules &amp; Formulas'!B4*N162*('Rules &amp; Formulas'!B5+O162)*IFERROR(VLOOKUP(C163,Monsters!$T$4:$AH$15,10,FALSE),0)*IFERROR(VLOOKUP(C163,Monsters!$T$4:$AH$15,9,FALSE),0))*'Rules &amp; Formulas'!B6)*IF(D163="",0,D163),0))/MAX(1,IFERROR(VLOOKUP(C163,Monsters!$T$4:$AH$15,6,FALSE),0)),1)))*(IFERROR(VLOOKUP(C163,Monsters!$T$4:$AH$15,7,FALSE),0))),0)+IF(AND((E163="OK"),B163="Go AFK"),((IF(B163="Go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AFK",IF(D163="",0,D163),0),Z162/60)*60)),0))*(IFERROR(VLOOKUP(C163,Monsters!$T$4:$AH$15,4,FALSE),0))+(IF(OR(B163&lt;&gt;"Go AFK",IFERROR(VLOOKUP(C163,Monsters!$T$4:$AH$15,6,FALSE),0)=0),0,FLOOR((IF(B163="Go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AFK",IF(D163="",0,D163),0),Z162/60)*60)),0))/MAX(1,IFERROR(VLOOKUP(C163,Monsters!$T$4:$AH$15,6,FALSE),0)),1)))*(IFERROR(VLOOKUP(C163,Monsters!$T$4:$AH$15,7,FALSE),0))),0)))</f>
        <v/>
      </c>
      <c r="J163" s="7">
        <f>MAX(0,J162+IF(AND((E163="OK"),B163="Hunt"),(IF(B163="Hunt",(('Rules &amp; Formulas'!B4*N162*('Rules &amp; Formulas'!B5+O162)*IFERROR(VLOOKUP(C163,Monsters!$T$4:$AH$15,10,FALSE),0)*IFERROR(VLOOKUP(C163,Monsters!$T$4:$AH$15,9,FALSE),0))*'Rules &amp; Formulas'!B6)*IF(D163="",0,D163),0))*(IFERROR(VLOOKUP(C163,Monsters!$T$4:$AH$15,5,FALSE),0)),0)+IF(AND((E163="OK"),B163="Go AFK"),(IF(B163="Go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AFK",IF(D163="",0,D163),0),Z162/60)*60)),0))*(IFERROR(VLOOKUP(C163,Monsters!$T$4:$AH$15,5,FALSE),0)),0)-IF(AND((E163="OK"),OR(B163="Buy upgrade",B163="Forge/Scrapwork buy"),IFERROR(VLOOKUP(C163,Upgrades!$N$4:$T$47,2,FALSE),0)="scraps"),IFERROR(FLOOR(IFERROR(VLOOKUP(C163,Upgrades!$N$4:$T$47,3,FALSE),0)*(IFERROR(VLOOKUP(C163,Upgrades!$N$4:$T$47,4,FALSE),0)^(COUNTIFS($B$3:$B162,"Buy upgrade",$C$3:$C162,C163)+COUNTIFS($B$3:$B162,"Hire hunter",$C$3:$C162,C163)+COUNTIFS($B$3:$B162,"Forge/Scrapwork buy",$C$3:$C162,C163))),1),0),0))</f>
        <v/>
      </c>
      <c r="K163" s="7">
        <f>MAX(0,K162+IF(AND((E163="OK"),B163="Hunt"),IF(C163="Thornpelt Bear",(IF(B163="Hunt",(('Rules &amp; Formulas'!B4*N162*('Rules &amp; Formulas'!B5+O162)*IFERROR(VLOOKUP(C163,Monsters!$T$4:$AH$15,10,FALSE),0)*IFERROR(VLOOKUP(C163,Monsters!$T$4:$AH$15,9,FALSE),0))*'Rules &amp; Formulas'!B6)*IF(D163="",0,D163),0))*0.12,0),0)+IF(AND((E163="OK"),B163="Go AFK"),IF(C163="Thornpelt Bear",(IF(B163="Go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AFK",IF(D163="",0,D163),0),Z162/60)*60)),0))*0.12,0),0))</f>
        <v/>
      </c>
      <c r="L163" s="7">
        <f>MAX(0,L162+IF(AND((E163="OK"),B163="Hunt"),IF(C163="Dire Thornpelt",(IF(B163="Hunt",(('Rules &amp; Formulas'!B4*N162*('Rules &amp; Formulas'!B5+O162)*IFERROR(VLOOKUP(C163,Monsters!$T$4:$AH$15,10,FALSE),0)*IFERROR(VLOOKUP(C163,Monsters!$T$4:$AH$15,9,FALSE),0))*'Rules &amp; Formulas'!B6)*IF(D163="",0,D163),0))*0.1,0),0)+IF(AND((E163="OK"),B163="Go AFK"),IF(C163="Dire Thornpelt",(IF(B163="Go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AFK",IF(D163="",0,D163),0),Z162/60)*60)),0))*0.1,0),0))</f>
        <v/>
      </c>
      <c r="M163" s="7">
        <f>IF(AND((E163="OK"),B163="Go AFK"),MAX(0,MIN(('Rules &amp; Formulas'!B15+25*AJ162),M162+('Rules &amp; Formulas'!B14+0.4*AJ162)*(MIN(IF(B163="Go AFK",IF(D163="",0,D163),0),Z162/60)*60))-(IF(B163="Go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AFK",IF(D163="",0,D163),0),Z162/60)*60)),0))*(IF((IFERROR(VLOOKUP(C163,Monsters!$T$4:$AH$15,8,FALSE),0))=0,0.35,IFERROR(VLOOKUP(C163,Monsters!$T$4:$AH$15,8,FALSE),0))/(1+0.08*AK162))),MIN(('Rules &amp; Formulas'!B15+25*AJ163),M162))</f>
        <v/>
      </c>
      <c r="N163" s="7">
        <f>(1+0.08+0.12*AA163+0.12*AB163+0.16*AC163)</f>
        <v/>
      </c>
      <c r="O163" s="7">
        <f>((AD163&gt;=1)*1*(1+0.3*AE163))</f>
        <v/>
      </c>
      <c r="P163" s="7">
        <f>IF(OR(B163="Hunt",B163="Go AFK"),(('Rules &amp; Formulas'!B4*N162*('Rules &amp; Formulas'!B5+O162)*IFERROR(VLOOKUP(C163,Monsters!$T$4:$AH$15,10,FALSE),0)*IFERROR(VLOOKUP(C163,Monsters!$T$4:$AH$15,9,FALSE),0))*'Rules &amp; Formulas'!B6),"")</f>
        <v/>
      </c>
      <c r="Q163" s="7">
        <f>IF(OR(B163="Hunt",B163="Go AFK"),('Rules &amp; Formulas'!B4*N162*('Rules &amp; Formulas'!B5+O162)*IFERROR(VLOOKUP(C163,Monsters!$T$4:$AH$15,10,FALSE),0)*IFERROR(VLOOKUP(C163,Monsters!$T$4:$AH$15,9,FALSE),0)),"")</f>
        <v/>
      </c>
      <c r="R163" s="7">
        <f>IF(AND((E163="OK"),B163="Hunt"),IF(B163="Hunt",(('Rules &amp; Formulas'!B4*N162*('Rules &amp; Formulas'!B5+O162)*IFERROR(VLOOKUP(C163,Monsters!$T$4:$AH$15,10,FALSE),0)*IFERROR(VLOOKUP(C163,Monsters!$T$4:$AH$15,9,FALSE),0))*'Rules &amp; Formulas'!B6)*IF(D163="",0,D163),0),IF(AND((E163="OK"),B163="Go AFK"),IF(B163="Go AFK",MIN(IF((IF((IFERROR(VLOOKUP(C163,Monsters!$T$4:$AH$15,8,FALSE),0))=0,0.35,IFERROR(VLOOKUP(C163,Monsters!$T$4:$AH$15,8,FALSE),0))/(1+0.08*AK162))&lt;=0,999999,FLOOR(MIN(('Rules &amp; Formulas'!B15+25*AJ162),M162+('Rules &amp; Formulas'!B14+0.4*AJ162)*(MIN(IF(B163="Go AFK",IF(D163="",0,D163),0),Z162/60)*60))/(IF((IFERROR(VLOOKUP(C163,Monsters!$T$4:$AH$15,8,FALSE),0))=0,0.35,IFERROR(VLOOKUP(C163,Monsters!$T$4:$AH$15,8,FALSE),0))/(1+0.08*AK162)),1)),('Rules &amp; Formulas'!B4*N162*('Rules &amp; Formulas'!B5+O162)*IFERROR(VLOOKUP(C163,Monsters!$T$4:$AH$15,10,FALSE),0)*IFERROR(VLOOKUP(C163,Monsters!$T$4:$AH$15,9,FALSE),0))*(MIN(IF(B163="Go AFK",IF(D163="",0,D163),0),Z162/60)*60)),0),0))</f>
        <v/>
      </c>
      <c r="S163" s="7">
        <f>(105/'Rules &amp; Formulas'!B10)*'Rules &amp; Formulas'!B11</f>
        <v/>
      </c>
      <c r="T163" s="7">
        <f>IF(AD162&gt;=1,(MAX(1,ROUND('Rules &amp; Formulas'!B18*(1+0.3*AE162)*(1+0.4*AF162),0)))*(1000/'Rules &amp; Formulas'!B19)*MIN(0.95,'Rules &amp; Formulas'!B20*SQRT(1+0.55*(AG162&gt;=1))),0)</f>
        <v/>
      </c>
      <c r="U163" s="7">
        <f>S163+T163</f>
        <v/>
      </c>
      <c r="V163" s="7">
        <f>IF(I162&gt;=IF((IFERROR(VLOOKUP(C163,Monsters!$T$4:$AH$15,15,FALSE),0))=0,120,IFERROR(VLOOKUP(C163,Monsters!$T$4:$AH$15,15,FALSE),0)),"YES","no")</f>
        <v/>
      </c>
      <c r="W163" s="7">
        <f>IF(AND(B163="Fight boss",E163="OK"),IF((((105/'Rules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Formulas'!B20*SQRT(1+0.55*(AG162&gt;=1))),0)))),"")</f>
        <v/>
      </c>
      <c r="X163" s="7">
        <f>IF(AND(B163="Fight boss",E163="OK"),IF((IF((((105/'Rules &amp; Formulas'!B10)*'Rules &amp; Formulas'!B11+IF(AD162&gt;=1,(MAX(1,ROUND('Rules &amp; Formulas'!B18*(1+0.3*AE162)*(1+0.4*AF162),0)))*(1000/'Rules &amp; Formulas'!B19)*MIN(0.95,'Rules &amp; Formulas'!B20*SQRT(1+0.55*(AG162&gt;=1))),0)))&lt;=0,9999,(IFERROR(VLOOKUP(C163,Monsters!$T$4:$AH$15,2,FALSE),0))/(((105/'Rules &amp; Formulas'!B10)*'Rules &amp; Formulas'!B11+IF(AD162&gt;=1,(MAX(1,ROUND('Rules &amp; Formulas'!B18*(1+0.3*AE162)*(1+0.4*AF162),0)))*(1000/'Rules &amp; Formulas'!B19)*MIN(0.95,'Rules &amp; Formulas'!B20*SQRT(1+0.55*(AG162&gt;=1))),0))))&lt;='Rules &amp; Formulas'!B12),"WIN","LOSE"),"")</f>
        <v/>
      </c>
      <c r="Y163" s="7">
        <f>IF(B163="Go AFK",MIN(IF(B163="Go AFK",IF(D163="",0,D163),0),Z162/60),"")</f>
        <v/>
      </c>
      <c r="Z163" s="7">
        <f>('Rules &amp; Formulas'!B13+30*AI163)</f>
        <v/>
      </c>
      <c r="AA163">
        <f>COUNTIFS($B$3:$B163,"Buy upgrade",$C$3:$C163,"Idle Power")</f>
        <v/>
      </c>
      <c r="AB163">
        <f>COUNTIFS($B$3:$B163,"Buy upgrade",$C$3:$C163,"Iron Blade")</f>
        <v/>
      </c>
      <c r="AC163">
        <f>COUNTIFS($B$3:$B163,"Buy upgrade",$C$3:$C163,"Steel Blade")</f>
        <v/>
      </c>
      <c r="AD163">
        <f>COUNTIFS($B$3:$B163,"Hire hunter",$C$3:$C163,"Briar")+COUNTIFS($B$3:$B163,"Buy upgrade",$C$3:$C163,"Hire Briar")</f>
        <v/>
      </c>
      <c r="AE163">
        <f>COUNTIFS($B$3:$B163,"Buy upgrade",$C$3:$C163,"Hunter Power")</f>
        <v/>
      </c>
      <c r="AF163">
        <f>COUNTIFS($B$3:$B163,"Buy upgrade",$C$3:$C163,"Bigger Hits")</f>
        <v/>
      </c>
      <c r="AG163">
        <f>COUNTIFS($B$3:$B163,"Buy upgrade",$C$3:$C163,"Swift Walk")</f>
        <v/>
      </c>
      <c r="AH163">
        <f>COUNTIFS($B$3:$B163,"Buy upgrade",$C$3:$C163,"Loot Luck")</f>
        <v/>
      </c>
      <c r="AI163">
        <f>COUNTIFS($B$3:$B163,"Buy upgrade",$C$3:$C163,"Offline Cap")</f>
        <v/>
      </c>
      <c r="AJ163">
        <f>COUNTIFS($B$3:$B163,"Buy upgrade",$C$3:$C163,"Bigger Food Stock")</f>
        <v/>
      </c>
      <c r="AK163">
        <f>COUNTIFS($B$3:$B163,"Buy upgrade",$C$3:$C163,"Food Efficiency")</f>
        <v/>
      </c>
    </row>
    <row r="164">
      <c r="A164" t="n">
        <v>162</v>
      </c>
      <c r="B164" s="6" t="n"/>
      <c r="C164" s="6" t="n"/>
      <c r="D164" s="6" t="n"/>
      <c r="E164" s="7">
        <f>IF(B164="","",IF(OR(B164="Hunt",B164="Go AFK"),IF(C164="","Can't","OK"),IF(B164="Fight boss",IF(I163&lt;IF((IFERROR(VLOOKUP(C164,Monsters!$T$4:$AH$15,15,FALSE),0))=0,120,IFERROR(VLOOKUP(C164,Monsters!$T$4:$AH$15,15,FALSE),0)),"Can't","OK"),IF(B164="Hire hunter",IF(AND(C164="Briar",AD163&gt;=1),"Can't",IF(H163&lt;IF(C164="Briar",140,IF(C164="Quill",3650,IF(C164="Moss",4850,IF(C164="Ember",12200,0)))),"Can't","OK")),IF(OR(B164="Buy upgrade",B164="Forge/Scrapwork buy"),IF(IFERROR(VLOOKUP(C164,Upgrades!$N$4:$T$47,2,FALSE),0)="points","Can't",IF(IFERROR(VLOOKUP(C164,Upgrades!$N$4:$T$47,2,FALSE),0)="gold",IF(H163&lt;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buy",$C$3:$C163,C164))),1),0),"Can't","OK"),IF(IFERROR(VLOOKUP(C164,Upgrades!$N$4:$T$47,2,FALSE),0)="scraps",IF(J163&lt;IFERROR(FLOOR(IFERROR(VLOOKUP(C164,Upgrades!$N$4:$T$47,3,FALSE),0)*(IFERROR(VLOOKUP(C164,Upgrades!$N$4:$T$47,4,FALSE),0)^(COUNTIFS($B$3:$B163,"Buy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buy",$C$3:$C163,C164))),1),0),"Can't","OK"),IF(IFERROR(VLOOKUP(C164,Upgrades!$N$4:$T$47,2,FALSE),0)="mats","Can't","OK")))),"Check")))))</f>
        <v/>
      </c>
      <c r="F164" s="7">
        <f>IF(B164="","",IF(AND(B164="Fight boss",I163&lt;IF((IFERROR(VLOOKUP(C164,Monsters!$T$4:$AH$15,15,FALSE),0))=0,120,IFERROR(VLOOKUP(C164,Monsters!$T$4:$AH$15,15,FALSE),0))),"Can't — need "&amp;TEXT(IF((IFERROR(VLOOKUP(C164,Monsters!$T$4:$AH$15,15,FALSE),0))=0,120,IFERROR(VLOOKUP(C164,Monsters!$T$4:$AH$15,15,FALSE),0))-I163,"0.0")&amp;" more Slayer points on the meter",IF(AND(B164="Hire hunter",C164="Briar",AD163&gt;=1),"Can't — already hired",IF(AND(B164="Hire hunter",H163&lt;IF(C164="Briar",140,IF(C164="Quill",3650,IF(C164="Moss",4850,IF(C164="Ember",12200,0))))),"Can't — need "&amp;TEXT(IF(C164="Briar",140,IF(C164="Quill",3650,IF(C164="Moss",4850,IF(C164="Ember",12200,0))))-H163,"0")&amp;" more gold",IF(AND(OR(B164="Buy upgrade",B164="Forge/Scrapwork buy"),IFERROR(VLOOKUP(C164,Upgrades!$N$4:$T$47,2,FALSE),0)="points"),"Can't — Sp-wallet spends not tracked here",IF(AND(OR(B164="Buy upgrade",B164="Forge/Scrapwork buy"),IFERROR(VLOOKUP(C164,Upgrades!$N$4:$T$47,2,FALSE),0)="gold",H163&lt;IFERROR(FLOOR(IFERROR(VLOOKUP(C164,Upgrades!$N$4:$T$47,3,FALSE),0)*(IFERROR(VLOOKUP(C164,Upgrades!$N$4:$T$47,4,FALSE),0)^(COUNTIFS($B$3:$B163,"Buy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buy",$C$3:$C163,C164))),1),0)),"Can't — need "&amp;TEXT(IFERROR(FLOOR(IFERROR(VLOOKUP(C164,Upgrades!$N$4:$T$47,3,FALSE),0)*(IFERROR(VLOOKUP(C164,Upgrades!$N$4:$T$47,4,FALSE),0)^(COUNTIFS($B$3:$B163,"Buy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buy",$C$3:$C163,C164))),1),0)-H163,"0")&amp;" more gold",IF(AND(OR(B164="Buy upgrade",B164="Forge/Scrapwork buy"),IFERROR(VLOOKUP(C164,Upgrades!$N$4:$T$47,2,FALSE),0)="scraps",J163&lt;IFERROR(FLOOR(IFERROR(VLOOKUP(C164,Upgrades!$N$4:$T$47,3,FALSE),0)*(IFERROR(VLOOKUP(C164,Upgrades!$N$4:$T$47,4,FALSE),0)^(COUNTIFS($B$3:$B163,"Buy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buy",$C$3:$C163,C164))),1),0)),"Can't — need "&amp;TEXT(IFERROR(FLOOR(IFERROR(VLOOKUP(C164,Upgrades!$N$4:$T$47,3,FALSE),0)*(IFERROR(VLOOKUP(C164,Upgrades!$N$4:$T$47,4,FALSE),0)^(COUNTIFS($B$3:$B163,"Buy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buy",$C$3:$C163,C164))),1),0)-J163,"0")&amp;" more scraps",IF(AND(B164="Fight boss",E164="OK",(IF((((105/'Rules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Formulas'!B12)),"WIN — boss down, next Level unlocks",IF(AND(B164="Fight boss",E164="OK"),"LOSE — TTK "&amp;TEXT(IF((((105/'Rules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Formulas'!B20*SQRT(1+0.55*(AG163&gt;=1))),0)))),"0")&amp;"s &gt; patience "&amp;TEXT('Rules &amp; Formulas'!B12,"0")&amp;"s (leave resets HP)",IF(B164="Go AFK","AFK resolved (see AFK counted h)","Applied")))))))))</f>
        <v/>
      </c>
      <c r="G164" s="7">
        <f>IF(AND((E164="OK"),B164="Fight boss",(IF((((105/'Rules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Formulas'!B12),C164="Elder Thornpelt"),2,IF(AND((E164="OK"),B164="Fight boss",(IF((((105/'Rules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Formulas'!B12),C164="Ashfang Alpha"),3,G163))</f>
        <v/>
      </c>
      <c r="H164" s="7">
        <f>MAX(0,H163+IF(AND((E164="OK"),B164="Hunt"),(IF(B164="Hunt",(('Rules &amp; Formulas'!B4*N163*('Rules &amp; Formulas'!B5+O163)*IFERROR(VLOOKUP(C164,Monsters!$T$4:$AH$15,10,FALSE),0)*IFERROR(VLOOKUP(C164,Monsters!$T$4:$AH$15,9,FALSE),0))*'Rules &amp; Formulas'!B6)*IF(D164="",0,D164),0))*(IFERROR(VLOOKUP(C164,Monsters!$T$4:$AH$15,3,FALSE),0))*(1+0.1*AH163)+(IF(OR(B164&lt;&gt;"Hunt",IFERROR(VLOOKUP(C164,Monsters!$T$4:$AH$15,6,FALSE),0)=0),0,FLOOR((IF(B164="Hunt",(('Rules &amp; Formulas'!B4*N163*('Rules &amp; Formulas'!B5+O163)*IFERROR(VLOOKUP(C164,Monsters!$T$4:$AH$15,10,FALSE),0)*IFERROR(VLOOKUP(C164,Monsters!$T$4:$AH$15,9,FALSE),0))*'Rules &amp; Formulas'!B6)*IF(D164="",0,D164),0))/MAX(1,IFERROR(VLOOKUP(C164,Monsters!$T$4:$AH$15,6,FALSE),0)),1)))*(IFERROR(VLOOKUP(C164,Monsters!$T$4:$AH$15,7,FALSE),0))*0.5*(1+0.1*AH163),0)+IF(AND((E164="OK"),B164="Go AFK"),(IF(B164="Go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AFK",IF(D164="",0,D164),0),Z163/60)*60)),0))*(IFERROR(VLOOKUP(C164,Monsters!$T$4:$AH$15,3,FALSE),0))*(1+0.1*AH163)+(IF(OR(B164&lt;&gt;"Go AFK",IFERROR(VLOOKUP(C164,Monsters!$T$4:$AH$15,6,FALSE),0)=0),0,FLOOR((IF(B164="Go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AFK",IF(D164="",0,D164),0),Z163/60)*60)),0))/MAX(1,IFERROR(VLOOKUP(C164,Monsters!$T$4:$AH$15,6,FALSE),0)),1)))*(IFERROR(VLOOKUP(C164,Monsters!$T$4:$AH$15,7,FALSE),0))*0.5*(1+0.1*AH163),0)+IF(AND((E164="OK"),B164="Fight boss",(IF((((105/'Rules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Formulas'!B12)),IFERROR(VLOOKUP(C164,Monsters!$T$4:$AH$15,3,FALSE),0),0)-IF(AND((E164="OK"),OR(B164="Buy upgrade",B164="Forge/Scrapwork buy"),IFERROR(VLOOKUP(C164,Upgrades!$N$4:$T$47,2,FALSE),0)="gold"),IFERROR(FLOOR(IFERROR(VLOOKUP(C164,Upgrades!$N$4:$T$47,3,FALSE),0)*(IFERROR(VLOOKUP(C164,Upgrades!$N$4:$T$47,4,FALSE),0)^(COUNTIFS($B$3:$B163,"Buy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buy",$C$3:$C163,C164))),1),0),0)-IF(AND((E164="OK"),B164="Hire hunter"),IF(C164="Briar",140,IF(C164="Quill",3650,IF(C164="Moss",4850,IF(C164="Ember",12200,0)))),0))</f>
        <v/>
      </c>
      <c r="I164" s="7">
        <f>IF(AND((E164="OK"),B164="Fight boss",(IF((((105/'Rules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Formulas'!B12)),0,MIN(IF(G163&lt;=1,120,IF(G163=2,280,600)),I163+IF(AND((E164="OK"),B164="Hunt"),((IF(B164="Hunt",(('Rules &amp; Formulas'!B4*N163*('Rules &amp; Formulas'!B5+O163)*IFERROR(VLOOKUP(C164,Monsters!$T$4:$AH$15,10,FALSE),0)*IFERROR(VLOOKUP(C164,Monsters!$T$4:$AH$15,9,FALSE),0))*'Rules &amp; Formulas'!B6)*IF(D164="",0,D164),0))*(IFERROR(VLOOKUP(C164,Monsters!$T$4:$AH$15,4,FALSE),0))+(IF(OR(B164&lt;&gt;"Hunt",IFERROR(VLOOKUP(C164,Monsters!$T$4:$AH$15,6,FALSE),0)=0),0,FLOOR((IF(B164="Hunt",(('Rules &amp; Formulas'!B4*N163*('Rules &amp; Formulas'!B5+O163)*IFERROR(VLOOKUP(C164,Monsters!$T$4:$AH$15,10,FALSE),0)*IFERROR(VLOOKUP(C164,Monsters!$T$4:$AH$15,9,FALSE),0))*'Rules &amp; Formulas'!B6)*IF(D164="",0,D164),0))/MAX(1,IFERROR(VLOOKUP(C164,Monsters!$T$4:$AH$15,6,FALSE),0)),1)))*(IFERROR(VLOOKUP(C164,Monsters!$T$4:$AH$15,7,FALSE),0))),0)+IF(AND((E164="OK"),B164="Go AFK"),((IF(B164="Go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AFK",IF(D164="",0,D164),0),Z163/60)*60)),0))*(IFERROR(VLOOKUP(C164,Monsters!$T$4:$AH$15,4,FALSE),0))+(IF(OR(B164&lt;&gt;"Go AFK",IFERROR(VLOOKUP(C164,Monsters!$T$4:$AH$15,6,FALSE),0)=0),0,FLOOR((IF(B164="Go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AFK",IF(D164="",0,D164),0),Z163/60)*60)),0))/MAX(1,IFERROR(VLOOKUP(C164,Monsters!$T$4:$AH$15,6,FALSE),0)),1)))*(IFERROR(VLOOKUP(C164,Monsters!$T$4:$AH$15,7,FALSE),0))),0)))</f>
        <v/>
      </c>
      <c r="J164" s="7">
        <f>MAX(0,J163+IF(AND((E164="OK"),B164="Hunt"),(IF(B164="Hunt",(('Rules &amp; Formulas'!B4*N163*('Rules &amp; Formulas'!B5+O163)*IFERROR(VLOOKUP(C164,Monsters!$T$4:$AH$15,10,FALSE),0)*IFERROR(VLOOKUP(C164,Monsters!$T$4:$AH$15,9,FALSE),0))*'Rules &amp; Formulas'!B6)*IF(D164="",0,D164),0))*(IFERROR(VLOOKUP(C164,Monsters!$T$4:$AH$15,5,FALSE),0)),0)+IF(AND((E164="OK"),B164="Go AFK"),(IF(B164="Go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AFK",IF(D164="",0,D164),0),Z163/60)*60)),0))*(IFERROR(VLOOKUP(C164,Monsters!$T$4:$AH$15,5,FALSE),0)),0)-IF(AND((E164="OK"),OR(B164="Buy upgrade",B164="Forge/Scrapwork buy"),IFERROR(VLOOKUP(C164,Upgrades!$N$4:$T$47,2,FALSE),0)="scraps"),IFERROR(FLOOR(IFERROR(VLOOKUP(C164,Upgrades!$N$4:$T$47,3,FALSE),0)*(IFERROR(VLOOKUP(C164,Upgrades!$N$4:$T$47,4,FALSE),0)^(COUNTIFS($B$3:$B163,"Buy upgrade",$C$3:$C163,C164)+COUNTIFS($B$3:$B163,"Hire hunter",$C$3:$C163,C164)+COUNTIFS($B$3:$B163,"Forge/Scrapwork buy",$C$3:$C163,C164))),1),0),0))</f>
        <v/>
      </c>
      <c r="K164" s="7">
        <f>MAX(0,K163+IF(AND((E164="OK"),B164="Hunt"),IF(C164="Thornpelt Bear",(IF(B164="Hunt",(('Rules &amp; Formulas'!B4*N163*('Rules &amp; Formulas'!B5+O163)*IFERROR(VLOOKUP(C164,Monsters!$T$4:$AH$15,10,FALSE),0)*IFERROR(VLOOKUP(C164,Monsters!$T$4:$AH$15,9,FALSE),0))*'Rules &amp; Formulas'!B6)*IF(D164="",0,D164),0))*0.12,0),0)+IF(AND((E164="OK"),B164="Go AFK"),IF(C164="Thornpelt Bear",(IF(B164="Go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AFK",IF(D164="",0,D164),0),Z163/60)*60)),0))*0.12,0),0))</f>
        <v/>
      </c>
      <c r="L164" s="7">
        <f>MAX(0,L163+IF(AND((E164="OK"),B164="Hunt"),IF(C164="Dire Thornpelt",(IF(B164="Hunt",(('Rules &amp; Formulas'!B4*N163*('Rules &amp; Formulas'!B5+O163)*IFERROR(VLOOKUP(C164,Monsters!$T$4:$AH$15,10,FALSE),0)*IFERROR(VLOOKUP(C164,Monsters!$T$4:$AH$15,9,FALSE),0))*'Rules &amp; Formulas'!B6)*IF(D164="",0,D164),0))*0.1,0),0)+IF(AND((E164="OK"),B164="Go AFK"),IF(C164="Dire Thornpelt",(IF(B164="Go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AFK",IF(D164="",0,D164),0),Z163/60)*60)),0))*0.1,0),0))</f>
        <v/>
      </c>
      <c r="M164" s="7">
        <f>IF(AND((E164="OK"),B164="Go AFK"),MAX(0,MIN(('Rules &amp; Formulas'!B15+25*AJ163),M163+('Rules &amp; Formulas'!B14+0.4*AJ163)*(MIN(IF(B164="Go AFK",IF(D164="",0,D164),0),Z163/60)*60))-(IF(B164="Go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AFK",IF(D164="",0,D164),0),Z163/60)*60)),0))*(IF((IFERROR(VLOOKUP(C164,Monsters!$T$4:$AH$15,8,FALSE),0))=0,0.35,IFERROR(VLOOKUP(C164,Monsters!$T$4:$AH$15,8,FALSE),0))/(1+0.08*AK163))),MIN(('Rules &amp; Formulas'!B15+25*AJ164),M163))</f>
        <v/>
      </c>
      <c r="N164" s="7">
        <f>(1+0.08+0.12*AA164+0.12*AB164+0.16*AC164)</f>
        <v/>
      </c>
      <c r="O164" s="7">
        <f>((AD164&gt;=1)*1*(1+0.3*AE164))</f>
        <v/>
      </c>
      <c r="P164" s="7">
        <f>IF(OR(B164="Hunt",B164="Go AFK"),(('Rules &amp; Formulas'!B4*N163*('Rules &amp; Formulas'!B5+O163)*IFERROR(VLOOKUP(C164,Monsters!$T$4:$AH$15,10,FALSE),0)*IFERROR(VLOOKUP(C164,Monsters!$T$4:$AH$15,9,FALSE),0))*'Rules &amp; Formulas'!B6),"")</f>
        <v/>
      </c>
      <c r="Q164" s="7">
        <f>IF(OR(B164="Hunt",B164="Go AFK"),('Rules &amp; Formulas'!B4*N163*('Rules &amp; Formulas'!B5+O163)*IFERROR(VLOOKUP(C164,Monsters!$T$4:$AH$15,10,FALSE),0)*IFERROR(VLOOKUP(C164,Monsters!$T$4:$AH$15,9,FALSE),0)),"")</f>
        <v/>
      </c>
      <c r="R164" s="7">
        <f>IF(AND((E164="OK"),B164="Hunt"),IF(B164="Hunt",(('Rules &amp; Formulas'!B4*N163*('Rules &amp; Formulas'!B5+O163)*IFERROR(VLOOKUP(C164,Monsters!$T$4:$AH$15,10,FALSE),0)*IFERROR(VLOOKUP(C164,Monsters!$T$4:$AH$15,9,FALSE),0))*'Rules &amp; Formulas'!B6)*IF(D164="",0,D164),0),IF(AND((E164="OK"),B164="Go AFK"),IF(B164="Go AFK",MIN(IF((IF((IFERROR(VLOOKUP(C164,Monsters!$T$4:$AH$15,8,FALSE),0))=0,0.35,IFERROR(VLOOKUP(C164,Monsters!$T$4:$AH$15,8,FALSE),0))/(1+0.08*AK163))&lt;=0,999999,FLOOR(MIN(('Rules &amp; Formulas'!B15+25*AJ163),M163+('Rules &amp; Formulas'!B14+0.4*AJ163)*(MIN(IF(B164="Go AFK",IF(D164="",0,D164),0),Z163/60)*60))/(IF((IFERROR(VLOOKUP(C164,Monsters!$T$4:$AH$15,8,FALSE),0))=0,0.35,IFERROR(VLOOKUP(C164,Monsters!$T$4:$AH$15,8,FALSE),0))/(1+0.08*AK163)),1)),('Rules &amp; Formulas'!B4*N163*('Rules &amp; Formulas'!B5+O163)*IFERROR(VLOOKUP(C164,Monsters!$T$4:$AH$15,10,FALSE),0)*IFERROR(VLOOKUP(C164,Monsters!$T$4:$AH$15,9,FALSE),0))*(MIN(IF(B164="Go AFK",IF(D164="",0,D164),0),Z163/60)*60)),0),0))</f>
        <v/>
      </c>
      <c r="S164" s="7">
        <f>(105/'Rules &amp; Formulas'!B10)*'Rules &amp; Formulas'!B11</f>
        <v/>
      </c>
      <c r="T164" s="7">
        <f>IF(AD163&gt;=1,(MAX(1,ROUND('Rules &amp; Formulas'!B18*(1+0.3*AE163)*(1+0.4*AF163),0)))*(1000/'Rules &amp; Formulas'!B19)*MIN(0.95,'Rules &amp; Formulas'!B20*SQRT(1+0.55*(AG163&gt;=1))),0)</f>
        <v/>
      </c>
      <c r="U164" s="7">
        <f>S164+T164</f>
        <v/>
      </c>
      <c r="V164" s="7">
        <f>IF(I163&gt;=IF((IFERROR(VLOOKUP(C164,Monsters!$T$4:$AH$15,15,FALSE),0))=0,120,IFERROR(VLOOKUP(C164,Monsters!$T$4:$AH$15,15,FALSE),0)),"YES","no")</f>
        <v/>
      </c>
      <c r="W164" s="7">
        <f>IF(AND(B164="Fight boss",E164="OK"),IF((((105/'Rules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Formulas'!B20*SQRT(1+0.55*(AG163&gt;=1))),0)))),"")</f>
        <v/>
      </c>
      <c r="X164" s="7">
        <f>IF(AND(B164="Fight boss",E164="OK"),IF((IF((((105/'Rules &amp; Formulas'!B10)*'Rules &amp; Formulas'!B11+IF(AD163&gt;=1,(MAX(1,ROUND('Rules &amp; Formulas'!B18*(1+0.3*AE163)*(1+0.4*AF163),0)))*(1000/'Rules &amp; Formulas'!B19)*MIN(0.95,'Rules &amp; Formulas'!B20*SQRT(1+0.55*(AG163&gt;=1))),0)))&lt;=0,9999,(IFERROR(VLOOKUP(C164,Monsters!$T$4:$AH$15,2,FALSE),0))/(((105/'Rules &amp; Formulas'!B10)*'Rules &amp; Formulas'!B11+IF(AD163&gt;=1,(MAX(1,ROUND('Rules &amp; Formulas'!B18*(1+0.3*AE163)*(1+0.4*AF163),0)))*(1000/'Rules &amp; Formulas'!B19)*MIN(0.95,'Rules &amp; Formulas'!B20*SQRT(1+0.55*(AG163&gt;=1))),0))))&lt;='Rules &amp; Formulas'!B12),"WIN","LOSE"),"")</f>
        <v/>
      </c>
      <c r="Y164" s="7">
        <f>IF(B164="Go AFK",MIN(IF(B164="Go AFK",IF(D164="",0,D164),0),Z163/60),"")</f>
        <v/>
      </c>
      <c r="Z164" s="7">
        <f>('Rules &amp; Formulas'!B13+30*AI164)</f>
        <v/>
      </c>
      <c r="AA164">
        <f>COUNTIFS($B$3:$B164,"Buy upgrade",$C$3:$C164,"Idle Power")</f>
        <v/>
      </c>
      <c r="AB164">
        <f>COUNTIFS($B$3:$B164,"Buy upgrade",$C$3:$C164,"Iron Blade")</f>
        <v/>
      </c>
      <c r="AC164">
        <f>COUNTIFS($B$3:$B164,"Buy upgrade",$C$3:$C164,"Steel Blade")</f>
        <v/>
      </c>
      <c r="AD164">
        <f>COUNTIFS($B$3:$B164,"Hire hunter",$C$3:$C164,"Briar")+COUNTIFS($B$3:$B164,"Buy upgrade",$C$3:$C164,"Hire Briar")</f>
        <v/>
      </c>
      <c r="AE164">
        <f>COUNTIFS($B$3:$B164,"Buy upgrade",$C$3:$C164,"Hunter Power")</f>
        <v/>
      </c>
      <c r="AF164">
        <f>COUNTIFS($B$3:$B164,"Buy upgrade",$C$3:$C164,"Bigger Hits")</f>
        <v/>
      </c>
      <c r="AG164">
        <f>COUNTIFS($B$3:$B164,"Buy upgrade",$C$3:$C164,"Swift Walk")</f>
        <v/>
      </c>
      <c r="AH164">
        <f>COUNTIFS($B$3:$B164,"Buy upgrade",$C$3:$C164,"Loot Luck")</f>
        <v/>
      </c>
      <c r="AI164">
        <f>COUNTIFS($B$3:$B164,"Buy upgrade",$C$3:$C164,"Offline Cap")</f>
        <v/>
      </c>
      <c r="AJ164">
        <f>COUNTIFS($B$3:$B164,"Buy upgrade",$C$3:$C164,"Bigger Food Stock")</f>
        <v/>
      </c>
      <c r="AK164">
        <f>COUNTIFS($B$3:$B164,"Buy upgrade",$C$3:$C164,"Food Efficiency")</f>
        <v/>
      </c>
    </row>
    <row r="165">
      <c r="A165" t="n">
        <v>163</v>
      </c>
      <c r="B165" s="6" t="n"/>
      <c r="C165" s="6" t="n"/>
      <c r="D165" s="6" t="n"/>
      <c r="E165" s="7">
        <f>IF(B165="","",IF(OR(B165="Hunt",B165="Go AFK"),IF(C165="","Can't","OK"),IF(B165="Fight boss",IF(I164&lt;IF((IFERROR(VLOOKUP(C165,Monsters!$T$4:$AH$15,15,FALSE),0))=0,120,IFERROR(VLOOKUP(C165,Monsters!$T$4:$AH$15,15,FALSE),0)),"Can't","OK"),IF(B165="Hire hunter",IF(AND(C165="Briar",AD164&gt;=1),"Can't",IF(H164&lt;IF(C165="Briar",140,IF(C165="Quill",3650,IF(C165="Moss",4850,IF(C165="Ember",12200,0)))),"Can't","OK")),IF(OR(B165="Buy upgrade",B165="Forge/Scrapwork buy"),IF(IFERROR(VLOOKUP(C165,Upgrades!$N$4:$T$47,2,FALSE),0)="points","Can't",IF(IFERROR(VLOOKUP(C165,Upgrades!$N$4:$T$47,2,FALSE),0)="gold",IF(H164&lt;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buy",$C$3:$C164,C165))),1),0),"Can't","OK"),IF(IFERROR(VLOOKUP(C165,Upgrades!$N$4:$T$47,2,FALSE),0)="scraps",IF(J164&lt;IFERROR(FLOOR(IFERROR(VLOOKUP(C165,Upgrades!$N$4:$T$47,3,FALSE),0)*(IFERROR(VLOOKUP(C165,Upgrades!$N$4:$T$47,4,FALSE),0)^(COUNTIFS($B$3:$B164,"Buy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buy",$C$3:$C164,C165))),1),0),"Can't","OK"),IF(IFERROR(VLOOKUP(C165,Upgrades!$N$4:$T$47,2,FALSE),0)="mats","Can't","OK")))),"Check")))))</f>
        <v/>
      </c>
      <c r="F165" s="7">
        <f>IF(B165="","",IF(AND(B165="Fight boss",I164&lt;IF((IFERROR(VLOOKUP(C165,Monsters!$T$4:$AH$15,15,FALSE),0))=0,120,IFERROR(VLOOKUP(C165,Monsters!$T$4:$AH$15,15,FALSE),0))),"Can't — need "&amp;TEXT(IF((IFERROR(VLOOKUP(C165,Monsters!$T$4:$AH$15,15,FALSE),0))=0,120,IFERROR(VLOOKUP(C165,Monsters!$T$4:$AH$15,15,FALSE),0))-I164,"0.0")&amp;" more Slayer points on the meter",IF(AND(B165="Hire hunter",C165="Briar",AD164&gt;=1),"Can't — already hired",IF(AND(B165="Hire hunter",H164&lt;IF(C165="Briar",140,IF(C165="Quill",3650,IF(C165="Moss",4850,IF(C165="Ember",12200,0))))),"Can't — need "&amp;TEXT(IF(C165="Briar",140,IF(C165="Quill",3650,IF(C165="Moss",4850,IF(C165="Ember",12200,0))))-H164,"0")&amp;" more gold",IF(AND(OR(B165="Buy upgrade",B165="Forge/Scrapwork buy"),IFERROR(VLOOKUP(C165,Upgrades!$N$4:$T$47,2,FALSE),0)="points"),"Can't — Sp-wallet spends not tracked here",IF(AND(OR(B165="Buy upgrade",B165="Forge/Scrapwork buy"),IFERROR(VLOOKUP(C165,Upgrades!$N$4:$T$47,2,FALSE),0)="gold",H164&lt;IFERROR(FLOOR(IFERROR(VLOOKUP(C165,Upgrades!$N$4:$T$47,3,FALSE),0)*(IFERROR(VLOOKUP(C165,Upgrades!$N$4:$T$47,4,FALSE),0)^(COUNTIFS($B$3:$B164,"Buy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buy",$C$3:$C164,C165))),1),0)),"Can't — need "&amp;TEXT(IFERROR(FLOOR(IFERROR(VLOOKUP(C165,Upgrades!$N$4:$T$47,3,FALSE),0)*(IFERROR(VLOOKUP(C165,Upgrades!$N$4:$T$47,4,FALSE),0)^(COUNTIFS($B$3:$B164,"Buy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buy",$C$3:$C164,C165))),1),0)-H164,"0")&amp;" more gold",IF(AND(OR(B165="Buy upgrade",B165="Forge/Scrapwork buy"),IFERROR(VLOOKUP(C165,Upgrades!$N$4:$T$47,2,FALSE),0)="scraps",J164&lt;IFERROR(FLOOR(IFERROR(VLOOKUP(C165,Upgrades!$N$4:$T$47,3,FALSE),0)*(IFERROR(VLOOKUP(C165,Upgrades!$N$4:$T$47,4,FALSE),0)^(COUNTIFS($B$3:$B164,"Buy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buy",$C$3:$C164,C165))),1),0)),"Can't — need "&amp;TEXT(IFERROR(FLOOR(IFERROR(VLOOKUP(C165,Upgrades!$N$4:$T$47,3,FALSE),0)*(IFERROR(VLOOKUP(C165,Upgrades!$N$4:$T$47,4,FALSE),0)^(COUNTIFS($B$3:$B164,"Buy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buy",$C$3:$C164,C165))),1),0)-J164,"0")&amp;" more scraps",IF(AND(B165="Fight boss",E165="OK",(IF((((105/'Rules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Formulas'!B12)),"WIN — boss down, next Level unlocks",IF(AND(B165="Fight boss",E165="OK"),"LOSE — TTK "&amp;TEXT(IF((((105/'Rules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Formulas'!B20*SQRT(1+0.55*(AG164&gt;=1))),0)))),"0")&amp;"s &gt; patience "&amp;TEXT('Rules &amp; Formulas'!B12,"0")&amp;"s (leave resets HP)",IF(B165="Go AFK","AFK resolved (see AFK counted h)","Applied")))))))))</f>
        <v/>
      </c>
      <c r="G165" s="7">
        <f>IF(AND((E165="OK"),B165="Fight boss",(IF((((105/'Rules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Formulas'!B12),C165="Elder Thornpelt"),2,IF(AND((E165="OK"),B165="Fight boss",(IF((((105/'Rules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Formulas'!B12),C165="Ashfang Alpha"),3,G164))</f>
        <v/>
      </c>
      <c r="H165" s="7">
        <f>MAX(0,H164+IF(AND((E165="OK"),B165="Hunt"),(IF(B165="Hunt",(('Rules &amp; Formulas'!B4*N164*('Rules &amp; Formulas'!B5+O164)*IFERROR(VLOOKUP(C165,Monsters!$T$4:$AH$15,10,FALSE),0)*IFERROR(VLOOKUP(C165,Monsters!$T$4:$AH$15,9,FALSE),0))*'Rules &amp; Formulas'!B6)*IF(D165="",0,D165),0))*(IFERROR(VLOOKUP(C165,Monsters!$T$4:$AH$15,3,FALSE),0))*(1+0.1*AH164)+(IF(OR(B165&lt;&gt;"Hunt",IFERROR(VLOOKUP(C165,Monsters!$T$4:$AH$15,6,FALSE),0)=0),0,FLOOR((IF(B165="Hunt",(('Rules &amp; Formulas'!B4*N164*('Rules &amp; Formulas'!B5+O164)*IFERROR(VLOOKUP(C165,Monsters!$T$4:$AH$15,10,FALSE),0)*IFERROR(VLOOKUP(C165,Monsters!$T$4:$AH$15,9,FALSE),0))*'Rules &amp; Formulas'!B6)*IF(D165="",0,D165),0))/MAX(1,IFERROR(VLOOKUP(C165,Monsters!$T$4:$AH$15,6,FALSE),0)),1)))*(IFERROR(VLOOKUP(C165,Monsters!$T$4:$AH$15,7,FALSE),0))*0.5*(1+0.1*AH164),0)+IF(AND((E165="OK"),B165="Go AFK"),(IF(B165="Go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AFK",IF(D165="",0,D165),0),Z164/60)*60)),0))*(IFERROR(VLOOKUP(C165,Monsters!$T$4:$AH$15,3,FALSE),0))*(1+0.1*AH164)+(IF(OR(B165&lt;&gt;"Go AFK",IFERROR(VLOOKUP(C165,Monsters!$T$4:$AH$15,6,FALSE),0)=0),0,FLOOR((IF(B165="Go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AFK",IF(D165="",0,D165),0),Z164/60)*60)),0))/MAX(1,IFERROR(VLOOKUP(C165,Monsters!$T$4:$AH$15,6,FALSE),0)),1)))*(IFERROR(VLOOKUP(C165,Monsters!$T$4:$AH$15,7,FALSE),0))*0.5*(1+0.1*AH164),0)+IF(AND((E165="OK"),B165="Fight boss",(IF((((105/'Rules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Formulas'!B12)),IFERROR(VLOOKUP(C165,Monsters!$T$4:$AH$15,3,FALSE),0),0)-IF(AND((E165="OK"),OR(B165="Buy upgrade",B165="Forge/Scrapwork buy"),IFERROR(VLOOKUP(C165,Upgrades!$N$4:$T$47,2,FALSE),0)="gold"),IFERROR(FLOOR(IFERROR(VLOOKUP(C165,Upgrades!$N$4:$T$47,3,FALSE),0)*(IFERROR(VLOOKUP(C165,Upgrades!$N$4:$T$47,4,FALSE),0)^(COUNTIFS($B$3:$B164,"Buy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buy",$C$3:$C164,C165))),1),0),0)-IF(AND((E165="OK"),B165="Hire hunter"),IF(C165="Briar",140,IF(C165="Quill",3650,IF(C165="Moss",4850,IF(C165="Ember",12200,0)))),0))</f>
        <v/>
      </c>
      <c r="I165" s="7">
        <f>IF(AND((E165="OK"),B165="Fight boss",(IF((((105/'Rules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Formulas'!B12)),0,MIN(IF(G164&lt;=1,120,IF(G164=2,280,600)),I164+IF(AND((E165="OK"),B165="Hunt"),((IF(B165="Hunt",(('Rules &amp; Formulas'!B4*N164*('Rules &amp; Formulas'!B5+O164)*IFERROR(VLOOKUP(C165,Monsters!$T$4:$AH$15,10,FALSE),0)*IFERROR(VLOOKUP(C165,Monsters!$T$4:$AH$15,9,FALSE),0))*'Rules &amp; Formulas'!B6)*IF(D165="",0,D165),0))*(IFERROR(VLOOKUP(C165,Monsters!$T$4:$AH$15,4,FALSE),0))+(IF(OR(B165&lt;&gt;"Hunt",IFERROR(VLOOKUP(C165,Monsters!$T$4:$AH$15,6,FALSE),0)=0),0,FLOOR((IF(B165="Hunt",(('Rules &amp; Formulas'!B4*N164*('Rules &amp; Formulas'!B5+O164)*IFERROR(VLOOKUP(C165,Monsters!$T$4:$AH$15,10,FALSE),0)*IFERROR(VLOOKUP(C165,Monsters!$T$4:$AH$15,9,FALSE),0))*'Rules &amp; Formulas'!B6)*IF(D165="",0,D165),0))/MAX(1,IFERROR(VLOOKUP(C165,Monsters!$T$4:$AH$15,6,FALSE),0)),1)))*(IFERROR(VLOOKUP(C165,Monsters!$T$4:$AH$15,7,FALSE),0))),0)+IF(AND((E165="OK"),B165="Go AFK"),((IF(B165="Go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AFK",IF(D165="",0,D165),0),Z164/60)*60)),0))*(IFERROR(VLOOKUP(C165,Monsters!$T$4:$AH$15,4,FALSE),0))+(IF(OR(B165&lt;&gt;"Go AFK",IFERROR(VLOOKUP(C165,Monsters!$T$4:$AH$15,6,FALSE),0)=0),0,FLOOR((IF(B165="Go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AFK",IF(D165="",0,D165),0),Z164/60)*60)),0))/MAX(1,IFERROR(VLOOKUP(C165,Monsters!$T$4:$AH$15,6,FALSE),0)),1)))*(IFERROR(VLOOKUP(C165,Monsters!$T$4:$AH$15,7,FALSE),0))),0)))</f>
        <v/>
      </c>
      <c r="J165" s="7">
        <f>MAX(0,J164+IF(AND((E165="OK"),B165="Hunt"),(IF(B165="Hunt",(('Rules &amp; Formulas'!B4*N164*('Rules &amp; Formulas'!B5+O164)*IFERROR(VLOOKUP(C165,Monsters!$T$4:$AH$15,10,FALSE),0)*IFERROR(VLOOKUP(C165,Monsters!$T$4:$AH$15,9,FALSE),0))*'Rules &amp; Formulas'!B6)*IF(D165="",0,D165),0))*(IFERROR(VLOOKUP(C165,Monsters!$T$4:$AH$15,5,FALSE),0)),0)+IF(AND((E165="OK"),B165="Go AFK"),(IF(B165="Go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AFK",IF(D165="",0,D165),0),Z164/60)*60)),0))*(IFERROR(VLOOKUP(C165,Monsters!$T$4:$AH$15,5,FALSE),0)),0)-IF(AND((E165="OK"),OR(B165="Buy upgrade",B165="Forge/Scrapwork buy"),IFERROR(VLOOKUP(C165,Upgrades!$N$4:$T$47,2,FALSE),0)="scraps"),IFERROR(FLOOR(IFERROR(VLOOKUP(C165,Upgrades!$N$4:$T$47,3,FALSE),0)*(IFERROR(VLOOKUP(C165,Upgrades!$N$4:$T$47,4,FALSE),0)^(COUNTIFS($B$3:$B164,"Buy upgrade",$C$3:$C164,C165)+COUNTIFS($B$3:$B164,"Hire hunter",$C$3:$C164,C165)+COUNTIFS($B$3:$B164,"Forge/Scrapwork buy",$C$3:$C164,C165))),1),0),0))</f>
        <v/>
      </c>
      <c r="K165" s="7">
        <f>MAX(0,K164+IF(AND((E165="OK"),B165="Hunt"),IF(C165="Thornpelt Bear",(IF(B165="Hunt",(('Rules &amp; Formulas'!B4*N164*('Rules &amp; Formulas'!B5+O164)*IFERROR(VLOOKUP(C165,Monsters!$T$4:$AH$15,10,FALSE),0)*IFERROR(VLOOKUP(C165,Monsters!$T$4:$AH$15,9,FALSE),0))*'Rules &amp; Formulas'!B6)*IF(D165="",0,D165),0))*0.12,0),0)+IF(AND((E165="OK"),B165="Go AFK"),IF(C165="Thornpelt Bear",(IF(B165="Go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AFK",IF(D165="",0,D165),0),Z164/60)*60)),0))*0.12,0),0))</f>
        <v/>
      </c>
      <c r="L165" s="7">
        <f>MAX(0,L164+IF(AND((E165="OK"),B165="Hunt"),IF(C165="Dire Thornpelt",(IF(B165="Hunt",(('Rules &amp; Formulas'!B4*N164*('Rules &amp; Formulas'!B5+O164)*IFERROR(VLOOKUP(C165,Monsters!$T$4:$AH$15,10,FALSE),0)*IFERROR(VLOOKUP(C165,Monsters!$T$4:$AH$15,9,FALSE),0))*'Rules &amp; Formulas'!B6)*IF(D165="",0,D165),0))*0.1,0),0)+IF(AND((E165="OK"),B165="Go AFK"),IF(C165="Dire Thornpelt",(IF(B165="Go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AFK",IF(D165="",0,D165),0),Z164/60)*60)),0))*0.1,0),0))</f>
        <v/>
      </c>
      <c r="M165" s="7">
        <f>IF(AND((E165="OK"),B165="Go AFK"),MAX(0,MIN(('Rules &amp; Formulas'!B15+25*AJ164),M164+('Rules &amp; Formulas'!B14+0.4*AJ164)*(MIN(IF(B165="Go AFK",IF(D165="",0,D165),0),Z164/60)*60))-(IF(B165="Go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AFK",IF(D165="",0,D165),0),Z164/60)*60)),0))*(IF((IFERROR(VLOOKUP(C165,Monsters!$T$4:$AH$15,8,FALSE),0))=0,0.35,IFERROR(VLOOKUP(C165,Monsters!$T$4:$AH$15,8,FALSE),0))/(1+0.08*AK164))),MIN(('Rules &amp; Formulas'!B15+25*AJ165),M164))</f>
        <v/>
      </c>
      <c r="N165" s="7">
        <f>(1+0.08+0.12*AA165+0.12*AB165+0.16*AC165)</f>
        <v/>
      </c>
      <c r="O165" s="7">
        <f>((AD165&gt;=1)*1*(1+0.3*AE165))</f>
        <v/>
      </c>
      <c r="P165" s="7">
        <f>IF(OR(B165="Hunt",B165="Go AFK"),(('Rules &amp; Formulas'!B4*N164*('Rules &amp; Formulas'!B5+O164)*IFERROR(VLOOKUP(C165,Monsters!$T$4:$AH$15,10,FALSE),0)*IFERROR(VLOOKUP(C165,Monsters!$T$4:$AH$15,9,FALSE),0))*'Rules &amp; Formulas'!B6),"")</f>
        <v/>
      </c>
      <c r="Q165" s="7">
        <f>IF(OR(B165="Hunt",B165="Go AFK"),('Rules &amp; Formulas'!B4*N164*('Rules &amp; Formulas'!B5+O164)*IFERROR(VLOOKUP(C165,Monsters!$T$4:$AH$15,10,FALSE),0)*IFERROR(VLOOKUP(C165,Monsters!$T$4:$AH$15,9,FALSE),0)),"")</f>
        <v/>
      </c>
      <c r="R165" s="7">
        <f>IF(AND((E165="OK"),B165="Hunt"),IF(B165="Hunt",(('Rules &amp; Formulas'!B4*N164*('Rules &amp; Formulas'!B5+O164)*IFERROR(VLOOKUP(C165,Monsters!$T$4:$AH$15,10,FALSE),0)*IFERROR(VLOOKUP(C165,Monsters!$T$4:$AH$15,9,FALSE),0))*'Rules &amp; Formulas'!B6)*IF(D165="",0,D165),0),IF(AND((E165="OK"),B165="Go AFK"),IF(B165="Go AFK",MIN(IF((IF((IFERROR(VLOOKUP(C165,Monsters!$T$4:$AH$15,8,FALSE),0))=0,0.35,IFERROR(VLOOKUP(C165,Monsters!$T$4:$AH$15,8,FALSE),0))/(1+0.08*AK164))&lt;=0,999999,FLOOR(MIN(('Rules &amp; Formulas'!B15+25*AJ164),M164+('Rules &amp; Formulas'!B14+0.4*AJ164)*(MIN(IF(B165="Go AFK",IF(D165="",0,D165),0),Z164/60)*60))/(IF((IFERROR(VLOOKUP(C165,Monsters!$T$4:$AH$15,8,FALSE),0))=0,0.35,IFERROR(VLOOKUP(C165,Monsters!$T$4:$AH$15,8,FALSE),0))/(1+0.08*AK164)),1)),('Rules &amp; Formulas'!B4*N164*('Rules &amp; Formulas'!B5+O164)*IFERROR(VLOOKUP(C165,Monsters!$T$4:$AH$15,10,FALSE),0)*IFERROR(VLOOKUP(C165,Monsters!$T$4:$AH$15,9,FALSE),0))*(MIN(IF(B165="Go AFK",IF(D165="",0,D165),0),Z164/60)*60)),0),0))</f>
        <v/>
      </c>
      <c r="S165" s="7">
        <f>(105/'Rules &amp; Formulas'!B10)*'Rules &amp; Formulas'!B11</f>
        <v/>
      </c>
      <c r="T165" s="7">
        <f>IF(AD164&gt;=1,(MAX(1,ROUND('Rules &amp; Formulas'!B18*(1+0.3*AE164)*(1+0.4*AF164),0)))*(1000/'Rules &amp; Formulas'!B19)*MIN(0.95,'Rules &amp; Formulas'!B20*SQRT(1+0.55*(AG164&gt;=1))),0)</f>
        <v/>
      </c>
      <c r="U165" s="7">
        <f>S165+T165</f>
        <v/>
      </c>
      <c r="V165" s="7">
        <f>IF(I164&gt;=IF((IFERROR(VLOOKUP(C165,Monsters!$T$4:$AH$15,15,FALSE),0))=0,120,IFERROR(VLOOKUP(C165,Monsters!$T$4:$AH$15,15,FALSE),0)),"YES","no")</f>
        <v/>
      </c>
      <c r="W165" s="7">
        <f>IF(AND(B165="Fight boss",E165="OK"),IF((((105/'Rules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Formulas'!B20*SQRT(1+0.55*(AG164&gt;=1))),0)))),"")</f>
        <v/>
      </c>
      <c r="X165" s="7">
        <f>IF(AND(B165="Fight boss",E165="OK"),IF((IF((((105/'Rules &amp; Formulas'!B10)*'Rules &amp; Formulas'!B11+IF(AD164&gt;=1,(MAX(1,ROUND('Rules &amp; Formulas'!B18*(1+0.3*AE164)*(1+0.4*AF164),0)))*(1000/'Rules &amp; Formulas'!B19)*MIN(0.95,'Rules &amp; Formulas'!B20*SQRT(1+0.55*(AG164&gt;=1))),0)))&lt;=0,9999,(IFERROR(VLOOKUP(C165,Monsters!$T$4:$AH$15,2,FALSE),0))/(((105/'Rules &amp; Formulas'!B10)*'Rules &amp; Formulas'!B11+IF(AD164&gt;=1,(MAX(1,ROUND('Rules &amp; Formulas'!B18*(1+0.3*AE164)*(1+0.4*AF164),0)))*(1000/'Rules &amp; Formulas'!B19)*MIN(0.95,'Rules &amp; Formulas'!B20*SQRT(1+0.55*(AG164&gt;=1))),0))))&lt;='Rules &amp; Formulas'!B12),"WIN","LOSE"),"")</f>
        <v/>
      </c>
      <c r="Y165" s="7">
        <f>IF(B165="Go AFK",MIN(IF(B165="Go AFK",IF(D165="",0,D165),0),Z164/60),"")</f>
        <v/>
      </c>
      <c r="Z165" s="7">
        <f>('Rules &amp; Formulas'!B13+30*AI165)</f>
        <v/>
      </c>
      <c r="AA165">
        <f>COUNTIFS($B$3:$B165,"Buy upgrade",$C$3:$C165,"Idle Power")</f>
        <v/>
      </c>
      <c r="AB165">
        <f>COUNTIFS($B$3:$B165,"Buy upgrade",$C$3:$C165,"Iron Blade")</f>
        <v/>
      </c>
      <c r="AC165">
        <f>COUNTIFS($B$3:$B165,"Buy upgrade",$C$3:$C165,"Steel Blade")</f>
        <v/>
      </c>
      <c r="AD165">
        <f>COUNTIFS($B$3:$B165,"Hire hunter",$C$3:$C165,"Briar")+COUNTIFS($B$3:$B165,"Buy upgrade",$C$3:$C165,"Hire Briar")</f>
        <v/>
      </c>
      <c r="AE165">
        <f>COUNTIFS($B$3:$B165,"Buy upgrade",$C$3:$C165,"Hunter Power")</f>
        <v/>
      </c>
      <c r="AF165">
        <f>COUNTIFS($B$3:$B165,"Buy upgrade",$C$3:$C165,"Bigger Hits")</f>
        <v/>
      </c>
      <c r="AG165">
        <f>COUNTIFS($B$3:$B165,"Buy upgrade",$C$3:$C165,"Swift Walk")</f>
        <v/>
      </c>
      <c r="AH165">
        <f>COUNTIFS($B$3:$B165,"Buy upgrade",$C$3:$C165,"Loot Luck")</f>
        <v/>
      </c>
      <c r="AI165">
        <f>COUNTIFS($B$3:$B165,"Buy upgrade",$C$3:$C165,"Offline Cap")</f>
        <v/>
      </c>
      <c r="AJ165">
        <f>COUNTIFS($B$3:$B165,"Buy upgrade",$C$3:$C165,"Bigger Food Stock")</f>
        <v/>
      </c>
      <c r="AK165">
        <f>COUNTIFS($B$3:$B165,"Buy upgrade",$C$3:$C165,"Food Efficiency")</f>
        <v/>
      </c>
    </row>
    <row r="166">
      <c r="A166" t="n">
        <v>164</v>
      </c>
      <c r="B166" s="6" t="n"/>
      <c r="C166" s="6" t="n"/>
      <c r="D166" s="6" t="n"/>
      <c r="E166" s="7">
        <f>IF(B166="","",IF(OR(B166="Hunt",B166="Go AFK"),IF(C166="","Can't","OK"),IF(B166="Fight boss",IF(I165&lt;IF((IFERROR(VLOOKUP(C166,Monsters!$T$4:$AH$15,15,FALSE),0))=0,120,IFERROR(VLOOKUP(C166,Monsters!$T$4:$AH$15,15,FALSE),0)),"Can't","OK"),IF(B166="Hire hunter",IF(AND(C166="Briar",AD165&gt;=1),"Can't",IF(H165&lt;IF(C166="Briar",140,IF(C166="Quill",3650,IF(C166="Moss",4850,IF(C166="Ember",12200,0)))),"Can't","OK")),IF(OR(B166="Buy upgrade",B166="Forge/Scrapwork buy"),IF(IFERROR(VLOOKUP(C166,Upgrades!$N$4:$T$47,2,FALSE),0)="points","Can't",IF(IFERROR(VLOOKUP(C166,Upgrades!$N$4:$T$47,2,FALSE),0)="gold",IF(H165&lt;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buy",$C$3:$C165,C166))),1),0),"Can't","OK"),IF(IFERROR(VLOOKUP(C166,Upgrades!$N$4:$T$47,2,FALSE),0)="scraps",IF(J165&lt;IFERROR(FLOOR(IFERROR(VLOOKUP(C166,Upgrades!$N$4:$T$47,3,FALSE),0)*(IFERROR(VLOOKUP(C166,Upgrades!$N$4:$T$47,4,FALSE),0)^(COUNTIFS($B$3:$B165,"Buy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buy",$C$3:$C165,C166))),1),0),"Can't","OK"),IF(IFERROR(VLOOKUP(C166,Upgrades!$N$4:$T$47,2,FALSE),0)="mats","Can't","OK")))),"Check")))))</f>
        <v/>
      </c>
      <c r="F166" s="7">
        <f>IF(B166="","",IF(AND(B166="Fight boss",I165&lt;IF((IFERROR(VLOOKUP(C166,Monsters!$T$4:$AH$15,15,FALSE),0))=0,120,IFERROR(VLOOKUP(C166,Monsters!$T$4:$AH$15,15,FALSE),0))),"Can't — need "&amp;TEXT(IF((IFERROR(VLOOKUP(C166,Monsters!$T$4:$AH$15,15,FALSE),0))=0,120,IFERROR(VLOOKUP(C166,Monsters!$T$4:$AH$15,15,FALSE),0))-I165,"0.0")&amp;" more Slayer points on the meter",IF(AND(B166="Hire hunter",C166="Briar",AD165&gt;=1),"Can't — already hired",IF(AND(B166="Hire hunter",H165&lt;IF(C166="Briar",140,IF(C166="Quill",3650,IF(C166="Moss",4850,IF(C166="Ember",12200,0))))),"Can't — need "&amp;TEXT(IF(C166="Briar",140,IF(C166="Quill",3650,IF(C166="Moss",4850,IF(C166="Ember",12200,0))))-H165,"0")&amp;" more gold",IF(AND(OR(B166="Buy upgrade",B166="Forge/Scrapwork buy"),IFERROR(VLOOKUP(C166,Upgrades!$N$4:$T$47,2,FALSE),0)="points"),"Can't — Sp-wallet spends not tracked here",IF(AND(OR(B166="Buy upgrade",B166="Forge/Scrapwork buy"),IFERROR(VLOOKUP(C166,Upgrades!$N$4:$T$47,2,FALSE),0)="gold",H165&lt;IFERROR(FLOOR(IFERROR(VLOOKUP(C166,Upgrades!$N$4:$T$47,3,FALSE),0)*(IFERROR(VLOOKUP(C166,Upgrades!$N$4:$T$47,4,FALSE),0)^(COUNTIFS($B$3:$B165,"Buy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buy",$C$3:$C165,C166))),1),0)),"Can't — need "&amp;TEXT(IFERROR(FLOOR(IFERROR(VLOOKUP(C166,Upgrades!$N$4:$T$47,3,FALSE),0)*(IFERROR(VLOOKUP(C166,Upgrades!$N$4:$T$47,4,FALSE),0)^(COUNTIFS($B$3:$B165,"Buy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buy",$C$3:$C165,C166))),1),0)-H165,"0")&amp;" more gold",IF(AND(OR(B166="Buy upgrade",B166="Forge/Scrapwork buy"),IFERROR(VLOOKUP(C166,Upgrades!$N$4:$T$47,2,FALSE),0)="scraps",J165&lt;IFERROR(FLOOR(IFERROR(VLOOKUP(C166,Upgrades!$N$4:$T$47,3,FALSE),0)*(IFERROR(VLOOKUP(C166,Upgrades!$N$4:$T$47,4,FALSE),0)^(COUNTIFS($B$3:$B165,"Buy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buy",$C$3:$C165,C166))),1),0)),"Can't — need "&amp;TEXT(IFERROR(FLOOR(IFERROR(VLOOKUP(C166,Upgrades!$N$4:$T$47,3,FALSE),0)*(IFERROR(VLOOKUP(C166,Upgrades!$N$4:$T$47,4,FALSE),0)^(COUNTIFS($B$3:$B165,"Buy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buy",$C$3:$C165,C166))),1),0)-J165,"0")&amp;" more scraps",IF(AND(B166="Fight boss",E166="OK",(IF((((105/'Rules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Formulas'!B12)),"WIN — boss down, next Level unlocks",IF(AND(B166="Fight boss",E166="OK"),"LOSE — TTK "&amp;TEXT(IF((((105/'Rules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Formulas'!B20*SQRT(1+0.55*(AG165&gt;=1))),0)))),"0")&amp;"s &gt; patience "&amp;TEXT('Rules &amp; Formulas'!B12,"0")&amp;"s (leave resets HP)",IF(B166="Go AFK","AFK resolved (see AFK counted h)","Applied")))))))))</f>
        <v/>
      </c>
      <c r="G166" s="7">
        <f>IF(AND((E166="OK"),B166="Fight boss",(IF((((105/'Rules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Formulas'!B12),C166="Elder Thornpelt"),2,IF(AND((E166="OK"),B166="Fight boss",(IF((((105/'Rules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Formulas'!B12),C166="Ashfang Alpha"),3,G165))</f>
        <v/>
      </c>
      <c r="H166" s="7">
        <f>MAX(0,H165+IF(AND((E166="OK"),B166="Hunt"),(IF(B166="Hunt",(('Rules &amp; Formulas'!B4*N165*('Rules &amp; Formulas'!B5+O165)*IFERROR(VLOOKUP(C166,Monsters!$T$4:$AH$15,10,FALSE),0)*IFERROR(VLOOKUP(C166,Monsters!$T$4:$AH$15,9,FALSE),0))*'Rules &amp; Formulas'!B6)*IF(D166="",0,D166),0))*(IFERROR(VLOOKUP(C166,Monsters!$T$4:$AH$15,3,FALSE),0))*(1+0.1*AH165)+(IF(OR(B166&lt;&gt;"Hunt",IFERROR(VLOOKUP(C166,Monsters!$T$4:$AH$15,6,FALSE),0)=0),0,FLOOR((IF(B166="Hunt",(('Rules &amp; Formulas'!B4*N165*('Rules &amp; Formulas'!B5+O165)*IFERROR(VLOOKUP(C166,Monsters!$T$4:$AH$15,10,FALSE),0)*IFERROR(VLOOKUP(C166,Monsters!$T$4:$AH$15,9,FALSE),0))*'Rules &amp; Formulas'!B6)*IF(D166="",0,D166),0))/MAX(1,IFERROR(VLOOKUP(C166,Monsters!$T$4:$AH$15,6,FALSE),0)),1)))*(IFERROR(VLOOKUP(C166,Monsters!$T$4:$AH$15,7,FALSE),0))*0.5*(1+0.1*AH165),0)+IF(AND((E166="OK"),B166="Go AFK"),(IF(B166="Go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AFK",IF(D166="",0,D166),0),Z165/60)*60)),0))*(IFERROR(VLOOKUP(C166,Monsters!$T$4:$AH$15,3,FALSE),0))*(1+0.1*AH165)+(IF(OR(B166&lt;&gt;"Go AFK",IFERROR(VLOOKUP(C166,Monsters!$T$4:$AH$15,6,FALSE),0)=0),0,FLOOR((IF(B166="Go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AFK",IF(D166="",0,D166),0),Z165/60)*60)),0))/MAX(1,IFERROR(VLOOKUP(C166,Monsters!$T$4:$AH$15,6,FALSE),0)),1)))*(IFERROR(VLOOKUP(C166,Monsters!$T$4:$AH$15,7,FALSE),0))*0.5*(1+0.1*AH165),0)+IF(AND((E166="OK"),B166="Fight boss",(IF((((105/'Rules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Formulas'!B12)),IFERROR(VLOOKUP(C166,Monsters!$T$4:$AH$15,3,FALSE),0),0)-IF(AND((E166="OK"),OR(B166="Buy upgrade",B166="Forge/Scrapwork buy"),IFERROR(VLOOKUP(C166,Upgrades!$N$4:$T$47,2,FALSE),0)="gold"),IFERROR(FLOOR(IFERROR(VLOOKUP(C166,Upgrades!$N$4:$T$47,3,FALSE),0)*(IFERROR(VLOOKUP(C166,Upgrades!$N$4:$T$47,4,FALSE),0)^(COUNTIFS($B$3:$B165,"Buy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buy",$C$3:$C165,C166))),1),0),0)-IF(AND((E166="OK"),B166="Hire hunter"),IF(C166="Briar",140,IF(C166="Quill",3650,IF(C166="Moss",4850,IF(C166="Ember",12200,0)))),0))</f>
        <v/>
      </c>
      <c r="I166" s="7">
        <f>IF(AND((E166="OK"),B166="Fight boss",(IF((((105/'Rules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Formulas'!B12)),0,MIN(IF(G165&lt;=1,120,IF(G165=2,280,600)),I165+IF(AND((E166="OK"),B166="Hunt"),((IF(B166="Hunt",(('Rules &amp; Formulas'!B4*N165*('Rules &amp; Formulas'!B5+O165)*IFERROR(VLOOKUP(C166,Monsters!$T$4:$AH$15,10,FALSE),0)*IFERROR(VLOOKUP(C166,Monsters!$T$4:$AH$15,9,FALSE),0))*'Rules &amp; Formulas'!B6)*IF(D166="",0,D166),0))*(IFERROR(VLOOKUP(C166,Monsters!$T$4:$AH$15,4,FALSE),0))+(IF(OR(B166&lt;&gt;"Hunt",IFERROR(VLOOKUP(C166,Monsters!$T$4:$AH$15,6,FALSE),0)=0),0,FLOOR((IF(B166="Hunt",(('Rules &amp; Formulas'!B4*N165*('Rules &amp; Formulas'!B5+O165)*IFERROR(VLOOKUP(C166,Monsters!$T$4:$AH$15,10,FALSE),0)*IFERROR(VLOOKUP(C166,Monsters!$T$4:$AH$15,9,FALSE),0))*'Rules &amp; Formulas'!B6)*IF(D166="",0,D166),0))/MAX(1,IFERROR(VLOOKUP(C166,Monsters!$T$4:$AH$15,6,FALSE),0)),1)))*(IFERROR(VLOOKUP(C166,Monsters!$T$4:$AH$15,7,FALSE),0))),0)+IF(AND((E166="OK"),B166="Go AFK"),((IF(B166="Go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AFK",IF(D166="",0,D166),0),Z165/60)*60)),0))*(IFERROR(VLOOKUP(C166,Monsters!$T$4:$AH$15,4,FALSE),0))+(IF(OR(B166&lt;&gt;"Go AFK",IFERROR(VLOOKUP(C166,Monsters!$T$4:$AH$15,6,FALSE),0)=0),0,FLOOR((IF(B166="Go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AFK",IF(D166="",0,D166),0),Z165/60)*60)),0))/MAX(1,IFERROR(VLOOKUP(C166,Monsters!$T$4:$AH$15,6,FALSE),0)),1)))*(IFERROR(VLOOKUP(C166,Monsters!$T$4:$AH$15,7,FALSE),0))),0)))</f>
        <v/>
      </c>
      <c r="J166" s="7">
        <f>MAX(0,J165+IF(AND((E166="OK"),B166="Hunt"),(IF(B166="Hunt",(('Rules &amp; Formulas'!B4*N165*('Rules &amp; Formulas'!B5+O165)*IFERROR(VLOOKUP(C166,Monsters!$T$4:$AH$15,10,FALSE),0)*IFERROR(VLOOKUP(C166,Monsters!$T$4:$AH$15,9,FALSE),0))*'Rules &amp; Formulas'!B6)*IF(D166="",0,D166),0))*(IFERROR(VLOOKUP(C166,Monsters!$T$4:$AH$15,5,FALSE),0)),0)+IF(AND((E166="OK"),B166="Go AFK"),(IF(B166="Go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AFK",IF(D166="",0,D166),0),Z165/60)*60)),0))*(IFERROR(VLOOKUP(C166,Monsters!$T$4:$AH$15,5,FALSE),0)),0)-IF(AND((E166="OK"),OR(B166="Buy upgrade",B166="Forge/Scrapwork buy"),IFERROR(VLOOKUP(C166,Upgrades!$N$4:$T$47,2,FALSE),0)="scraps"),IFERROR(FLOOR(IFERROR(VLOOKUP(C166,Upgrades!$N$4:$T$47,3,FALSE),0)*(IFERROR(VLOOKUP(C166,Upgrades!$N$4:$T$47,4,FALSE),0)^(COUNTIFS($B$3:$B165,"Buy upgrade",$C$3:$C165,C166)+COUNTIFS($B$3:$B165,"Hire hunter",$C$3:$C165,C166)+COUNTIFS($B$3:$B165,"Forge/Scrapwork buy",$C$3:$C165,C166))),1),0),0))</f>
        <v/>
      </c>
      <c r="K166" s="7">
        <f>MAX(0,K165+IF(AND((E166="OK"),B166="Hunt"),IF(C166="Thornpelt Bear",(IF(B166="Hunt",(('Rules &amp; Formulas'!B4*N165*('Rules &amp; Formulas'!B5+O165)*IFERROR(VLOOKUP(C166,Monsters!$T$4:$AH$15,10,FALSE),0)*IFERROR(VLOOKUP(C166,Monsters!$T$4:$AH$15,9,FALSE),0))*'Rules &amp; Formulas'!B6)*IF(D166="",0,D166),0))*0.12,0),0)+IF(AND((E166="OK"),B166="Go AFK"),IF(C166="Thornpelt Bear",(IF(B166="Go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AFK",IF(D166="",0,D166),0),Z165/60)*60)),0))*0.12,0),0))</f>
        <v/>
      </c>
      <c r="L166" s="7">
        <f>MAX(0,L165+IF(AND((E166="OK"),B166="Hunt"),IF(C166="Dire Thornpelt",(IF(B166="Hunt",(('Rules &amp; Formulas'!B4*N165*('Rules &amp; Formulas'!B5+O165)*IFERROR(VLOOKUP(C166,Monsters!$T$4:$AH$15,10,FALSE),0)*IFERROR(VLOOKUP(C166,Monsters!$T$4:$AH$15,9,FALSE),0))*'Rules &amp; Formulas'!B6)*IF(D166="",0,D166),0))*0.1,0),0)+IF(AND((E166="OK"),B166="Go AFK"),IF(C166="Dire Thornpelt",(IF(B166="Go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AFK",IF(D166="",0,D166),0),Z165/60)*60)),0))*0.1,0),0))</f>
        <v/>
      </c>
      <c r="M166" s="7">
        <f>IF(AND((E166="OK"),B166="Go AFK"),MAX(0,MIN(('Rules &amp; Formulas'!B15+25*AJ165),M165+('Rules &amp; Formulas'!B14+0.4*AJ165)*(MIN(IF(B166="Go AFK",IF(D166="",0,D166),0),Z165/60)*60))-(IF(B166="Go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AFK",IF(D166="",0,D166),0),Z165/60)*60)),0))*(IF((IFERROR(VLOOKUP(C166,Monsters!$T$4:$AH$15,8,FALSE),0))=0,0.35,IFERROR(VLOOKUP(C166,Monsters!$T$4:$AH$15,8,FALSE),0))/(1+0.08*AK165))),MIN(('Rules &amp; Formulas'!B15+25*AJ166),M165))</f>
        <v/>
      </c>
      <c r="N166" s="7">
        <f>(1+0.08+0.12*AA166+0.12*AB166+0.16*AC166)</f>
        <v/>
      </c>
      <c r="O166" s="7">
        <f>((AD166&gt;=1)*1*(1+0.3*AE166))</f>
        <v/>
      </c>
      <c r="P166" s="7">
        <f>IF(OR(B166="Hunt",B166="Go AFK"),(('Rules &amp; Formulas'!B4*N165*('Rules &amp; Formulas'!B5+O165)*IFERROR(VLOOKUP(C166,Monsters!$T$4:$AH$15,10,FALSE),0)*IFERROR(VLOOKUP(C166,Monsters!$T$4:$AH$15,9,FALSE),0))*'Rules &amp; Formulas'!B6),"")</f>
        <v/>
      </c>
      <c r="Q166" s="7">
        <f>IF(OR(B166="Hunt",B166="Go AFK"),('Rules &amp; Formulas'!B4*N165*('Rules &amp; Formulas'!B5+O165)*IFERROR(VLOOKUP(C166,Monsters!$T$4:$AH$15,10,FALSE),0)*IFERROR(VLOOKUP(C166,Monsters!$T$4:$AH$15,9,FALSE),0)),"")</f>
        <v/>
      </c>
      <c r="R166" s="7">
        <f>IF(AND((E166="OK"),B166="Hunt"),IF(B166="Hunt",(('Rules &amp; Formulas'!B4*N165*('Rules &amp; Formulas'!B5+O165)*IFERROR(VLOOKUP(C166,Monsters!$T$4:$AH$15,10,FALSE),0)*IFERROR(VLOOKUP(C166,Monsters!$T$4:$AH$15,9,FALSE),0))*'Rules &amp; Formulas'!B6)*IF(D166="",0,D166),0),IF(AND((E166="OK"),B166="Go AFK"),IF(B166="Go AFK",MIN(IF((IF((IFERROR(VLOOKUP(C166,Monsters!$T$4:$AH$15,8,FALSE),0))=0,0.35,IFERROR(VLOOKUP(C166,Monsters!$T$4:$AH$15,8,FALSE),0))/(1+0.08*AK165))&lt;=0,999999,FLOOR(MIN(('Rules &amp; Formulas'!B15+25*AJ165),M165+('Rules &amp; Formulas'!B14+0.4*AJ165)*(MIN(IF(B166="Go AFK",IF(D166="",0,D166),0),Z165/60)*60))/(IF((IFERROR(VLOOKUP(C166,Monsters!$T$4:$AH$15,8,FALSE),0))=0,0.35,IFERROR(VLOOKUP(C166,Monsters!$T$4:$AH$15,8,FALSE),0))/(1+0.08*AK165)),1)),('Rules &amp; Formulas'!B4*N165*('Rules &amp; Formulas'!B5+O165)*IFERROR(VLOOKUP(C166,Monsters!$T$4:$AH$15,10,FALSE),0)*IFERROR(VLOOKUP(C166,Monsters!$T$4:$AH$15,9,FALSE),0))*(MIN(IF(B166="Go AFK",IF(D166="",0,D166),0),Z165/60)*60)),0),0))</f>
        <v/>
      </c>
      <c r="S166" s="7">
        <f>(105/'Rules &amp; Formulas'!B10)*'Rules &amp; Formulas'!B11</f>
        <v/>
      </c>
      <c r="T166" s="7">
        <f>IF(AD165&gt;=1,(MAX(1,ROUND('Rules &amp; Formulas'!B18*(1+0.3*AE165)*(1+0.4*AF165),0)))*(1000/'Rules &amp; Formulas'!B19)*MIN(0.95,'Rules &amp; Formulas'!B20*SQRT(1+0.55*(AG165&gt;=1))),0)</f>
        <v/>
      </c>
      <c r="U166" s="7">
        <f>S166+T166</f>
        <v/>
      </c>
      <c r="V166" s="7">
        <f>IF(I165&gt;=IF((IFERROR(VLOOKUP(C166,Monsters!$T$4:$AH$15,15,FALSE),0))=0,120,IFERROR(VLOOKUP(C166,Monsters!$T$4:$AH$15,15,FALSE),0)),"YES","no")</f>
        <v/>
      </c>
      <c r="W166" s="7">
        <f>IF(AND(B166="Fight boss",E166="OK"),IF((((105/'Rules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Formulas'!B20*SQRT(1+0.55*(AG165&gt;=1))),0)))),"")</f>
        <v/>
      </c>
      <c r="X166" s="7">
        <f>IF(AND(B166="Fight boss",E166="OK"),IF((IF((((105/'Rules &amp; Formulas'!B10)*'Rules &amp; Formulas'!B11+IF(AD165&gt;=1,(MAX(1,ROUND('Rules &amp; Formulas'!B18*(1+0.3*AE165)*(1+0.4*AF165),0)))*(1000/'Rules &amp; Formulas'!B19)*MIN(0.95,'Rules &amp; Formulas'!B20*SQRT(1+0.55*(AG165&gt;=1))),0)))&lt;=0,9999,(IFERROR(VLOOKUP(C166,Monsters!$T$4:$AH$15,2,FALSE),0))/(((105/'Rules &amp; Formulas'!B10)*'Rules &amp; Formulas'!B11+IF(AD165&gt;=1,(MAX(1,ROUND('Rules &amp; Formulas'!B18*(1+0.3*AE165)*(1+0.4*AF165),0)))*(1000/'Rules &amp; Formulas'!B19)*MIN(0.95,'Rules &amp; Formulas'!B20*SQRT(1+0.55*(AG165&gt;=1))),0))))&lt;='Rules &amp; Formulas'!B12),"WIN","LOSE"),"")</f>
        <v/>
      </c>
      <c r="Y166" s="7">
        <f>IF(B166="Go AFK",MIN(IF(B166="Go AFK",IF(D166="",0,D166),0),Z165/60),"")</f>
        <v/>
      </c>
      <c r="Z166" s="7">
        <f>('Rules &amp; Formulas'!B13+30*AI166)</f>
        <v/>
      </c>
      <c r="AA166">
        <f>COUNTIFS($B$3:$B166,"Buy upgrade",$C$3:$C166,"Idle Power")</f>
        <v/>
      </c>
      <c r="AB166">
        <f>COUNTIFS($B$3:$B166,"Buy upgrade",$C$3:$C166,"Iron Blade")</f>
        <v/>
      </c>
      <c r="AC166">
        <f>COUNTIFS($B$3:$B166,"Buy upgrade",$C$3:$C166,"Steel Blade")</f>
        <v/>
      </c>
      <c r="AD166">
        <f>COUNTIFS($B$3:$B166,"Hire hunter",$C$3:$C166,"Briar")+COUNTIFS($B$3:$B166,"Buy upgrade",$C$3:$C166,"Hire Briar")</f>
        <v/>
      </c>
      <c r="AE166">
        <f>COUNTIFS($B$3:$B166,"Buy upgrade",$C$3:$C166,"Hunter Power")</f>
        <v/>
      </c>
      <c r="AF166">
        <f>COUNTIFS($B$3:$B166,"Buy upgrade",$C$3:$C166,"Bigger Hits")</f>
        <v/>
      </c>
      <c r="AG166">
        <f>COUNTIFS($B$3:$B166,"Buy upgrade",$C$3:$C166,"Swift Walk")</f>
        <v/>
      </c>
      <c r="AH166">
        <f>COUNTIFS($B$3:$B166,"Buy upgrade",$C$3:$C166,"Loot Luck")</f>
        <v/>
      </c>
      <c r="AI166">
        <f>COUNTIFS($B$3:$B166,"Buy upgrade",$C$3:$C166,"Offline Cap")</f>
        <v/>
      </c>
      <c r="AJ166">
        <f>COUNTIFS($B$3:$B166,"Buy upgrade",$C$3:$C166,"Bigger Food Stock")</f>
        <v/>
      </c>
      <c r="AK166">
        <f>COUNTIFS($B$3:$B166,"Buy upgrade",$C$3:$C166,"Food Efficiency")</f>
        <v/>
      </c>
    </row>
    <row r="167">
      <c r="A167" t="n">
        <v>165</v>
      </c>
      <c r="B167" s="6" t="n"/>
      <c r="C167" s="6" t="n"/>
      <c r="D167" s="6" t="n"/>
      <c r="E167" s="7">
        <f>IF(B167="","",IF(OR(B167="Hunt",B167="Go AFK"),IF(C167="","Can't","OK"),IF(B167="Fight boss",IF(I166&lt;IF((IFERROR(VLOOKUP(C167,Monsters!$T$4:$AH$15,15,FALSE),0))=0,120,IFERROR(VLOOKUP(C167,Monsters!$T$4:$AH$15,15,FALSE),0)),"Can't","OK"),IF(B167="Hire hunter",IF(AND(C167="Briar",AD166&gt;=1),"Can't",IF(H166&lt;IF(C167="Briar",140,IF(C167="Quill",3650,IF(C167="Moss",4850,IF(C167="Ember",12200,0)))),"Can't","OK")),IF(OR(B167="Buy upgrade",B167="Forge/Scrapwork buy"),IF(IFERROR(VLOOKUP(C167,Upgrades!$N$4:$T$47,2,FALSE),0)="points","Can't",IF(IFERROR(VLOOKUP(C167,Upgrades!$N$4:$T$47,2,FALSE),0)="gold",IF(H166&lt;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buy",$C$3:$C166,C167))),1),0),"Can't","OK"),IF(IFERROR(VLOOKUP(C167,Upgrades!$N$4:$T$47,2,FALSE),0)="scraps",IF(J166&lt;IFERROR(FLOOR(IFERROR(VLOOKUP(C167,Upgrades!$N$4:$T$47,3,FALSE),0)*(IFERROR(VLOOKUP(C167,Upgrades!$N$4:$T$47,4,FALSE),0)^(COUNTIFS($B$3:$B166,"Buy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buy",$C$3:$C166,C167))),1),0),"Can't","OK"),IF(IFERROR(VLOOKUP(C167,Upgrades!$N$4:$T$47,2,FALSE),0)="mats","Can't","OK")))),"Check")))))</f>
        <v/>
      </c>
      <c r="F167" s="7">
        <f>IF(B167="","",IF(AND(B167="Fight boss",I166&lt;IF((IFERROR(VLOOKUP(C167,Monsters!$T$4:$AH$15,15,FALSE),0))=0,120,IFERROR(VLOOKUP(C167,Monsters!$T$4:$AH$15,15,FALSE),0))),"Can't — need "&amp;TEXT(IF((IFERROR(VLOOKUP(C167,Monsters!$T$4:$AH$15,15,FALSE),0))=0,120,IFERROR(VLOOKUP(C167,Monsters!$T$4:$AH$15,15,FALSE),0))-I166,"0.0")&amp;" more Slayer points on the meter",IF(AND(B167="Hire hunter",C167="Briar",AD166&gt;=1),"Can't — already hired",IF(AND(B167="Hire hunter",H166&lt;IF(C167="Briar",140,IF(C167="Quill",3650,IF(C167="Moss",4850,IF(C167="Ember",12200,0))))),"Can't — need "&amp;TEXT(IF(C167="Briar",140,IF(C167="Quill",3650,IF(C167="Moss",4850,IF(C167="Ember",12200,0))))-H166,"0")&amp;" more gold",IF(AND(OR(B167="Buy upgrade",B167="Forge/Scrapwork buy"),IFERROR(VLOOKUP(C167,Upgrades!$N$4:$T$47,2,FALSE),0)="points"),"Can't — Sp-wallet spends not tracked here",IF(AND(OR(B167="Buy upgrade",B167="Forge/Scrapwork buy"),IFERROR(VLOOKUP(C167,Upgrades!$N$4:$T$47,2,FALSE),0)="gold",H166&lt;IFERROR(FLOOR(IFERROR(VLOOKUP(C167,Upgrades!$N$4:$T$47,3,FALSE),0)*(IFERROR(VLOOKUP(C167,Upgrades!$N$4:$T$47,4,FALSE),0)^(COUNTIFS($B$3:$B166,"Buy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buy",$C$3:$C166,C167))),1),0)),"Can't — need "&amp;TEXT(IFERROR(FLOOR(IFERROR(VLOOKUP(C167,Upgrades!$N$4:$T$47,3,FALSE),0)*(IFERROR(VLOOKUP(C167,Upgrades!$N$4:$T$47,4,FALSE),0)^(COUNTIFS($B$3:$B166,"Buy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buy",$C$3:$C166,C167))),1),0)-H166,"0")&amp;" more gold",IF(AND(OR(B167="Buy upgrade",B167="Forge/Scrapwork buy"),IFERROR(VLOOKUP(C167,Upgrades!$N$4:$T$47,2,FALSE),0)="scraps",J166&lt;IFERROR(FLOOR(IFERROR(VLOOKUP(C167,Upgrades!$N$4:$T$47,3,FALSE),0)*(IFERROR(VLOOKUP(C167,Upgrades!$N$4:$T$47,4,FALSE),0)^(COUNTIFS($B$3:$B166,"Buy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buy",$C$3:$C166,C167))),1),0)),"Can't — need "&amp;TEXT(IFERROR(FLOOR(IFERROR(VLOOKUP(C167,Upgrades!$N$4:$T$47,3,FALSE),0)*(IFERROR(VLOOKUP(C167,Upgrades!$N$4:$T$47,4,FALSE),0)^(COUNTIFS($B$3:$B166,"Buy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buy",$C$3:$C166,C167))),1),0)-J166,"0")&amp;" more scraps",IF(AND(B167="Fight boss",E167="OK",(IF((((105/'Rules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Formulas'!B12)),"WIN — boss down, next Level unlocks",IF(AND(B167="Fight boss",E167="OK"),"LOSE — TTK "&amp;TEXT(IF((((105/'Rules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Formulas'!B20*SQRT(1+0.55*(AG166&gt;=1))),0)))),"0")&amp;"s &gt; patience "&amp;TEXT('Rules &amp; Formulas'!B12,"0")&amp;"s (leave resets HP)",IF(B167="Go AFK","AFK resolved (see AFK counted h)","Applied")))))))))</f>
        <v/>
      </c>
      <c r="G167" s="7">
        <f>IF(AND((E167="OK"),B167="Fight boss",(IF((((105/'Rules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Formulas'!B12),C167="Elder Thornpelt"),2,IF(AND((E167="OK"),B167="Fight boss",(IF((((105/'Rules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Formulas'!B12),C167="Ashfang Alpha"),3,G166))</f>
        <v/>
      </c>
      <c r="H167" s="7">
        <f>MAX(0,H166+IF(AND((E167="OK"),B167="Hunt"),(IF(B167="Hunt",(('Rules &amp; Formulas'!B4*N166*('Rules &amp; Formulas'!B5+O166)*IFERROR(VLOOKUP(C167,Monsters!$T$4:$AH$15,10,FALSE),0)*IFERROR(VLOOKUP(C167,Monsters!$T$4:$AH$15,9,FALSE),0))*'Rules &amp; Formulas'!B6)*IF(D167="",0,D167),0))*(IFERROR(VLOOKUP(C167,Monsters!$T$4:$AH$15,3,FALSE),0))*(1+0.1*AH166)+(IF(OR(B167&lt;&gt;"Hunt",IFERROR(VLOOKUP(C167,Monsters!$T$4:$AH$15,6,FALSE),0)=0),0,FLOOR((IF(B167="Hunt",(('Rules &amp; Formulas'!B4*N166*('Rules &amp; Formulas'!B5+O166)*IFERROR(VLOOKUP(C167,Monsters!$T$4:$AH$15,10,FALSE),0)*IFERROR(VLOOKUP(C167,Monsters!$T$4:$AH$15,9,FALSE),0))*'Rules &amp; Formulas'!B6)*IF(D167="",0,D167),0))/MAX(1,IFERROR(VLOOKUP(C167,Monsters!$T$4:$AH$15,6,FALSE),0)),1)))*(IFERROR(VLOOKUP(C167,Monsters!$T$4:$AH$15,7,FALSE),0))*0.5*(1+0.1*AH166),0)+IF(AND((E167="OK"),B167="Go AFK"),(IF(B167="Go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AFK",IF(D167="",0,D167),0),Z166/60)*60)),0))*(IFERROR(VLOOKUP(C167,Monsters!$T$4:$AH$15,3,FALSE),0))*(1+0.1*AH166)+(IF(OR(B167&lt;&gt;"Go AFK",IFERROR(VLOOKUP(C167,Monsters!$T$4:$AH$15,6,FALSE),0)=0),0,FLOOR((IF(B167="Go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AFK",IF(D167="",0,D167),0),Z166/60)*60)),0))/MAX(1,IFERROR(VLOOKUP(C167,Monsters!$T$4:$AH$15,6,FALSE),0)),1)))*(IFERROR(VLOOKUP(C167,Monsters!$T$4:$AH$15,7,FALSE),0))*0.5*(1+0.1*AH166),0)+IF(AND((E167="OK"),B167="Fight boss",(IF((((105/'Rules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Formulas'!B12)),IFERROR(VLOOKUP(C167,Monsters!$T$4:$AH$15,3,FALSE),0),0)-IF(AND((E167="OK"),OR(B167="Buy upgrade",B167="Forge/Scrapwork buy"),IFERROR(VLOOKUP(C167,Upgrades!$N$4:$T$47,2,FALSE),0)="gold"),IFERROR(FLOOR(IFERROR(VLOOKUP(C167,Upgrades!$N$4:$T$47,3,FALSE),0)*(IFERROR(VLOOKUP(C167,Upgrades!$N$4:$T$47,4,FALSE),0)^(COUNTIFS($B$3:$B166,"Buy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buy",$C$3:$C166,C167))),1),0),0)-IF(AND((E167="OK"),B167="Hire hunter"),IF(C167="Briar",140,IF(C167="Quill",3650,IF(C167="Moss",4850,IF(C167="Ember",12200,0)))),0))</f>
        <v/>
      </c>
      <c r="I167" s="7">
        <f>IF(AND((E167="OK"),B167="Fight boss",(IF((((105/'Rules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Formulas'!B12)),0,MIN(IF(G166&lt;=1,120,IF(G166=2,280,600)),I166+IF(AND((E167="OK"),B167="Hunt"),((IF(B167="Hunt",(('Rules &amp; Formulas'!B4*N166*('Rules &amp; Formulas'!B5+O166)*IFERROR(VLOOKUP(C167,Monsters!$T$4:$AH$15,10,FALSE),0)*IFERROR(VLOOKUP(C167,Monsters!$T$4:$AH$15,9,FALSE),0))*'Rules &amp; Formulas'!B6)*IF(D167="",0,D167),0))*(IFERROR(VLOOKUP(C167,Monsters!$T$4:$AH$15,4,FALSE),0))+(IF(OR(B167&lt;&gt;"Hunt",IFERROR(VLOOKUP(C167,Monsters!$T$4:$AH$15,6,FALSE),0)=0),0,FLOOR((IF(B167="Hunt",(('Rules &amp; Formulas'!B4*N166*('Rules &amp; Formulas'!B5+O166)*IFERROR(VLOOKUP(C167,Monsters!$T$4:$AH$15,10,FALSE),0)*IFERROR(VLOOKUP(C167,Monsters!$T$4:$AH$15,9,FALSE),0))*'Rules &amp; Formulas'!B6)*IF(D167="",0,D167),0))/MAX(1,IFERROR(VLOOKUP(C167,Monsters!$T$4:$AH$15,6,FALSE),0)),1)))*(IFERROR(VLOOKUP(C167,Monsters!$T$4:$AH$15,7,FALSE),0))),0)+IF(AND((E167="OK"),B167="Go AFK"),((IF(B167="Go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AFK",IF(D167="",0,D167),0),Z166/60)*60)),0))*(IFERROR(VLOOKUP(C167,Monsters!$T$4:$AH$15,4,FALSE),0))+(IF(OR(B167&lt;&gt;"Go AFK",IFERROR(VLOOKUP(C167,Monsters!$T$4:$AH$15,6,FALSE),0)=0),0,FLOOR((IF(B167="Go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AFK",IF(D167="",0,D167),0),Z166/60)*60)),0))/MAX(1,IFERROR(VLOOKUP(C167,Monsters!$T$4:$AH$15,6,FALSE),0)),1)))*(IFERROR(VLOOKUP(C167,Monsters!$T$4:$AH$15,7,FALSE),0))),0)))</f>
        <v/>
      </c>
      <c r="J167" s="7">
        <f>MAX(0,J166+IF(AND((E167="OK"),B167="Hunt"),(IF(B167="Hunt",(('Rules &amp; Formulas'!B4*N166*('Rules &amp; Formulas'!B5+O166)*IFERROR(VLOOKUP(C167,Monsters!$T$4:$AH$15,10,FALSE),0)*IFERROR(VLOOKUP(C167,Monsters!$T$4:$AH$15,9,FALSE),0))*'Rules &amp; Formulas'!B6)*IF(D167="",0,D167),0))*(IFERROR(VLOOKUP(C167,Monsters!$T$4:$AH$15,5,FALSE),0)),0)+IF(AND((E167="OK"),B167="Go AFK"),(IF(B167="Go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AFK",IF(D167="",0,D167),0),Z166/60)*60)),0))*(IFERROR(VLOOKUP(C167,Monsters!$T$4:$AH$15,5,FALSE),0)),0)-IF(AND((E167="OK"),OR(B167="Buy upgrade",B167="Forge/Scrapwork buy"),IFERROR(VLOOKUP(C167,Upgrades!$N$4:$T$47,2,FALSE),0)="scraps"),IFERROR(FLOOR(IFERROR(VLOOKUP(C167,Upgrades!$N$4:$T$47,3,FALSE),0)*(IFERROR(VLOOKUP(C167,Upgrades!$N$4:$T$47,4,FALSE),0)^(COUNTIFS($B$3:$B166,"Buy upgrade",$C$3:$C166,C167)+COUNTIFS($B$3:$B166,"Hire hunter",$C$3:$C166,C167)+COUNTIFS($B$3:$B166,"Forge/Scrapwork buy",$C$3:$C166,C167))),1),0),0))</f>
        <v/>
      </c>
      <c r="K167" s="7">
        <f>MAX(0,K166+IF(AND((E167="OK"),B167="Hunt"),IF(C167="Thornpelt Bear",(IF(B167="Hunt",(('Rules &amp; Formulas'!B4*N166*('Rules &amp; Formulas'!B5+O166)*IFERROR(VLOOKUP(C167,Monsters!$T$4:$AH$15,10,FALSE),0)*IFERROR(VLOOKUP(C167,Monsters!$T$4:$AH$15,9,FALSE),0))*'Rules &amp; Formulas'!B6)*IF(D167="",0,D167),0))*0.12,0),0)+IF(AND((E167="OK"),B167="Go AFK"),IF(C167="Thornpelt Bear",(IF(B167="Go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AFK",IF(D167="",0,D167),0),Z166/60)*60)),0))*0.12,0),0))</f>
        <v/>
      </c>
      <c r="L167" s="7">
        <f>MAX(0,L166+IF(AND((E167="OK"),B167="Hunt"),IF(C167="Dire Thornpelt",(IF(B167="Hunt",(('Rules &amp; Formulas'!B4*N166*('Rules &amp; Formulas'!B5+O166)*IFERROR(VLOOKUP(C167,Monsters!$T$4:$AH$15,10,FALSE),0)*IFERROR(VLOOKUP(C167,Monsters!$T$4:$AH$15,9,FALSE),0))*'Rules &amp; Formulas'!B6)*IF(D167="",0,D167),0))*0.1,0),0)+IF(AND((E167="OK"),B167="Go AFK"),IF(C167="Dire Thornpelt",(IF(B167="Go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AFK",IF(D167="",0,D167),0),Z166/60)*60)),0))*0.1,0),0))</f>
        <v/>
      </c>
      <c r="M167" s="7">
        <f>IF(AND((E167="OK"),B167="Go AFK"),MAX(0,MIN(('Rules &amp; Formulas'!B15+25*AJ166),M166+('Rules &amp; Formulas'!B14+0.4*AJ166)*(MIN(IF(B167="Go AFK",IF(D167="",0,D167),0),Z166/60)*60))-(IF(B167="Go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AFK",IF(D167="",0,D167),0),Z166/60)*60)),0))*(IF((IFERROR(VLOOKUP(C167,Monsters!$T$4:$AH$15,8,FALSE),0))=0,0.35,IFERROR(VLOOKUP(C167,Monsters!$T$4:$AH$15,8,FALSE),0))/(1+0.08*AK166))),MIN(('Rules &amp; Formulas'!B15+25*AJ167),M166))</f>
        <v/>
      </c>
      <c r="N167" s="7">
        <f>(1+0.08+0.12*AA167+0.12*AB167+0.16*AC167)</f>
        <v/>
      </c>
      <c r="O167" s="7">
        <f>((AD167&gt;=1)*1*(1+0.3*AE167))</f>
        <v/>
      </c>
      <c r="P167" s="7">
        <f>IF(OR(B167="Hunt",B167="Go AFK"),(('Rules &amp; Formulas'!B4*N166*('Rules &amp; Formulas'!B5+O166)*IFERROR(VLOOKUP(C167,Monsters!$T$4:$AH$15,10,FALSE),0)*IFERROR(VLOOKUP(C167,Monsters!$T$4:$AH$15,9,FALSE),0))*'Rules &amp; Formulas'!B6),"")</f>
        <v/>
      </c>
      <c r="Q167" s="7">
        <f>IF(OR(B167="Hunt",B167="Go AFK"),('Rules &amp; Formulas'!B4*N166*('Rules &amp; Formulas'!B5+O166)*IFERROR(VLOOKUP(C167,Monsters!$T$4:$AH$15,10,FALSE),0)*IFERROR(VLOOKUP(C167,Monsters!$T$4:$AH$15,9,FALSE),0)),"")</f>
        <v/>
      </c>
      <c r="R167" s="7">
        <f>IF(AND((E167="OK"),B167="Hunt"),IF(B167="Hunt",(('Rules &amp; Formulas'!B4*N166*('Rules &amp; Formulas'!B5+O166)*IFERROR(VLOOKUP(C167,Monsters!$T$4:$AH$15,10,FALSE),0)*IFERROR(VLOOKUP(C167,Monsters!$T$4:$AH$15,9,FALSE),0))*'Rules &amp; Formulas'!B6)*IF(D167="",0,D167),0),IF(AND((E167="OK"),B167="Go AFK"),IF(B167="Go AFK",MIN(IF((IF((IFERROR(VLOOKUP(C167,Monsters!$T$4:$AH$15,8,FALSE),0))=0,0.35,IFERROR(VLOOKUP(C167,Monsters!$T$4:$AH$15,8,FALSE),0))/(1+0.08*AK166))&lt;=0,999999,FLOOR(MIN(('Rules &amp; Formulas'!B15+25*AJ166),M166+('Rules &amp; Formulas'!B14+0.4*AJ166)*(MIN(IF(B167="Go AFK",IF(D167="",0,D167),0),Z166/60)*60))/(IF((IFERROR(VLOOKUP(C167,Monsters!$T$4:$AH$15,8,FALSE),0))=0,0.35,IFERROR(VLOOKUP(C167,Monsters!$T$4:$AH$15,8,FALSE),0))/(1+0.08*AK166)),1)),('Rules &amp; Formulas'!B4*N166*('Rules &amp; Formulas'!B5+O166)*IFERROR(VLOOKUP(C167,Monsters!$T$4:$AH$15,10,FALSE),0)*IFERROR(VLOOKUP(C167,Monsters!$T$4:$AH$15,9,FALSE),0))*(MIN(IF(B167="Go AFK",IF(D167="",0,D167),0),Z166/60)*60)),0),0))</f>
        <v/>
      </c>
      <c r="S167" s="7">
        <f>(105/'Rules &amp; Formulas'!B10)*'Rules &amp; Formulas'!B11</f>
        <v/>
      </c>
      <c r="T167" s="7">
        <f>IF(AD166&gt;=1,(MAX(1,ROUND('Rules &amp; Formulas'!B18*(1+0.3*AE166)*(1+0.4*AF166),0)))*(1000/'Rules &amp; Formulas'!B19)*MIN(0.95,'Rules &amp; Formulas'!B20*SQRT(1+0.55*(AG166&gt;=1))),0)</f>
        <v/>
      </c>
      <c r="U167" s="7">
        <f>S167+T167</f>
        <v/>
      </c>
      <c r="V167" s="7">
        <f>IF(I166&gt;=IF((IFERROR(VLOOKUP(C167,Monsters!$T$4:$AH$15,15,FALSE),0))=0,120,IFERROR(VLOOKUP(C167,Monsters!$T$4:$AH$15,15,FALSE),0)),"YES","no")</f>
        <v/>
      </c>
      <c r="W167" s="7">
        <f>IF(AND(B167="Fight boss",E167="OK"),IF((((105/'Rules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Formulas'!B20*SQRT(1+0.55*(AG166&gt;=1))),0)))),"")</f>
        <v/>
      </c>
      <c r="X167" s="7">
        <f>IF(AND(B167="Fight boss",E167="OK"),IF((IF((((105/'Rules &amp; Formulas'!B10)*'Rules &amp; Formulas'!B11+IF(AD166&gt;=1,(MAX(1,ROUND('Rules &amp; Formulas'!B18*(1+0.3*AE166)*(1+0.4*AF166),0)))*(1000/'Rules &amp; Formulas'!B19)*MIN(0.95,'Rules &amp; Formulas'!B20*SQRT(1+0.55*(AG166&gt;=1))),0)))&lt;=0,9999,(IFERROR(VLOOKUP(C167,Monsters!$T$4:$AH$15,2,FALSE),0))/(((105/'Rules &amp; Formulas'!B10)*'Rules &amp; Formulas'!B11+IF(AD166&gt;=1,(MAX(1,ROUND('Rules &amp; Formulas'!B18*(1+0.3*AE166)*(1+0.4*AF166),0)))*(1000/'Rules &amp; Formulas'!B19)*MIN(0.95,'Rules &amp; Formulas'!B20*SQRT(1+0.55*(AG166&gt;=1))),0))))&lt;='Rules &amp; Formulas'!B12),"WIN","LOSE"),"")</f>
        <v/>
      </c>
      <c r="Y167" s="7">
        <f>IF(B167="Go AFK",MIN(IF(B167="Go AFK",IF(D167="",0,D167),0),Z166/60),"")</f>
        <v/>
      </c>
      <c r="Z167" s="7">
        <f>('Rules &amp; Formulas'!B13+30*AI167)</f>
        <v/>
      </c>
      <c r="AA167">
        <f>COUNTIFS($B$3:$B167,"Buy upgrade",$C$3:$C167,"Idle Power")</f>
        <v/>
      </c>
      <c r="AB167">
        <f>COUNTIFS($B$3:$B167,"Buy upgrade",$C$3:$C167,"Iron Blade")</f>
        <v/>
      </c>
      <c r="AC167">
        <f>COUNTIFS($B$3:$B167,"Buy upgrade",$C$3:$C167,"Steel Blade")</f>
        <v/>
      </c>
      <c r="AD167">
        <f>COUNTIFS($B$3:$B167,"Hire hunter",$C$3:$C167,"Briar")+COUNTIFS($B$3:$B167,"Buy upgrade",$C$3:$C167,"Hire Briar")</f>
        <v/>
      </c>
      <c r="AE167">
        <f>COUNTIFS($B$3:$B167,"Buy upgrade",$C$3:$C167,"Hunter Power")</f>
        <v/>
      </c>
      <c r="AF167">
        <f>COUNTIFS($B$3:$B167,"Buy upgrade",$C$3:$C167,"Bigger Hits")</f>
        <v/>
      </c>
      <c r="AG167">
        <f>COUNTIFS($B$3:$B167,"Buy upgrade",$C$3:$C167,"Swift Walk")</f>
        <v/>
      </c>
      <c r="AH167">
        <f>COUNTIFS($B$3:$B167,"Buy upgrade",$C$3:$C167,"Loot Luck")</f>
        <v/>
      </c>
      <c r="AI167">
        <f>COUNTIFS($B$3:$B167,"Buy upgrade",$C$3:$C167,"Offline Cap")</f>
        <v/>
      </c>
      <c r="AJ167">
        <f>COUNTIFS($B$3:$B167,"Buy upgrade",$C$3:$C167,"Bigger Food Stock")</f>
        <v/>
      </c>
      <c r="AK167">
        <f>COUNTIFS($B$3:$B167,"Buy upgrade",$C$3:$C167,"Food Efficiency")</f>
        <v/>
      </c>
    </row>
    <row r="168">
      <c r="A168" t="n">
        <v>166</v>
      </c>
      <c r="B168" s="6" t="n"/>
      <c r="C168" s="6" t="n"/>
      <c r="D168" s="6" t="n"/>
      <c r="E168" s="7">
        <f>IF(B168="","",IF(OR(B168="Hunt",B168="Go AFK"),IF(C168="","Can't","OK"),IF(B168="Fight boss",IF(I167&lt;IF((IFERROR(VLOOKUP(C168,Monsters!$T$4:$AH$15,15,FALSE),0))=0,120,IFERROR(VLOOKUP(C168,Monsters!$T$4:$AH$15,15,FALSE),0)),"Can't","OK"),IF(B168="Hire hunter",IF(AND(C168="Briar",AD167&gt;=1),"Can't",IF(H167&lt;IF(C168="Briar",140,IF(C168="Quill",3650,IF(C168="Moss",4850,IF(C168="Ember",12200,0)))),"Can't","OK")),IF(OR(B168="Buy upgrade",B168="Forge/Scrapwork buy"),IF(IFERROR(VLOOKUP(C168,Upgrades!$N$4:$T$47,2,FALSE),0)="points","Can't",IF(IFERROR(VLOOKUP(C168,Upgrades!$N$4:$T$47,2,FALSE),0)="gold",IF(H167&lt;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buy",$C$3:$C167,C168))),1),0),"Can't","OK"),IF(IFERROR(VLOOKUP(C168,Upgrades!$N$4:$T$47,2,FALSE),0)="scraps",IF(J167&lt;IFERROR(FLOOR(IFERROR(VLOOKUP(C168,Upgrades!$N$4:$T$47,3,FALSE),0)*(IFERROR(VLOOKUP(C168,Upgrades!$N$4:$T$47,4,FALSE),0)^(COUNTIFS($B$3:$B167,"Buy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buy",$C$3:$C167,C168))),1),0),"Can't","OK"),IF(IFERROR(VLOOKUP(C168,Upgrades!$N$4:$T$47,2,FALSE),0)="mats","Can't","OK")))),"Check")))))</f>
        <v/>
      </c>
      <c r="F168" s="7">
        <f>IF(B168="","",IF(AND(B168="Fight boss",I167&lt;IF((IFERROR(VLOOKUP(C168,Monsters!$T$4:$AH$15,15,FALSE),0))=0,120,IFERROR(VLOOKUP(C168,Monsters!$T$4:$AH$15,15,FALSE),0))),"Can't — need "&amp;TEXT(IF((IFERROR(VLOOKUP(C168,Monsters!$T$4:$AH$15,15,FALSE),0))=0,120,IFERROR(VLOOKUP(C168,Monsters!$T$4:$AH$15,15,FALSE),0))-I167,"0.0")&amp;" more Slayer points on the meter",IF(AND(B168="Hire hunter",C168="Briar",AD167&gt;=1),"Can't — already hired",IF(AND(B168="Hire hunter",H167&lt;IF(C168="Briar",140,IF(C168="Quill",3650,IF(C168="Moss",4850,IF(C168="Ember",12200,0))))),"Can't — need "&amp;TEXT(IF(C168="Briar",140,IF(C168="Quill",3650,IF(C168="Moss",4850,IF(C168="Ember",12200,0))))-H167,"0")&amp;" more gold",IF(AND(OR(B168="Buy upgrade",B168="Forge/Scrapwork buy"),IFERROR(VLOOKUP(C168,Upgrades!$N$4:$T$47,2,FALSE),0)="points"),"Can't — Sp-wallet spends not tracked here",IF(AND(OR(B168="Buy upgrade",B168="Forge/Scrapwork buy"),IFERROR(VLOOKUP(C168,Upgrades!$N$4:$T$47,2,FALSE),0)="gold",H167&lt;IFERROR(FLOOR(IFERROR(VLOOKUP(C168,Upgrades!$N$4:$T$47,3,FALSE),0)*(IFERROR(VLOOKUP(C168,Upgrades!$N$4:$T$47,4,FALSE),0)^(COUNTIFS($B$3:$B167,"Buy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buy",$C$3:$C167,C168))),1),0)),"Can't — need "&amp;TEXT(IFERROR(FLOOR(IFERROR(VLOOKUP(C168,Upgrades!$N$4:$T$47,3,FALSE),0)*(IFERROR(VLOOKUP(C168,Upgrades!$N$4:$T$47,4,FALSE),0)^(COUNTIFS($B$3:$B167,"Buy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buy",$C$3:$C167,C168))),1),0)-H167,"0")&amp;" more gold",IF(AND(OR(B168="Buy upgrade",B168="Forge/Scrapwork buy"),IFERROR(VLOOKUP(C168,Upgrades!$N$4:$T$47,2,FALSE),0)="scraps",J167&lt;IFERROR(FLOOR(IFERROR(VLOOKUP(C168,Upgrades!$N$4:$T$47,3,FALSE),0)*(IFERROR(VLOOKUP(C168,Upgrades!$N$4:$T$47,4,FALSE),0)^(COUNTIFS($B$3:$B167,"Buy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buy",$C$3:$C167,C168))),1),0)),"Can't — need "&amp;TEXT(IFERROR(FLOOR(IFERROR(VLOOKUP(C168,Upgrades!$N$4:$T$47,3,FALSE),0)*(IFERROR(VLOOKUP(C168,Upgrades!$N$4:$T$47,4,FALSE),0)^(COUNTIFS($B$3:$B167,"Buy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buy",$C$3:$C167,C168))),1),0)-J167,"0")&amp;" more scraps",IF(AND(B168="Fight boss",E168="OK",(IF((((105/'Rules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Formulas'!B12)),"WIN — boss down, next Level unlocks",IF(AND(B168="Fight boss",E168="OK"),"LOSE — TTK "&amp;TEXT(IF((((105/'Rules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Formulas'!B20*SQRT(1+0.55*(AG167&gt;=1))),0)))),"0")&amp;"s &gt; patience "&amp;TEXT('Rules &amp; Formulas'!B12,"0")&amp;"s (leave resets HP)",IF(B168="Go AFK","AFK resolved (see AFK counted h)","Applied")))))))))</f>
        <v/>
      </c>
      <c r="G168" s="7">
        <f>IF(AND((E168="OK"),B168="Fight boss",(IF((((105/'Rules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Formulas'!B12),C168="Elder Thornpelt"),2,IF(AND((E168="OK"),B168="Fight boss",(IF((((105/'Rules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Formulas'!B12),C168="Ashfang Alpha"),3,G167))</f>
        <v/>
      </c>
      <c r="H168" s="7">
        <f>MAX(0,H167+IF(AND((E168="OK"),B168="Hunt"),(IF(B168="Hunt",(('Rules &amp; Formulas'!B4*N167*('Rules &amp; Formulas'!B5+O167)*IFERROR(VLOOKUP(C168,Monsters!$T$4:$AH$15,10,FALSE),0)*IFERROR(VLOOKUP(C168,Monsters!$T$4:$AH$15,9,FALSE),0))*'Rules &amp; Formulas'!B6)*IF(D168="",0,D168),0))*(IFERROR(VLOOKUP(C168,Monsters!$T$4:$AH$15,3,FALSE),0))*(1+0.1*AH167)+(IF(OR(B168&lt;&gt;"Hunt",IFERROR(VLOOKUP(C168,Monsters!$T$4:$AH$15,6,FALSE),0)=0),0,FLOOR((IF(B168="Hunt",(('Rules &amp; Formulas'!B4*N167*('Rules &amp; Formulas'!B5+O167)*IFERROR(VLOOKUP(C168,Monsters!$T$4:$AH$15,10,FALSE),0)*IFERROR(VLOOKUP(C168,Monsters!$T$4:$AH$15,9,FALSE),0))*'Rules &amp; Formulas'!B6)*IF(D168="",0,D168),0))/MAX(1,IFERROR(VLOOKUP(C168,Monsters!$T$4:$AH$15,6,FALSE),0)),1)))*(IFERROR(VLOOKUP(C168,Monsters!$T$4:$AH$15,7,FALSE),0))*0.5*(1+0.1*AH167),0)+IF(AND((E168="OK"),B168="Go AFK"),(IF(B168="Go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AFK",IF(D168="",0,D168),0),Z167/60)*60)),0))*(IFERROR(VLOOKUP(C168,Monsters!$T$4:$AH$15,3,FALSE),0))*(1+0.1*AH167)+(IF(OR(B168&lt;&gt;"Go AFK",IFERROR(VLOOKUP(C168,Monsters!$T$4:$AH$15,6,FALSE),0)=0),0,FLOOR((IF(B168="Go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AFK",IF(D168="",0,D168),0),Z167/60)*60)),0))/MAX(1,IFERROR(VLOOKUP(C168,Monsters!$T$4:$AH$15,6,FALSE),0)),1)))*(IFERROR(VLOOKUP(C168,Monsters!$T$4:$AH$15,7,FALSE),0))*0.5*(1+0.1*AH167),0)+IF(AND((E168="OK"),B168="Fight boss",(IF((((105/'Rules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Formulas'!B12)),IFERROR(VLOOKUP(C168,Monsters!$T$4:$AH$15,3,FALSE),0),0)-IF(AND((E168="OK"),OR(B168="Buy upgrade",B168="Forge/Scrapwork buy"),IFERROR(VLOOKUP(C168,Upgrades!$N$4:$T$47,2,FALSE),0)="gold"),IFERROR(FLOOR(IFERROR(VLOOKUP(C168,Upgrades!$N$4:$T$47,3,FALSE),0)*(IFERROR(VLOOKUP(C168,Upgrades!$N$4:$T$47,4,FALSE),0)^(COUNTIFS($B$3:$B167,"Buy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buy",$C$3:$C167,C168))),1),0),0)-IF(AND((E168="OK"),B168="Hire hunter"),IF(C168="Briar",140,IF(C168="Quill",3650,IF(C168="Moss",4850,IF(C168="Ember",12200,0)))),0))</f>
        <v/>
      </c>
      <c r="I168" s="7">
        <f>IF(AND((E168="OK"),B168="Fight boss",(IF((((105/'Rules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Formulas'!B12)),0,MIN(IF(G167&lt;=1,120,IF(G167=2,280,600)),I167+IF(AND((E168="OK"),B168="Hunt"),((IF(B168="Hunt",(('Rules &amp; Formulas'!B4*N167*('Rules &amp; Formulas'!B5+O167)*IFERROR(VLOOKUP(C168,Monsters!$T$4:$AH$15,10,FALSE),0)*IFERROR(VLOOKUP(C168,Monsters!$T$4:$AH$15,9,FALSE),0))*'Rules &amp; Formulas'!B6)*IF(D168="",0,D168),0))*(IFERROR(VLOOKUP(C168,Monsters!$T$4:$AH$15,4,FALSE),0))+(IF(OR(B168&lt;&gt;"Hunt",IFERROR(VLOOKUP(C168,Monsters!$T$4:$AH$15,6,FALSE),0)=0),0,FLOOR((IF(B168="Hunt",(('Rules &amp; Formulas'!B4*N167*('Rules &amp; Formulas'!B5+O167)*IFERROR(VLOOKUP(C168,Monsters!$T$4:$AH$15,10,FALSE),0)*IFERROR(VLOOKUP(C168,Monsters!$T$4:$AH$15,9,FALSE),0))*'Rules &amp; Formulas'!B6)*IF(D168="",0,D168),0))/MAX(1,IFERROR(VLOOKUP(C168,Monsters!$T$4:$AH$15,6,FALSE),0)),1)))*(IFERROR(VLOOKUP(C168,Monsters!$T$4:$AH$15,7,FALSE),0))),0)+IF(AND((E168="OK"),B168="Go AFK"),((IF(B168="Go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AFK",IF(D168="",0,D168),0),Z167/60)*60)),0))*(IFERROR(VLOOKUP(C168,Monsters!$T$4:$AH$15,4,FALSE),0))+(IF(OR(B168&lt;&gt;"Go AFK",IFERROR(VLOOKUP(C168,Monsters!$T$4:$AH$15,6,FALSE),0)=0),0,FLOOR((IF(B168="Go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AFK",IF(D168="",0,D168),0),Z167/60)*60)),0))/MAX(1,IFERROR(VLOOKUP(C168,Monsters!$T$4:$AH$15,6,FALSE),0)),1)))*(IFERROR(VLOOKUP(C168,Monsters!$T$4:$AH$15,7,FALSE),0))),0)))</f>
        <v/>
      </c>
      <c r="J168" s="7">
        <f>MAX(0,J167+IF(AND((E168="OK"),B168="Hunt"),(IF(B168="Hunt",(('Rules &amp; Formulas'!B4*N167*('Rules &amp; Formulas'!B5+O167)*IFERROR(VLOOKUP(C168,Monsters!$T$4:$AH$15,10,FALSE),0)*IFERROR(VLOOKUP(C168,Monsters!$T$4:$AH$15,9,FALSE),0))*'Rules &amp; Formulas'!B6)*IF(D168="",0,D168),0))*(IFERROR(VLOOKUP(C168,Monsters!$T$4:$AH$15,5,FALSE),0)),0)+IF(AND((E168="OK"),B168="Go AFK"),(IF(B168="Go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AFK",IF(D168="",0,D168),0),Z167/60)*60)),0))*(IFERROR(VLOOKUP(C168,Monsters!$T$4:$AH$15,5,FALSE),0)),0)-IF(AND((E168="OK"),OR(B168="Buy upgrade",B168="Forge/Scrapwork buy"),IFERROR(VLOOKUP(C168,Upgrades!$N$4:$T$47,2,FALSE),0)="scraps"),IFERROR(FLOOR(IFERROR(VLOOKUP(C168,Upgrades!$N$4:$T$47,3,FALSE),0)*(IFERROR(VLOOKUP(C168,Upgrades!$N$4:$T$47,4,FALSE),0)^(COUNTIFS($B$3:$B167,"Buy upgrade",$C$3:$C167,C168)+COUNTIFS($B$3:$B167,"Hire hunter",$C$3:$C167,C168)+COUNTIFS($B$3:$B167,"Forge/Scrapwork buy",$C$3:$C167,C168))),1),0),0))</f>
        <v/>
      </c>
      <c r="K168" s="7">
        <f>MAX(0,K167+IF(AND((E168="OK"),B168="Hunt"),IF(C168="Thornpelt Bear",(IF(B168="Hunt",(('Rules &amp; Formulas'!B4*N167*('Rules &amp; Formulas'!B5+O167)*IFERROR(VLOOKUP(C168,Monsters!$T$4:$AH$15,10,FALSE),0)*IFERROR(VLOOKUP(C168,Monsters!$T$4:$AH$15,9,FALSE),0))*'Rules &amp; Formulas'!B6)*IF(D168="",0,D168),0))*0.12,0),0)+IF(AND((E168="OK"),B168="Go AFK"),IF(C168="Thornpelt Bear",(IF(B168="Go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AFK",IF(D168="",0,D168),0),Z167/60)*60)),0))*0.12,0),0))</f>
        <v/>
      </c>
      <c r="L168" s="7">
        <f>MAX(0,L167+IF(AND((E168="OK"),B168="Hunt"),IF(C168="Dire Thornpelt",(IF(B168="Hunt",(('Rules &amp; Formulas'!B4*N167*('Rules &amp; Formulas'!B5+O167)*IFERROR(VLOOKUP(C168,Monsters!$T$4:$AH$15,10,FALSE),0)*IFERROR(VLOOKUP(C168,Monsters!$T$4:$AH$15,9,FALSE),0))*'Rules &amp; Formulas'!B6)*IF(D168="",0,D168),0))*0.1,0),0)+IF(AND((E168="OK"),B168="Go AFK"),IF(C168="Dire Thornpelt",(IF(B168="Go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AFK",IF(D168="",0,D168),0),Z167/60)*60)),0))*0.1,0),0))</f>
        <v/>
      </c>
      <c r="M168" s="7">
        <f>IF(AND((E168="OK"),B168="Go AFK"),MAX(0,MIN(('Rules &amp; Formulas'!B15+25*AJ167),M167+('Rules &amp; Formulas'!B14+0.4*AJ167)*(MIN(IF(B168="Go AFK",IF(D168="",0,D168),0),Z167/60)*60))-(IF(B168="Go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AFK",IF(D168="",0,D168),0),Z167/60)*60)),0))*(IF((IFERROR(VLOOKUP(C168,Monsters!$T$4:$AH$15,8,FALSE),0))=0,0.35,IFERROR(VLOOKUP(C168,Monsters!$T$4:$AH$15,8,FALSE),0))/(1+0.08*AK167))),MIN(('Rules &amp; Formulas'!B15+25*AJ168),M167))</f>
        <v/>
      </c>
      <c r="N168" s="7">
        <f>(1+0.08+0.12*AA168+0.12*AB168+0.16*AC168)</f>
        <v/>
      </c>
      <c r="O168" s="7">
        <f>((AD168&gt;=1)*1*(1+0.3*AE168))</f>
        <v/>
      </c>
      <c r="P168" s="7">
        <f>IF(OR(B168="Hunt",B168="Go AFK"),(('Rules &amp; Formulas'!B4*N167*('Rules &amp; Formulas'!B5+O167)*IFERROR(VLOOKUP(C168,Monsters!$T$4:$AH$15,10,FALSE),0)*IFERROR(VLOOKUP(C168,Monsters!$T$4:$AH$15,9,FALSE),0))*'Rules &amp; Formulas'!B6),"")</f>
        <v/>
      </c>
      <c r="Q168" s="7">
        <f>IF(OR(B168="Hunt",B168="Go AFK"),('Rules &amp; Formulas'!B4*N167*('Rules &amp; Formulas'!B5+O167)*IFERROR(VLOOKUP(C168,Monsters!$T$4:$AH$15,10,FALSE),0)*IFERROR(VLOOKUP(C168,Monsters!$T$4:$AH$15,9,FALSE),0)),"")</f>
        <v/>
      </c>
      <c r="R168" s="7">
        <f>IF(AND((E168="OK"),B168="Hunt"),IF(B168="Hunt",(('Rules &amp; Formulas'!B4*N167*('Rules &amp; Formulas'!B5+O167)*IFERROR(VLOOKUP(C168,Monsters!$T$4:$AH$15,10,FALSE),0)*IFERROR(VLOOKUP(C168,Monsters!$T$4:$AH$15,9,FALSE),0))*'Rules &amp; Formulas'!B6)*IF(D168="",0,D168),0),IF(AND((E168="OK"),B168="Go AFK"),IF(B168="Go AFK",MIN(IF((IF((IFERROR(VLOOKUP(C168,Monsters!$T$4:$AH$15,8,FALSE),0))=0,0.35,IFERROR(VLOOKUP(C168,Monsters!$T$4:$AH$15,8,FALSE),0))/(1+0.08*AK167))&lt;=0,999999,FLOOR(MIN(('Rules &amp; Formulas'!B15+25*AJ167),M167+('Rules &amp; Formulas'!B14+0.4*AJ167)*(MIN(IF(B168="Go AFK",IF(D168="",0,D168),0),Z167/60)*60))/(IF((IFERROR(VLOOKUP(C168,Monsters!$T$4:$AH$15,8,FALSE),0))=0,0.35,IFERROR(VLOOKUP(C168,Monsters!$T$4:$AH$15,8,FALSE),0))/(1+0.08*AK167)),1)),('Rules &amp; Formulas'!B4*N167*('Rules &amp; Formulas'!B5+O167)*IFERROR(VLOOKUP(C168,Monsters!$T$4:$AH$15,10,FALSE),0)*IFERROR(VLOOKUP(C168,Monsters!$T$4:$AH$15,9,FALSE),0))*(MIN(IF(B168="Go AFK",IF(D168="",0,D168),0),Z167/60)*60)),0),0))</f>
        <v/>
      </c>
      <c r="S168" s="7">
        <f>(105/'Rules &amp; Formulas'!B10)*'Rules &amp; Formulas'!B11</f>
        <v/>
      </c>
      <c r="T168" s="7">
        <f>IF(AD167&gt;=1,(MAX(1,ROUND('Rules &amp; Formulas'!B18*(1+0.3*AE167)*(1+0.4*AF167),0)))*(1000/'Rules &amp; Formulas'!B19)*MIN(0.95,'Rules &amp; Formulas'!B20*SQRT(1+0.55*(AG167&gt;=1))),0)</f>
        <v/>
      </c>
      <c r="U168" s="7">
        <f>S168+T168</f>
        <v/>
      </c>
      <c r="V168" s="7">
        <f>IF(I167&gt;=IF((IFERROR(VLOOKUP(C168,Monsters!$T$4:$AH$15,15,FALSE),0))=0,120,IFERROR(VLOOKUP(C168,Monsters!$T$4:$AH$15,15,FALSE),0)),"YES","no")</f>
        <v/>
      </c>
      <c r="W168" s="7">
        <f>IF(AND(B168="Fight boss",E168="OK"),IF((((105/'Rules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Formulas'!B20*SQRT(1+0.55*(AG167&gt;=1))),0)))),"")</f>
        <v/>
      </c>
      <c r="X168" s="7">
        <f>IF(AND(B168="Fight boss",E168="OK"),IF((IF((((105/'Rules &amp; Formulas'!B10)*'Rules &amp; Formulas'!B11+IF(AD167&gt;=1,(MAX(1,ROUND('Rules &amp; Formulas'!B18*(1+0.3*AE167)*(1+0.4*AF167),0)))*(1000/'Rules &amp; Formulas'!B19)*MIN(0.95,'Rules &amp; Formulas'!B20*SQRT(1+0.55*(AG167&gt;=1))),0)))&lt;=0,9999,(IFERROR(VLOOKUP(C168,Monsters!$T$4:$AH$15,2,FALSE),0))/(((105/'Rules &amp; Formulas'!B10)*'Rules &amp; Formulas'!B11+IF(AD167&gt;=1,(MAX(1,ROUND('Rules &amp; Formulas'!B18*(1+0.3*AE167)*(1+0.4*AF167),0)))*(1000/'Rules &amp; Formulas'!B19)*MIN(0.95,'Rules &amp; Formulas'!B20*SQRT(1+0.55*(AG167&gt;=1))),0))))&lt;='Rules &amp; Formulas'!B12),"WIN","LOSE"),"")</f>
        <v/>
      </c>
      <c r="Y168" s="7">
        <f>IF(B168="Go AFK",MIN(IF(B168="Go AFK",IF(D168="",0,D168),0),Z167/60),"")</f>
        <v/>
      </c>
      <c r="Z168" s="7">
        <f>('Rules &amp; Formulas'!B13+30*AI168)</f>
        <v/>
      </c>
      <c r="AA168">
        <f>COUNTIFS($B$3:$B168,"Buy upgrade",$C$3:$C168,"Idle Power")</f>
        <v/>
      </c>
      <c r="AB168">
        <f>COUNTIFS($B$3:$B168,"Buy upgrade",$C$3:$C168,"Iron Blade")</f>
        <v/>
      </c>
      <c r="AC168">
        <f>COUNTIFS($B$3:$B168,"Buy upgrade",$C$3:$C168,"Steel Blade")</f>
        <v/>
      </c>
      <c r="AD168">
        <f>COUNTIFS($B$3:$B168,"Hire hunter",$C$3:$C168,"Briar")+COUNTIFS($B$3:$B168,"Buy upgrade",$C$3:$C168,"Hire Briar")</f>
        <v/>
      </c>
      <c r="AE168">
        <f>COUNTIFS($B$3:$B168,"Buy upgrade",$C$3:$C168,"Hunter Power")</f>
        <v/>
      </c>
      <c r="AF168">
        <f>COUNTIFS($B$3:$B168,"Buy upgrade",$C$3:$C168,"Bigger Hits")</f>
        <v/>
      </c>
      <c r="AG168">
        <f>COUNTIFS($B$3:$B168,"Buy upgrade",$C$3:$C168,"Swift Walk")</f>
        <v/>
      </c>
      <c r="AH168">
        <f>COUNTIFS($B$3:$B168,"Buy upgrade",$C$3:$C168,"Loot Luck")</f>
        <v/>
      </c>
      <c r="AI168">
        <f>COUNTIFS($B$3:$B168,"Buy upgrade",$C$3:$C168,"Offline Cap")</f>
        <v/>
      </c>
      <c r="AJ168">
        <f>COUNTIFS($B$3:$B168,"Buy upgrade",$C$3:$C168,"Bigger Food Stock")</f>
        <v/>
      </c>
      <c r="AK168">
        <f>COUNTIFS($B$3:$B168,"Buy upgrade",$C$3:$C168,"Food Efficiency")</f>
        <v/>
      </c>
    </row>
    <row r="169">
      <c r="A169" t="n">
        <v>167</v>
      </c>
      <c r="B169" s="6" t="n"/>
      <c r="C169" s="6" t="n"/>
      <c r="D169" s="6" t="n"/>
      <c r="E169" s="7">
        <f>IF(B169="","",IF(OR(B169="Hunt",B169="Go AFK"),IF(C169="","Can't","OK"),IF(B169="Fight boss",IF(I168&lt;IF((IFERROR(VLOOKUP(C169,Monsters!$T$4:$AH$15,15,FALSE),0))=0,120,IFERROR(VLOOKUP(C169,Monsters!$T$4:$AH$15,15,FALSE),0)),"Can't","OK"),IF(B169="Hire hunter",IF(AND(C169="Briar",AD168&gt;=1),"Can't",IF(H168&lt;IF(C169="Briar",140,IF(C169="Quill",3650,IF(C169="Moss",4850,IF(C169="Ember",12200,0)))),"Can't","OK")),IF(OR(B169="Buy upgrade",B169="Forge/Scrapwork buy"),IF(IFERROR(VLOOKUP(C169,Upgrades!$N$4:$T$47,2,FALSE),0)="points","Can't",IF(IFERROR(VLOOKUP(C169,Upgrades!$N$4:$T$47,2,FALSE),0)="gold",IF(H168&lt;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buy",$C$3:$C168,C169))),1),0),"Can't","OK"),IF(IFERROR(VLOOKUP(C169,Upgrades!$N$4:$T$47,2,FALSE),0)="scraps",IF(J168&lt;IFERROR(FLOOR(IFERROR(VLOOKUP(C169,Upgrades!$N$4:$T$47,3,FALSE),0)*(IFERROR(VLOOKUP(C169,Upgrades!$N$4:$T$47,4,FALSE),0)^(COUNTIFS($B$3:$B168,"Buy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buy",$C$3:$C168,C169))),1),0),"Can't","OK"),IF(IFERROR(VLOOKUP(C169,Upgrades!$N$4:$T$47,2,FALSE),0)="mats","Can't","OK")))),"Check")))))</f>
        <v/>
      </c>
      <c r="F169" s="7">
        <f>IF(B169="","",IF(AND(B169="Fight boss",I168&lt;IF((IFERROR(VLOOKUP(C169,Monsters!$T$4:$AH$15,15,FALSE),0))=0,120,IFERROR(VLOOKUP(C169,Monsters!$T$4:$AH$15,15,FALSE),0))),"Can't — need "&amp;TEXT(IF((IFERROR(VLOOKUP(C169,Monsters!$T$4:$AH$15,15,FALSE),0))=0,120,IFERROR(VLOOKUP(C169,Monsters!$T$4:$AH$15,15,FALSE),0))-I168,"0.0")&amp;" more Slayer points on the meter",IF(AND(B169="Hire hunter",C169="Briar",AD168&gt;=1),"Can't — already hired",IF(AND(B169="Hire hunter",H168&lt;IF(C169="Briar",140,IF(C169="Quill",3650,IF(C169="Moss",4850,IF(C169="Ember",12200,0))))),"Can't — need "&amp;TEXT(IF(C169="Briar",140,IF(C169="Quill",3650,IF(C169="Moss",4850,IF(C169="Ember",12200,0))))-H168,"0")&amp;" more gold",IF(AND(OR(B169="Buy upgrade",B169="Forge/Scrapwork buy"),IFERROR(VLOOKUP(C169,Upgrades!$N$4:$T$47,2,FALSE),0)="points"),"Can't — Sp-wallet spends not tracked here",IF(AND(OR(B169="Buy upgrade",B169="Forge/Scrapwork buy"),IFERROR(VLOOKUP(C169,Upgrades!$N$4:$T$47,2,FALSE),0)="gold",H168&lt;IFERROR(FLOOR(IFERROR(VLOOKUP(C169,Upgrades!$N$4:$T$47,3,FALSE),0)*(IFERROR(VLOOKUP(C169,Upgrades!$N$4:$T$47,4,FALSE),0)^(COUNTIFS($B$3:$B168,"Buy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buy",$C$3:$C168,C169))),1),0)),"Can't — need "&amp;TEXT(IFERROR(FLOOR(IFERROR(VLOOKUP(C169,Upgrades!$N$4:$T$47,3,FALSE),0)*(IFERROR(VLOOKUP(C169,Upgrades!$N$4:$T$47,4,FALSE),0)^(COUNTIFS($B$3:$B168,"Buy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buy",$C$3:$C168,C169))),1),0)-H168,"0")&amp;" more gold",IF(AND(OR(B169="Buy upgrade",B169="Forge/Scrapwork buy"),IFERROR(VLOOKUP(C169,Upgrades!$N$4:$T$47,2,FALSE),0)="scraps",J168&lt;IFERROR(FLOOR(IFERROR(VLOOKUP(C169,Upgrades!$N$4:$T$47,3,FALSE),0)*(IFERROR(VLOOKUP(C169,Upgrades!$N$4:$T$47,4,FALSE),0)^(COUNTIFS($B$3:$B168,"Buy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buy",$C$3:$C168,C169))),1),0)),"Can't — need "&amp;TEXT(IFERROR(FLOOR(IFERROR(VLOOKUP(C169,Upgrades!$N$4:$T$47,3,FALSE),0)*(IFERROR(VLOOKUP(C169,Upgrades!$N$4:$T$47,4,FALSE),0)^(COUNTIFS($B$3:$B168,"Buy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buy",$C$3:$C168,C169))),1),0)-J168,"0")&amp;" more scraps",IF(AND(B169="Fight boss",E169="OK",(IF((((105/'Rules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Formulas'!B12)),"WIN — boss down, next Level unlocks",IF(AND(B169="Fight boss",E169="OK"),"LOSE — TTK "&amp;TEXT(IF((((105/'Rules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Formulas'!B20*SQRT(1+0.55*(AG168&gt;=1))),0)))),"0")&amp;"s &gt; patience "&amp;TEXT('Rules &amp; Formulas'!B12,"0")&amp;"s (leave resets HP)",IF(B169="Go AFK","AFK resolved (see AFK counted h)","Applied")))))))))</f>
        <v/>
      </c>
      <c r="G169" s="7">
        <f>IF(AND((E169="OK"),B169="Fight boss",(IF((((105/'Rules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Formulas'!B12),C169="Elder Thornpelt"),2,IF(AND((E169="OK"),B169="Fight boss",(IF((((105/'Rules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Formulas'!B12),C169="Ashfang Alpha"),3,G168))</f>
        <v/>
      </c>
      <c r="H169" s="7">
        <f>MAX(0,H168+IF(AND((E169="OK"),B169="Hunt"),(IF(B169="Hunt",(('Rules &amp; Formulas'!B4*N168*('Rules &amp; Formulas'!B5+O168)*IFERROR(VLOOKUP(C169,Monsters!$T$4:$AH$15,10,FALSE),0)*IFERROR(VLOOKUP(C169,Monsters!$T$4:$AH$15,9,FALSE),0))*'Rules &amp; Formulas'!B6)*IF(D169="",0,D169),0))*(IFERROR(VLOOKUP(C169,Monsters!$T$4:$AH$15,3,FALSE),0))*(1+0.1*AH168)+(IF(OR(B169&lt;&gt;"Hunt",IFERROR(VLOOKUP(C169,Monsters!$T$4:$AH$15,6,FALSE),0)=0),0,FLOOR((IF(B169="Hunt",(('Rules &amp; Formulas'!B4*N168*('Rules &amp; Formulas'!B5+O168)*IFERROR(VLOOKUP(C169,Monsters!$T$4:$AH$15,10,FALSE),0)*IFERROR(VLOOKUP(C169,Monsters!$T$4:$AH$15,9,FALSE),0))*'Rules &amp; Formulas'!B6)*IF(D169="",0,D169),0))/MAX(1,IFERROR(VLOOKUP(C169,Monsters!$T$4:$AH$15,6,FALSE),0)),1)))*(IFERROR(VLOOKUP(C169,Monsters!$T$4:$AH$15,7,FALSE),0))*0.5*(1+0.1*AH168),0)+IF(AND((E169="OK"),B169="Go AFK"),(IF(B169="Go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AFK",IF(D169="",0,D169),0),Z168/60)*60)),0))*(IFERROR(VLOOKUP(C169,Monsters!$T$4:$AH$15,3,FALSE),0))*(1+0.1*AH168)+(IF(OR(B169&lt;&gt;"Go AFK",IFERROR(VLOOKUP(C169,Monsters!$T$4:$AH$15,6,FALSE),0)=0),0,FLOOR((IF(B169="Go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AFK",IF(D169="",0,D169),0),Z168/60)*60)),0))/MAX(1,IFERROR(VLOOKUP(C169,Monsters!$T$4:$AH$15,6,FALSE),0)),1)))*(IFERROR(VLOOKUP(C169,Monsters!$T$4:$AH$15,7,FALSE),0))*0.5*(1+0.1*AH168),0)+IF(AND((E169="OK"),B169="Fight boss",(IF((((105/'Rules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Formulas'!B12)),IFERROR(VLOOKUP(C169,Monsters!$T$4:$AH$15,3,FALSE),0),0)-IF(AND((E169="OK"),OR(B169="Buy upgrade",B169="Forge/Scrapwork buy"),IFERROR(VLOOKUP(C169,Upgrades!$N$4:$T$47,2,FALSE),0)="gold"),IFERROR(FLOOR(IFERROR(VLOOKUP(C169,Upgrades!$N$4:$T$47,3,FALSE),0)*(IFERROR(VLOOKUP(C169,Upgrades!$N$4:$T$47,4,FALSE),0)^(COUNTIFS($B$3:$B168,"Buy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buy",$C$3:$C168,C169))),1),0),0)-IF(AND((E169="OK"),B169="Hire hunter"),IF(C169="Briar",140,IF(C169="Quill",3650,IF(C169="Moss",4850,IF(C169="Ember",12200,0)))),0))</f>
        <v/>
      </c>
      <c r="I169" s="7">
        <f>IF(AND((E169="OK"),B169="Fight boss",(IF((((105/'Rules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Formulas'!B12)),0,MIN(IF(G168&lt;=1,120,IF(G168=2,280,600)),I168+IF(AND((E169="OK"),B169="Hunt"),((IF(B169="Hunt",(('Rules &amp; Formulas'!B4*N168*('Rules &amp; Formulas'!B5+O168)*IFERROR(VLOOKUP(C169,Monsters!$T$4:$AH$15,10,FALSE),0)*IFERROR(VLOOKUP(C169,Monsters!$T$4:$AH$15,9,FALSE),0))*'Rules &amp; Formulas'!B6)*IF(D169="",0,D169),0))*(IFERROR(VLOOKUP(C169,Monsters!$T$4:$AH$15,4,FALSE),0))+(IF(OR(B169&lt;&gt;"Hunt",IFERROR(VLOOKUP(C169,Monsters!$T$4:$AH$15,6,FALSE),0)=0),0,FLOOR((IF(B169="Hunt",(('Rules &amp; Formulas'!B4*N168*('Rules &amp; Formulas'!B5+O168)*IFERROR(VLOOKUP(C169,Monsters!$T$4:$AH$15,10,FALSE),0)*IFERROR(VLOOKUP(C169,Monsters!$T$4:$AH$15,9,FALSE),0))*'Rules &amp; Formulas'!B6)*IF(D169="",0,D169),0))/MAX(1,IFERROR(VLOOKUP(C169,Monsters!$T$4:$AH$15,6,FALSE),0)),1)))*(IFERROR(VLOOKUP(C169,Monsters!$T$4:$AH$15,7,FALSE),0))),0)+IF(AND((E169="OK"),B169="Go AFK"),((IF(B169="Go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AFK",IF(D169="",0,D169),0),Z168/60)*60)),0))*(IFERROR(VLOOKUP(C169,Monsters!$T$4:$AH$15,4,FALSE),0))+(IF(OR(B169&lt;&gt;"Go AFK",IFERROR(VLOOKUP(C169,Monsters!$T$4:$AH$15,6,FALSE),0)=0),0,FLOOR((IF(B169="Go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AFK",IF(D169="",0,D169),0),Z168/60)*60)),0))/MAX(1,IFERROR(VLOOKUP(C169,Monsters!$T$4:$AH$15,6,FALSE),0)),1)))*(IFERROR(VLOOKUP(C169,Monsters!$T$4:$AH$15,7,FALSE),0))),0)))</f>
        <v/>
      </c>
      <c r="J169" s="7">
        <f>MAX(0,J168+IF(AND((E169="OK"),B169="Hunt"),(IF(B169="Hunt",(('Rules &amp; Formulas'!B4*N168*('Rules &amp; Formulas'!B5+O168)*IFERROR(VLOOKUP(C169,Monsters!$T$4:$AH$15,10,FALSE),0)*IFERROR(VLOOKUP(C169,Monsters!$T$4:$AH$15,9,FALSE),0))*'Rules &amp; Formulas'!B6)*IF(D169="",0,D169),0))*(IFERROR(VLOOKUP(C169,Monsters!$T$4:$AH$15,5,FALSE),0)),0)+IF(AND((E169="OK"),B169="Go AFK"),(IF(B169="Go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AFK",IF(D169="",0,D169),0),Z168/60)*60)),0))*(IFERROR(VLOOKUP(C169,Monsters!$T$4:$AH$15,5,FALSE),0)),0)-IF(AND((E169="OK"),OR(B169="Buy upgrade",B169="Forge/Scrapwork buy"),IFERROR(VLOOKUP(C169,Upgrades!$N$4:$T$47,2,FALSE),0)="scraps"),IFERROR(FLOOR(IFERROR(VLOOKUP(C169,Upgrades!$N$4:$T$47,3,FALSE),0)*(IFERROR(VLOOKUP(C169,Upgrades!$N$4:$T$47,4,FALSE),0)^(COUNTIFS($B$3:$B168,"Buy upgrade",$C$3:$C168,C169)+COUNTIFS($B$3:$B168,"Hire hunter",$C$3:$C168,C169)+COUNTIFS($B$3:$B168,"Forge/Scrapwork buy",$C$3:$C168,C169))),1),0),0))</f>
        <v/>
      </c>
      <c r="K169" s="7">
        <f>MAX(0,K168+IF(AND((E169="OK"),B169="Hunt"),IF(C169="Thornpelt Bear",(IF(B169="Hunt",(('Rules &amp; Formulas'!B4*N168*('Rules &amp; Formulas'!B5+O168)*IFERROR(VLOOKUP(C169,Monsters!$T$4:$AH$15,10,FALSE),0)*IFERROR(VLOOKUP(C169,Monsters!$T$4:$AH$15,9,FALSE),0))*'Rules &amp; Formulas'!B6)*IF(D169="",0,D169),0))*0.12,0),0)+IF(AND((E169="OK"),B169="Go AFK"),IF(C169="Thornpelt Bear",(IF(B169="Go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AFK",IF(D169="",0,D169),0),Z168/60)*60)),0))*0.12,0),0))</f>
        <v/>
      </c>
      <c r="L169" s="7">
        <f>MAX(0,L168+IF(AND((E169="OK"),B169="Hunt"),IF(C169="Dire Thornpelt",(IF(B169="Hunt",(('Rules &amp; Formulas'!B4*N168*('Rules &amp; Formulas'!B5+O168)*IFERROR(VLOOKUP(C169,Monsters!$T$4:$AH$15,10,FALSE),0)*IFERROR(VLOOKUP(C169,Monsters!$T$4:$AH$15,9,FALSE),0))*'Rules &amp; Formulas'!B6)*IF(D169="",0,D169),0))*0.1,0),0)+IF(AND((E169="OK"),B169="Go AFK"),IF(C169="Dire Thornpelt",(IF(B169="Go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AFK",IF(D169="",0,D169),0),Z168/60)*60)),0))*0.1,0),0))</f>
        <v/>
      </c>
      <c r="M169" s="7">
        <f>IF(AND((E169="OK"),B169="Go AFK"),MAX(0,MIN(('Rules &amp; Formulas'!B15+25*AJ168),M168+('Rules &amp; Formulas'!B14+0.4*AJ168)*(MIN(IF(B169="Go AFK",IF(D169="",0,D169),0),Z168/60)*60))-(IF(B169="Go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AFK",IF(D169="",0,D169),0),Z168/60)*60)),0))*(IF((IFERROR(VLOOKUP(C169,Monsters!$T$4:$AH$15,8,FALSE),0))=0,0.35,IFERROR(VLOOKUP(C169,Monsters!$T$4:$AH$15,8,FALSE),0))/(1+0.08*AK168))),MIN(('Rules &amp; Formulas'!B15+25*AJ169),M168))</f>
        <v/>
      </c>
      <c r="N169" s="7">
        <f>(1+0.08+0.12*AA169+0.12*AB169+0.16*AC169)</f>
        <v/>
      </c>
      <c r="O169" s="7">
        <f>((AD169&gt;=1)*1*(1+0.3*AE169))</f>
        <v/>
      </c>
      <c r="P169" s="7">
        <f>IF(OR(B169="Hunt",B169="Go AFK"),(('Rules &amp; Formulas'!B4*N168*('Rules &amp; Formulas'!B5+O168)*IFERROR(VLOOKUP(C169,Monsters!$T$4:$AH$15,10,FALSE),0)*IFERROR(VLOOKUP(C169,Monsters!$T$4:$AH$15,9,FALSE),0))*'Rules &amp; Formulas'!B6),"")</f>
        <v/>
      </c>
      <c r="Q169" s="7">
        <f>IF(OR(B169="Hunt",B169="Go AFK"),('Rules &amp; Formulas'!B4*N168*('Rules &amp; Formulas'!B5+O168)*IFERROR(VLOOKUP(C169,Monsters!$T$4:$AH$15,10,FALSE),0)*IFERROR(VLOOKUP(C169,Monsters!$T$4:$AH$15,9,FALSE),0)),"")</f>
        <v/>
      </c>
      <c r="R169" s="7">
        <f>IF(AND((E169="OK"),B169="Hunt"),IF(B169="Hunt",(('Rules &amp; Formulas'!B4*N168*('Rules &amp; Formulas'!B5+O168)*IFERROR(VLOOKUP(C169,Monsters!$T$4:$AH$15,10,FALSE),0)*IFERROR(VLOOKUP(C169,Monsters!$T$4:$AH$15,9,FALSE),0))*'Rules &amp; Formulas'!B6)*IF(D169="",0,D169),0),IF(AND((E169="OK"),B169="Go AFK"),IF(B169="Go AFK",MIN(IF((IF((IFERROR(VLOOKUP(C169,Monsters!$T$4:$AH$15,8,FALSE),0))=0,0.35,IFERROR(VLOOKUP(C169,Monsters!$T$4:$AH$15,8,FALSE),0))/(1+0.08*AK168))&lt;=0,999999,FLOOR(MIN(('Rules &amp; Formulas'!B15+25*AJ168),M168+('Rules &amp; Formulas'!B14+0.4*AJ168)*(MIN(IF(B169="Go AFK",IF(D169="",0,D169),0),Z168/60)*60))/(IF((IFERROR(VLOOKUP(C169,Monsters!$T$4:$AH$15,8,FALSE),0))=0,0.35,IFERROR(VLOOKUP(C169,Monsters!$T$4:$AH$15,8,FALSE),0))/(1+0.08*AK168)),1)),('Rules &amp; Formulas'!B4*N168*('Rules &amp; Formulas'!B5+O168)*IFERROR(VLOOKUP(C169,Monsters!$T$4:$AH$15,10,FALSE),0)*IFERROR(VLOOKUP(C169,Monsters!$T$4:$AH$15,9,FALSE),0))*(MIN(IF(B169="Go AFK",IF(D169="",0,D169),0),Z168/60)*60)),0),0))</f>
        <v/>
      </c>
      <c r="S169" s="7">
        <f>(105/'Rules &amp; Formulas'!B10)*'Rules &amp; Formulas'!B11</f>
        <v/>
      </c>
      <c r="T169" s="7">
        <f>IF(AD168&gt;=1,(MAX(1,ROUND('Rules &amp; Formulas'!B18*(1+0.3*AE168)*(1+0.4*AF168),0)))*(1000/'Rules &amp; Formulas'!B19)*MIN(0.95,'Rules &amp; Formulas'!B20*SQRT(1+0.55*(AG168&gt;=1))),0)</f>
        <v/>
      </c>
      <c r="U169" s="7">
        <f>S169+T169</f>
        <v/>
      </c>
      <c r="V169" s="7">
        <f>IF(I168&gt;=IF((IFERROR(VLOOKUP(C169,Monsters!$T$4:$AH$15,15,FALSE),0))=0,120,IFERROR(VLOOKUP(C169,Monsters!$T$4:$AH$15,15,FALSE),0)),"YES","no")</f>
        <v/>
      </c>
      <c r="W169" s="7">
        <f>IF(AND(B169="Fight boss",E169="OK"),IF((((105/'Rules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Formulas'!B20*SQRT(1+0.55*(AG168&gt;=1))),0)))),"")</f>
        <v/>
      </c>
      <c r="X169" s="7">
        <f>IF(AND(B169="Fight boss",E169="OK"),IF((IF((((105/'Rules &amp; Formulas'!B10)*'Rules &amp; Formulas'!B11+IF(AD168&gt;=1,(MAX(1,ROUND('Rules &amp; Formulas'!B18*(1+0.3*AE168)*(1+0.4*AF168),0)))*(1000/'Rules &amp; Formulas'!B19)*MIN(0.95,'Rules &amp; Formulas'!B20*SQRT(1+0.55*(AG168&gt;=1))),0)))&lt;=0,9999,(IFERROR(VLOOKUP(C169,Monsters!$T$4:$AH$15,2,FALSE),0))/(((105/'Rules &amp; Formulas'!B10)*'Rules &amp; Formulas'!B11+IF(AD168&gt;=1,(MAX(1,ROUND('Rules &amp; Formulas'!B18*(1+0.3*AE168)*(1+0.4*AF168),0)))*(1000/'Rules &amp; Formulas'!B19)*MIN(0.95,'Rules &amp; Formulas'!B20*SQRT(1+0.55*(AG168&gt;=1))),0))))&lt;='Rules &amp; Formulas'!B12),"WIN","LOSE"),"")</f>
        <v/>
      </c>
      <c r="Y169" s="7">
        <f>IF(B169="Go AFK",MIN(IF(B169="Go AFK",IF(D169="",0,D169),0),Z168/60),"")</f>
        <v/>
      </c>
      <c r="Z169" s="7">
        <f>('Rules &amp; Formulas'!B13+30*AI169)</f>
        <v/>
      </c>
      <c r="AA169">
        <f>COUNTIFS($B$3:$B169,"Buy upgrade",$C$3:$C169,"Idle Power")</f>
        <v/>
      </c>
      <c r="AB169">
        <f>COUNTIFS($B$3:$B169,"Buy upgrade",$C$3:$C169,"Iron Blade")</f>
        <v/>
      </c>
      <c r="AC169">
        <f>COUNTIFS($B$3:$B169,"Buy upgrade",$C$3:$C169,"Steel Blade")</f>
        <v/>
      </c>
      <c r="AD169">
        <f>COUNTIFS($B$3:$B169,"Hire hunter",$C$3:$C169,"Briar")+COUNTIFS($B$3:$B169,"Buy upgrade",$C$3:$C169,"Hire Briar")</f>
        <v/>
      </c>
      <c r="AE169">
        <f>COUNTIFS($B$3:$B169,"Buy upgrade",$C$3:$C169,"Hunter Power")</f>
        <v/>
      </c>
      <c r="AF169">
        <f>COUNTIFS($B$3:$B169,"Buy upgrade",$C$3:$C169,"Bigger Hits")</f>
        <v/>
      </c>
      <c r="AG169">
        <f>COUNTIFS($B$3:$B169,"Buy upgrade",$C$3:$C169,"Swift Walk")</f>
        <v/>
      </c>
      <c r="AH169">
        <f>COUNTIFS($B$3:$B169,"Buy upgrade",$C$3:$C169,"Loot Luck")</f>
        <v/>
      </c>
      <c r="AI169">
        <f>COUNTIFS($B$3:$B169,"Buy upgrade",$C$3:$C169,"Offline Cap")</f>
        <v/>
      </c>
      <c r="AJ169">
        <f>COUNTIFS($B$3:$B169,"Buy upgrade",$C$3:$C169,"Bigger Food Stock")</f>
        <v/>
      </c>
      <c r="AK169">
        <f>COUNTIFS($B$3:$B169,"Buy upgrade",$C$3:$C169,"Food Efficiency")</f>
        <v/>
      </c>
    </row>
    <row r="170">
      <c r="A170" t="n">
        <v>168</v>
      </c>
      <c r="B170" s="6" t="n"/>
      <c r="C170" s="6" t="n"/>
      <c r="D170" s="6" t="n"/>
      <c r="E170" s="7">
        <f>IF(B170="","",IF(OR(B170="Hunt",B170="Go AFK"),IF(C170="","Can't","OK"),IF(B170="Fight boss",IF(I169&lt;IF((IFERROR(VLOOKUP(C170,Monsters!$T$4:$AH$15,15,FALSE),0))=0,120,IFERROR(VLOOKUP(C170,Monsters!$T$4:$AH$15,15,FALSE),0)),"Can't","OK"),IF(B170="Hire hunter",IF(AND(C170="Briar",AD169&gt;=1),"Can't",IF(H169&lt;IF(C170="Briar",140,IF(C170="Quill",3650,IF(C170="Moss",4850,IF(C170="Ember",12200,0)))),"Can't","OK")),IF(OR(B170="Buy upgrade",B170="Forge/Scrapwork buy"),IF(IFERROR(VLOOKUP(C170,Upgrades!$N$4:$T$47,2,FALSE),0)="points","Can't",IF(IFERROR(VLOOKUP(C170,Upgrades!$N$4:$T$47,2,FALSE),0)="gold",IF(H169&lt;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buy",$C$3:$C169,C170))),1),0),"Can't","OK"),IF(IFERROR(VLOOKUP(C170,Upgrades!$N$4:$T$47,2,FALSE),0)="scraps",IF(J169&lt;IFERROR(FLOOR(IFERROR(VLOOKUP(C170,Upgrades!$N$4:$T$47,3,FALSE),0)*(IFERROR(VLOOKUP(C170,Upgrades!$N$4:$T$47,4,FALSE),0)^(COUNTIFS($B$3:$B169,"Buy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buy",$C$3:$C169,C170))),1),0),"Can't","OK"),IF(IFERROR(VLOOKUP(C170,Upgrades!$N$4:$T$47,2,FALSE),0)="mats","Can't","OK")))),"Check")))))</f>
        <v/>
      </c>
      <c r="F170" s="7">
        <f>IF(B170="","",IF(AND(B170="Fight boss",I169&lt;IF((IFERROR(VLOOKUP(C170,Monsters!$T$4:$AH$15,15,FALSE),0))=0,120,IFERROR(VLOOKUP(C170,Monsters!$T$4:$AH$15,15,FALSE),0))),"Can't — need "&amp;TEXT(IF((IFERROR(VLOOKUP(C170,Monsters!$T$4:$AH$15,15,FALSE),0))=0,120,IFERROR(VLOOKUP(C170,Monsters!$T$4:$AH$15,15,FALSE),0))-I169,"0.0")&amp;" more Slayer points on the meter",IF(AND(B170="Hire hunter",C170="Briar",AD169&gt;=1),"Can't — already hired",IF(AND(B170="Hire hunter",H169&lt;IF(C170="Briar",140,IF(C170="Quill",3650,IF(C170="Moss",4850,IF(C170="Ember",12200,0))))),"Can't — need "&amp;TEXT(IF(C170="Briar",140,IF(C170="Quill",3650,IF(C170="Moss",4850,IF(C170="Ember",12200,0))))-H169,"0")&amp;" more gold",IF(AND(OR(B170="Buy upgrade",B170="Forge/Scrapwork buy"),IFERROR(VLOOKUP(C170,Upgrades!$N$4:$T$47,2,FALSE),0)="points"),"Can't — Sp-wallet spends not tracked here",IF(AND(OR(B170="Buy upgrade",B170="Forge/Scrapwork buy"),IFERROR(VLOOKUP(C170,Upgrades!$N$4:$T$47,2,FALSE),0)="gold",H169&lt;IFERROR(FLOOR(IFERROR(VLOOKUP(C170,Upgrades!$N$4:$T$47,3,FALSE),0)*(IFERROR(VLOOKUP(C170,Upgrades!$N$4:$T$47,4,FALSE),0)^(COUNTIFS($B$3:$B169,"Buy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buy",$C$3:$C169,C170))),1),0)),"Can't — need "&amp;TEXT(IFERROR(FLOOR(IFERROR(VLOOKUP(C170,Upgrades!$N$4:$T$47,3,FALSE),0)*(IFERROR(VLOOKUP(C170,Upgrades!$N$4:$T$47,4,FALSE),0)^(COUNTIFS($B$3:$B169,"Buy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buy",$C$3:$C169,C170))),1),0)-H169,"0")&amp;" more gold",IF(AND(OR(B170="Buy upgrade",B170="Forge/Scrapwork buy"),IFERROR(VLOOKUP(C170,Upgrades!$N$4:$T$47,2,FALSE),0)="scraps",J169&lt;IFERROR(FLOOR(IFERROR(VLOOKUP(C170,Upgrades!$N$4:$T$47,3,FALSE),0)*(IFERROR(VLOOKUP(C170,Upgrades!$N$4:$T$47,4,FALSE),0)^(COUNTIFS($B$3:$B169,"Buy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buy",$C$3:$C169,C170))),1),0)),"Can't — need "&amp;TEXT(IFERROR(FLOOR(IFERROR(VLOOKUP(C170,Upgrades!$N$4:$T$47,3,FALSE),0)*(IFERROR(VLOOKUP(C170,Upgrades!$N$4:$T$47,4,FALSE),0)^(COUNTIFS($B$3:$B169,"Buy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buy",$C$3:$C169,C170))),1),0)-J169,"0")&amp;" more scraps",IF(AND(B170="Fight boss",E170="OK",(IF((((105/'Rules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Formulas'!B12)),"WIN — boss down, next Level unlocks",IF(AND(B170="Fight boss",E170="OK"),"LOSE — TTK "&amp;TEXT(IF((((105/'Rules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Formulas'!B20*SQRT(1+0.55*(AG169&gt;=1))),0)))),"0")&amp;"s &gt; patience "&amp;TEXT('Rules &amp; Formulas'!B12,"0")&amp;"s (leave resets HP)",IF(B170="Go AFK","AFK resolved (see AFK counted h)","Applied")))))))))</f>
        <v/>
      </c>
      <c r="G170" s="7">
        <f>IF(AND((E170="OK"),B170="Fight boss",(IF((((105/'Rules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Formulas'!B12),C170="Elder Thornpelt"),2,IF(AND((E170="OK"),B170="Fight boss",(IF((((105/'Rules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Formulas'!B12),C170="Ashfang Alpha"),3,G169))</f>
        <v/>
      </c>
      <c r="H170" s="7">
        <f>MAX(0,H169+IF(AND((E170="OK"),B170="Hunt"),(IF(B170="Hunt",(('Rules &amp; Formulas'!B4*N169*('Rules &amp; Formulas'!B5+O169)*IFERROR(VLOOKUP(C170,Monsters!$T$4:$AH$15,10,FALSE),0)*IFERROR(VLOOKUP(C170,Monsters!$T$4:$AH$15,9,FALSE),0))*'Rules &amp; Formulas'!B6)*IF(D170="",0,D170),0))*(IFERROR(VLOOKUP(C170,Monsters!$T$4:$AH$15,3,FALSE),0))*(1+0.1*AH169)+(IF(OR(B170&lt;&gt;"Hunt",IFERROR(VLOOKUP(C170,Monsters!$T$4:$AH$15,6,FALSE),0)=0),0,FLOOR((IF(B170="Hunt",(('Rules &amp; Formulas'!B4*N169*('Rules &amp; Formulas'!B5+O169)*IFERROR(VLOOKUP(C170,Monsters!$T$4:$AH$15,10,FALSE),0)*IFERROR(VLOOKUP(C170,Monsters!$T$4:$AH$15,9,FALSE),0))*'Rules &amp; Formulas'!B6)*IF(D170="",0,D170),0))/MAX(1,IFERROR(VLOOKUP(C170,Monsters!$T$4:$AH$15,6,FALSE),0)),1)))*(IFERROR(VLOOKUP(C170,Monsters!$T$4:$AH$15,7,FALSE),0))*0.5*(1+0.1*AH169),0)+IF(AND((E170="OK"),B170="Go AFK"),(IF(B170="Go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AFK",IF(D170="",0,D170),0),Z169/60)*60)),0))*(IFERROR(VLOOKUP(C170,Monsters!$T$4:$AH$15,3,FALSE),0))*(1+0.1*AH169)+(IF(OR(B170&lt;&gt;"Go AFK",IFERROR(VLOOKUP(C170,Monsters!$T$4:$AH$15,6,FALSE),0)=0),0,FLOOR((IF(B170="Go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AFK",IF(D170="",0,D170),0),Z169/60)*60)),0))/MAX(1,IFERROR(VLOOKUP(C170,Monsters!$T$4:$AH$15,6,FALSE),0)),1)))*(IFERROR(VLOOKUP(C170,Monsters!$T$4:$AH$15,7,FALSE),0))*0.5*(1+0.1*AH169),0)+IF(AND((E170="OK"),B170="Fight boss",(IF((((105/'Rules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Formulas'!B12)),IFERROR(VLOOKUP(C170,Monsters!$T$4:$AH$15,3,FALSE),0),0)-IF(AND((E170="OK"),OR(B170="Buy upgrade",B170="Forge/Scrapwork buy"),IFERROR(VLOOKUP(C170,Upgrades!$N$4:$T$47,2,FALSE),0)="gold"),IFERROR(FLOOR(IFERROR(VLOOKUP(C170,Upgrades!$N$4:$T$47,3,FALSE),0)*(IFERROR(VLOOKUP(C170,Upgrades!$N$4:$T$47,4,FALSE),0)^(COUNTIFS($B$3:$B169,"Buy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buy",$C$3:$C169,C170))),1),0),0)-IF(AND((E170="OK"),B170="Hire hunter"),IF(C170="Briar",140,IF(C170="Quill",3650,IF(C170="Moss",4850,IF(C170="Ember",12200,0)))),0))</f>
        <v/>
      </c>
      <c r="I170" s="7">
        <f>IF(AND((E170="OK"),B170="Fight boss",(IF((((105/'Rules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Formulas'!B12)),0,MIN(IF(G169&lt;=1,120,IF(G169=2,280,600)),I169+IF(AND((E170="OK"),B170="Hunt"),((IF(B170="Hunt",(('Rules &amp; Formulas'!B4*N169*('Rules &amp; Formulas'!B5+O169)*IFERROR(VLOOKUP(C170,Monsters!$T$4:$AH$15,10,FALSE),0)*IFERROR(VLOOKUP(C170,Monsters!$T$4:$AH$15,9,FALSE),0))*'Rules &amp; Formulas'!B6)*IF(D170="",0,D170),0))*(IFERROR(VLOOKUP(C170,Monsters!$T$4:$AH$15,4,FALSE),0))+(IF(OR(B170&lt;&gt;"Hunt",IFERROR(VLOOKUP(C170,Monsters!$T$4:$AH$15,6,FALSE),0)=0),0,FLOOR((IF(B170="Hunt",(('Rules &amp; Formulas'!B4*N169*('Rules &amp; Formulas'!B5+O169)*IFERROR(VLOOKUP(C170,Monsters!$T$4:$AH$15,10,FALSE),0)*IFERROR(VLOOKUP(C170,Monsters!$T$4:$AH$15,9,FALSE),0))*'Rules &amp; Formulas'!B6)*IF(D170="",0,D170),0))/MAX(1,IFERROR(VLOOKUP(C170,Monsters!$T$4:$AH$15,6,FALSE),0)),1)))*(IFERROR(VLOOKUP(C170,Monsters!$T$4:$AH$15,7,FALSE),0))),0)+IF(AND((E170="OK"),B170="Go AFK"),((IF(B170="Go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AFK",IF(D170="",0,D170),0),Z169/60)*60)),0))*(IFERROR(VLOOKUP(C170,Monsters!$T$4:$AH$15,4,FALSE),0))+(IF(OR(B170&lt;&gt;"Go AFK",IFERROR(VLOOKUP(C170,Monsters!$T$4:$AH$15,6,FALSE),0)=0),0,FLOOR((IF(B170="Go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AFK",IF(D170="",0,D170),0),Z169/60)*60)),0))/MAX(1,IFERROR(VLOOKUP(C170,Monsters!$T$4:$AH$15,6,FALSE),0)),1)))*(IFERROR(VLOOKUP(C170,Monsters!$T$4:$AH$15,7,FALSE),0))),0)))</f>
        <v/>
      </c>
      <c r="J170" s="7">
        <f>MAX(0,J169+IF(AND((E170="OK"),B170="Hunt"),(IF(B170="Hunt",(('Rules &amp; Formulas'!B4*N169*('Rules &amp; Formulas'!B5+O169)*IFERROR(VLOOKUP(C170,Monsters!$T$4:$AH$15,10,FALSE),0)*IFERROR(VLOOKUP(C170,Monsters!$T$4:$AH$15,9,FALSE),0))*'Rules &amp; Formulas'!B6)*IF(D170="",0,D170),0))*(IFERROR(VLOOKUP(C170,Monsters!$T$4:$AH$15,5,FALSE),0)),0)+IF(AND((E170="OK"),B170="Go AFK"),(IF(B170="Go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AFK",IF(D170="",0,D170),0),Z169/60)*60)),0))*(IFERROR(VLOOKUP(C170,Monsters!$T$4:$AH$15,5,FALSE),0)),0)-IF(AND((E170="OK"),OR(B170="Buy upgrade",B170="Forge/Scrapwork buy"),IFERROR(VLOOKUP(C170,Upgrades!$N$4:$T$47,2,FALSE),0)="scraps"),IFERROR(FLOOR(IFERROR(VLOOKUP(C170,Upgrades!$N$4:$T$47,3,FALSE),0)*(IFERROR(VLOOKUP(C170,Upgrades!$N$4:$T$47,4,FALSE),0)^(COUNTIFS($B$3:$B169,"Buy upgrade",$C$3:$C169,C170)+COUNTIFS($B$3:$B169,"Hire hunter",$C$3:$C169,C170)+COUNTIFS($B$3:$B169,"Forge/Scrapwork buy",$C$3:$C169,C170))),1),0),0))</f>
        <v/>
      </c>
      <c r="K170" s="7">
        <f>MAX(0,K169+IF(AND((E170="OK"),B170="Hunt"),IF(C170="Thornpelt Bear",(IF(B170="Hunt",(('Rules &amp; Formulas'!B4*N169*('Rules &amp; Formulas'!B5+O169)*IFERROR(VLOOKUP(C170,Monsters!$T$4:$AH$15,10,FALSE),0)*IFERROR(VLOOKUP(C170,Monsters!$T$4:$AH$15,9,FALSE),0))*'Rules &amp; Formulas'!B6)*IF(D170="",0,D170),0))*0.12,0),0)+IF(AND((E170="OK"),B170="Go AFK"),IF(C170="Thornpelt Bear",(IF(B170="Go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AFK",IF(D170="",0,D170),0),Z169/60)*60)),0))*0.12,0),0))</f>
        <v/>
      </c>
      <c r="L170" s="7">
        <f>MAX(0,L169+IF(AND((E170="OK"),B170="Hunt"),IF(C170="Dire Thornpelt",(IF(B170="Hunt",(('Rules &amp; Formulas'!B4*N169*('Rules &amp; Formulas'!B5+O169)*IFERROR(VLOOKUP(C170,Monsters!$T$4:$AH$15,10,FALSE),0)*IFERROR(VLOOKUP(C170,Monsters!$T$4:$AH$15,9,FALSE),0))*'Rules &amp; Formulas'!B6)*IF(D170="",0,D170),0))*0.1,0),0)+IF(AND((E170="OK"),B170="Go AFK"),IF(C170="Dire Thornpelt",(IF(B170="Go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AFK",IF(D170="",0,D170),0),Z169/60)*60)),0))*0.1,0),0))</f>
        <v/>
      </c>
      <c r="M170" s="7">
        <f>IF(AND((E170="OK"),B170="Go AFK"),MAX(0,MIN(('Rules &amp; Formulas'!B15+25*AJ169),M169+('Rules &amp; Formulas'!B14+0.4*AJ169)*(MIN(IF(B170="Go AFK",IF(D170="",0,D170),0),Z169/60)*60))-(IF(B170="Go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AFK",IF(D170="",0,D170),0),Z169/60)*60)),0))*(IF((IFERROR(VLOOKUP(C170,Monsters!$T$4:$AH$15,8,FALSE),0))=0,0.35,IFERROR(VLOOKUP(C170,Monsters!$T$4:$AH$15,8,FALSE),0))/(1+0.08*AK169))),MIN(('Rules &amp; Formulas'!B15+25*AJ170),M169))</f>
        <v/>
      </c>
      <c r="N170" s="7">
        <f>(1+0.08+0.12*AA170+0.12*AB170+0.16*AC170)</f>
        <v/>
      </c>
      <c r="O170" s="7">
        <f>((AD170&gt;=1)*1*(1+0.3*AE170))</f>
        <v/>
      </c>
      <c r="P170" s="7">
        <f>IF(OR(B170="Hunt",B170="Go AFK"),(('Rules &amp; Formulas'!B4*N169*('Rules &amp; Formulas'!B5+O169)*IFERROR(VLOOKUP(C170,Monsters!$T$4:$AH$15,10,FALSE),0)*IFERROR(VLOOKUP(C170,Monsters!$T$4:$AH$15,9,FALSE),0))*'Rules &amp; Formulas'!B6),"")</f>
        <v/>
      </c>
      <c r="Q170" s="7">
        <f>IF(OR(B170="Hunt",B170="Go AFK"),('Rules &amp; Formulas'!B4*N169*('Rules &amp; Formulas'!B5+O169)*IFERROR(VLOOKUP(C170,Monsters!$T$4:$AH$15,10,FALSE),0)*IFERROR(VLOOKUP(C170,Monsters!$T$4:$AH$15,9,FALSE),0)),"")</f>
        <v/>
      </c>
      <c r="R170" s="7">
        <f>IF(AND((E170="OK"),B170="Hunt"),IF(B170="Hunt",(('Rules &amp; Formulas'!B4*N169*('Rules &amp; Formulas'!B5+O169)*IFERROR(VLOOKUP(C170,Monsters!$T$4:$AH$15,10,FALSE),0)*IFERROR(VLOOKUP(C170,Monsters!$T$4:$AH$15,9,FALSE),0))*'Rules &amp; Formulas'!B6)*IF(D170="",0,D170),0),IF(AND((E170="OK"),B170="Go AFK"),IF(B170="Go AFK",MIN(IF((IF((IFERROR(VLOOKUP(C170,Monsters!$T$4:$AH$15,8,FALSE),0))=0,0.35,IFERROR(VLOOKUP(C170,Monsters!$T$4:$AH$15,8,FALSE),0))/(1+0.08*AK169))&lt;=0,999999,FLOOR(MIN(('Rules &amp; Formulas'!B15+25*AJ169),M169+('Rules &amp; Formulas'!B14+0.4*AJ169)*(MIN(IF(B170="Go AFK",IF(D170="",0,D170),0),Z169/60)*60))/(IF((IFERROR(VLOOKUP(C170,Monsters!$T$4:$AH$15,8,FALSE),0))=0,0.35,IFERROR(VLOOKUP(C170,Monsters!$T$4:$AH$15,8,FALSE),0))/(1+0.08*AK169)),1)),('Rules &amp; Formulas'!B4*N169*('Rules &amp; Formulas'!B5+O169)*IFERROR(VLOOKUP(C170,Monsters!$T$4:$AH$15,10,FALSE),0)*IFERROR(VLOOKUP(C170,Monsters!$T$4:$AH$15,9,FALSE),0))*(MIN(IF(B170="Go AFK",IF(D170="",0,D170),0),Z169/60)*60)),0),0))</f>
        <v/>
      </c>
      <c r="S170" s="7">
        <f>(105/'Rules &amp; Formulas'!B10)*'Rules &amp; Formulas'!B11</f>
        <v/>
      </c>
      <c r="T170" s="7">
        <f>IF(AD169&gt;=1,(MAX(1,ROUND('Rules &amp; Formulas'!B18*(1+0.3*AE169)*(1+0.4*AF169),0)))*(1000/'Rules &amp; Formulas'!B19)*MIN(0.95,'Rules &amp; Formulas'!B20*SQRT(1+0.55*(AG169&gt;=1))),0)</f>
        <v/>
      </c>
      <c r="U170" s="7">
        <f>S170+T170</f>
        <v/>
      </c>
      <c r="V170" s="7">
        <f>IF(I169&gt;=IF((IFERROR(VLOOKUP(C170,Monsters!$T$4:$AH$15,15,FALSE),0))=0,120,IFERROR(VLOOKUP(C170,Monsters!$T$4:$AH$15,15,FALSE),0)),"YES","no")</f>
        <v/>
      </c>
      <c r="W170" s="7">
        <f>IF(AND(B170="Fight boss",E170="OK"),IF((((105/'Rules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Formulas'!B20*SQRT(1+0.55*(AG169&gt;=1))),0)))),"")</f>
        <v/>
      </c>
      <c r="X170" s="7">
        <f>IF(AND(B170="Fight boss",E170="OK"),IF((IF((((105/'Rules &amp; Formulas'!B10)*'Rules &amp; Formulas'!B11+IF(AD169&gt;=1,(MAX(1,ROUND('Rules &amp; Formulas'!B18*(1+0.3*AE169)*(1+0.4*AF169),0)))*(1000/'Rules &amp; Formulas'!B19)*MIN(0.95,'Rules &amp; Formulas'!B20*SQRT(1+0.55*(AG169&gt;=1))),0)))&lt;=0,9999,(IFERROR(VLOOKUP(C170,Monsters!$T$4:$AH$15,2,FALSE),0))/(((105/'Rules &amp; Formulas'!B10)*'Rules &amp; Formulas'!B11+IF(AD169&gt;=1,(MAX(1,ROUND('Rules &amp; Formulas'!B18*(1+0.3*AE169)*(1+0.4*AF169),0)))*(1000/'Rules &amp; Formulas'!B19)*MIN(0.95,'Rules &amp; Formulas'!B20*SQRT(1+0.55*(AG169&gt;=1))),0))))&lt;='Rules &amp; Formulas'!B12),"WIN","LOSE"),"")</f>
        <v/>
      </c>
      <c r="Y170" s="7">
        <f>IF(B170="Go AFK",MIN(IF(B170="Go AFK",IF(D170="",0,D170),0),Z169/60),"")</f>
        <v/>
      </c>
      <c r="Z170" s="7">
        <f>('Rules &amp; Formulas'!B13+30*AI170)</f>
        <v/>
      </c>
      <c r="AA170">
        <f>COUNTIFS($B$3:$B170,"Buy upgrade",$C$3:$C170,"Idle Power")</f>
        <v/>
      </c>
      <c r="AB170">
        <f>COUNTIFS($B$3:$B170,"Buy upgrade",$C$3:$C170,"Iron Blade")</f>
        <v/>
      </c>
      <c r="AC170">
        <f>COUNTIFS($B$3:$B170,"Buy upgrade",$C$3:$C170,"Steel Blade")</f>
        <v/>
      </c>
      <c r="AD170">
        <f>COUNTIFS($B$3:$B170,"Hire hunter",$C$3:$C170,"Briar")+COUNTIFS($B$3:$B170,"Buy upgrade",$C$3:$C170,"Hire Briar")</f>
        <v/>
      </c>
      <c r="AE170">
        <f>COUNTIFS($B$3:$B170,"Buy upgrade",$C$3:$C170,"Hunter Power")</f>
        <v/>
      </c>
      <c r="AF170">
        <f>COUNTIFS($B$3:$B170,"Buy upgrade",$C$3:$C170,"Bigger Hits")</f>
        <v/>
      </c>
      <c r="AG170">
        <f>COUNTIFS($B$3:$B170,"Buy upgrade",$C$3:$C170,"Swift Walk")</f>
        <v/>
      </c>
      <c r="AH170">
        <f>COUNTIFS($B$3:$B170,"Buy upgrade",$C$3:$C170,"Loot Luck")</f>
        <v/>
      </c>
      <c r="AI170">
        <f>COUNTIFS($B$3:$B170,"Buy upgrade",$C$3:$C170,"Offline Cap")</f>
        <v/>
      </c>
      <c r="AJ170">
        <f>COUNTIFS($B$3:$B170,"Buy upgrade",$C$3:$C170,"Bigger Food Stock")</f>
        <v/>
      </c>
      <c r="AK170">
        <f>COUNTIFS($B$3:$B170,"Buy upgrade",$C$3:$C170,"Food Efficiency")</f>
        <v/>
      </c>
    </row>
    <row r="171">
      <c r="A171" t="n">
        <v>169</v>
      </c>
      <c r="B171" s="6" t="n"/>
      <c r="C171" s="6" t="n"/>
      <c r="D171" s="6" t="n"/>
      <c r="E171" s="7">
        <f>IF(B171="","",IF(OR(B171="Hunt",B171="Go AFK"),IF(C171="","Can't","OK"),IF(B171="Fight boss",IF(I170&lt;IF((IFERROR(VLOOKUP(C171,Monsters!$T$4:$AH$15,15,FALSE),0))=0,120,IFERROR(VLOOKUP(C171,Monsters!$T$4:$AH$15,15,FALSE),0)),"Can't","OK"),IF(B171="Hire hunter",IF(AND(C171="Briar",AD170&gt;=1),"Can't",IF(H170&lt;IF(C171="Briar",140,IF(C171="Quill",3650,IF(C171="Moss",4850,IF(C171="Ember",12200,0)))),"Can't","OK")),IF(OR(B171="Buy upgrade",B171="Forge/Scrapwork buy"),IF(IFERROR(VLOOKUP(C171,Upgrades!$N$4:$T$47,2,FALSE),0)="points","Can't",IF(IFERROR(VLOOKUP(C171,Upgrades!$N$4:$T$47,2,FALSE),0)="gold",IF(H170&lt;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buy",$C$3:$C170,C171))),1),0),"Can't","OK"),IF(IFERROR(VLOOKUP(C171,Upgrades!$N$4:$T$47,2,FALSE),0)="scraps",IF(J170&lt;IFERROR(FLOOR(IFERROR(VLOOKUP(C171,Upgrades!$N$4:$T$47,3,FALSE),0)*(IFERROR(VLOOKUP(C171,Upgrades!$N$4:$T$47,4,FALSE),0)^(COUNTIFS($B$3:$B170,"Buy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buy",$C$3:$C170,C171))),1),0),"Can't","OK"),IF(IFERROR(VLOOKUP(C171,Upgrades!$N$4:$T$47,2,FALSE),0)="mats","Can't","OK")))),"Check")))))</f>
        <v/>
      </c>
      <c r="F171" s="7">
        <f>IF(B171="","",IF(AND(B171="Fight boss",I170&lt;IF((IFERROR(VLOOKUP(C171,Monsters!$T$4:$AH$15,15,FALSE),0))=0,120,IFERROR(VLOOKUP(C171,Monsters!$T$4:$AH$15,15,FALSE),0))),"Can't — need "&amp;TEXT(IF((IFERROR(VLOOKUP(C171,Monsters!$T$4:$AH$15,15,FALSE),0))=0,120,IFERROR(VLOOKUP(C171,Monsters!$T$4:$AH$15,15,FALSE),0))-I170,"0.0")&amp;" more Slayer points on the meter",IF(AND(B171="Hire hunter",C171="Briar",AD170&gt;=1),"Can't — already hired",IF(AND(B171="Hire hunter",H170&lt;IF(C171="Briar",140,IF(C171="Quill",3650,IF(C171="Moss",4850,IF(C171="Ember",12200,0))))),"Can't — need "&amp;TEXT(IF(C171="Briar",140,IF(C171="Quill",3650,IF(C171="Moss",4850,IF(C171="Ember",12200,0))))-H170,"0")&amp;" more gold",IF(AND(OR(B171="Buy upgrade",B171="Forge/Scrapwork buy"),IFERROR(VLOOKUP(C171,Upgrades!$N$4:$T$47,2,FALSE),0)="points"),"Can't — Sp-wallet spends not tracked here",IF(AND(OR(B171="Buy upgrade",B171="Forge/Scrapwork buy"),IFERROR(VLOOKUP(C171,Upgrades!$N$4:$T$47,2,FALSE),0)="gold",H170&lt;IFERROR(FLOOR(IFERROR(VLOOKUP(C171,Upgrades!$N$4:$T$47,3,FALSE),0)*(IFERROR(VLOOKUP(C171,Upgrades!$N$4:$T$47,4,FALSE),0)^(COUNTIFS($B$3:$B170,"Buy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buy",$C$3:$C170,C171))),1),0)),"Can't — need "&amp;TEXT(IFERROR(FLOOR(IFERROR(VLOOKUP(C171,Upgrades!$N$4:$T$47,3,FALSE),0)*(IFERROR(VLOOKUP(C171,Upgrades!$N$4:$T$47,4,FALSE),0)^(COUNTIFS($B$3:$B170,"Buy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buy",$C$3:$C170,C171))),1),0)-H170,"0")&amp;" more gold",IF(AND(OR(B171="Buy upgrade",B171="Forge/Scrapwork buy"),IFERROR(VLOOKUP(C171,Upgrades!$N$4:$T$47,2,FALSE),0)="scraps",J170&lt;IFERROR(FLOOR(IFERROR(VLOOKUP(C171,Upgrades!$N$4:$T$47,3,FALSE),0)*(IFERROR(VLOOKUP(C171,Upgrades!$N$4:$T$47,4,FALSE),0)^(COUNTIFS($B$3:$B170,"Buy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buy",$C$3:$C170,C171))),1),0)),"Can't — need "&amp;TEXT(IFERROR(FLOOR(IFERROR(VLOOKUP(C171,Upgrades!$N$4:$T$47,3,FALSE),0)*(IFERROR(VLOOKUP(C171,Upgrades!$N$4:$T$47,4,FALSE),0)^(COUNTIFS($B$3:$B170,"Buy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buy",$C$3:$C170,C171))),1),0)-J170,"0")&amp;" more scraps",IF(AND(B171="Fight boss",E171="OK",(IF((((105/'Rules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Formulas'!B12)),"WIN — boss down, next Level unlocks",IF(AND(B171="Fight boss",E171="OK"),"LOSE — TTK "&amp;TEXT(IF((((105/'Rules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Formulas'!B20*SQRT(1+0.55*(AG170&gt;=1))),0)))),"0")&amp;"s &gt; patience "&amp;TEXT('Rules &amp; Formulas'!B12,"0")&amp;"s (leave resets HP)",IF(B171="Go AFK","AFK resolved (see AFK counted h)","Applied")))))))))</f>
        <v/>
      </c>
      <c r="G171" s="7">
        <f>IF(AND((E171="OK"),B171="Fight boss",(IF((((105/'Rules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Formulas'!B12),C171="Elder Thornpelt"),2,IF(AND((E171="OK"),B171="Fight boss",(IF((((105/'Rules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Formulas'!B12),C171="Ashfang Alpha"),3,G170))</f>
        <v/>
      </c>
      <c r="H171" s="7">
        <f>MAX(0,H170+IF(AND((E171="OK"),B171="Hunt"),(IF(B171="Hunt",(('Rules &amp; Formulas'!B4*N170*('Rules &amp; Formulas'!B5+O170)*IFERROR(VLOOKUP(C171,Monsters!$T$4:$AH$15,10,FALSE),0)*IFERROR(VLOOKUP(C171,Monsters!$T$4:$AH$15,9,FALSE),0))*'Rules &amp; Formulas'!B6)*IF(D171="",0,D171),0))*(IFERROR(VLOOKUP(C171,Monsters!$T$4:$AH$15,3,FALSE),0))*(1+0.1*AH170)+(IF(OR(B171&lt;&gt;"Hunt",IFERROR(VLOOKUP(C171,Monsters!$T$4:$AH$15,6,FALSE),0)=0),0,FLOOR((IF(B171="Hunt",(('Rules &amp; Formulas'!B4*N170*('Rules &amp; Formulas'!B5+O170)*IFERROR(VLOOKUP(C171,Monsters!$T$4:$AH$15,10,FALSE),0)*IFERROR(VLOOKUP(C171,Monsters!$T$4:$AH$15,9,FALSE),0))*'Rules &amp; Formulas'!B6)*IF(D171="",0,D171),0))/MAX(1,IFERROR(VLOOKUP(C171,Monsters!$T$4:$AH$15,6,FALSE),0)),1)))*(IFERROR(VLOOKUP(C171,Monsters!$T$4:$AH$15,7,FALSE),0))*0.5*(1+0.1*AH170),0)+IF(AND((E171="OK"),B171="Go AFK"),(IF(B171="Go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AFK",IF(D171="",0,D171),0),Z170/60)*60)),0))*(IFERROR(VLOOKUP(C171,Monsters!$T$4:$AH$15,3,FALSE),0))*(1+0.1*AH170)+(IF(OR(B171&lt;&gt;"Go AFK",IFERROR(VLOOKUP(C171,Monsters!$T$4:$AH$15,6,FALSE),0)=0),0,FLOOR((IF(B171="Go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AFK",IF(D171="",0,D171),0),Z170/60)*60)),0))/MAX(1,IFERROR(VLOOKUP(C171,Monsters!$T$4:$AH$15,6,FALSE),0)),1)))*(IFERROR(VLOOKUP(C171,Monsters!$T$4:$AH$15,7,FALSE),0))*0.5*(1+0.1*AH170),0)+IF(AND((E171="OK"),B171="Fight boss",(IF((((105/'Rules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Formulas'!B12)),IFERROR(VLOOKUP(C171,Monsters!$T$4:$AH$15,3,FALSE),0),0)-IF(AND((E171="OK"),OR(B171="Buy upgrade",B171="Forge/Scrapwork buy"),IFERROR(VLOOKUP(C171,Upgrades!$N$4:$T$47,2,FALSE),0)="gold"),IFERROR(FLOOR(IFERROR(VLOOKUP(C171,Upgrades!$N$4:$T$47,3,FALSE),0)*(IFERROR(VLOOKUP(C171,Upgrades!$N$4:$T$47,4,FALSE),0)^(COUNTIFS($B$3:$B170,"Buy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buy",$C$3:$C170,C171))),1),0),0)-IF(AND((E171="OK"),B171="Hire hunter"),IF(C171="Briar",140,IF(C171="Quill",3650,IF(C171="Moss",4850,IF(C171="Ember",12200,0)))),0))</f>
        <v/>
      </c>
      <c r="I171" s="7">
        <f>IF(AND((E171="OK"),B171="Fight boss",(IF((((105/'Rules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Formulas'!B12)),0,MIN(IF(G170&lt;=1,120,IF(G170=2,280,600)),I170+IF(AND((E171="OK"),B171="Hunt"),((IF(B171="Hunt",(('Rules &amp; Formulas'!B4*N170*('Rules &amp; Formulas'!B5+O170)*IFERROR(VLOOKUP(C171,Monsters!$T$4:$AH$15,10,FALSE),0)*IFERROR(VLOOKUP(C171,Monsters!$T$4:$AH$15,9,FALSE),0))*'Rules &amp; Formulas'!B6)*IF(D171="",0,D171),0))*(IFERROR(VLOOKUP(C171,Monsters!$T$4:$AH$15,4,FALSE),0))+(IF(OR(B171&lt;&gt;"Hunt",IFERROR(VLOOKUP(C171,Monsters!$T$4:$AH$15,6,FALSE),0)=0),0,FLOOR((IF(B171="Hunt",(('Rules &amp; Formulas'!B4*N170*('Rules &amp; Formulas'!B5+O170)*IFERROR(VLOOKUP(C171,Monsters!$T$4:$AH$15,10,FALSE),0)*IFERROR(VLOOKUP(C171,Monsters!$T$4:$AH$15,9,FALSE),0))*'Rules &amp; Formulas'!B6)*IF(D171="",0,D171),0))/MAX(1,IFERROR(VLOOKUP(C171,Monsters!$T$4:$AH$15,6,FALSE),0)),1)))*(IFERROR(VLOOKUP(C171,Monsters!$T$4:$AH$15,7,FALSE),0))),0)+IF(AND((E171="OK"),B171="Go AFK"),((IF(B171="Go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AFK",IF(D171="",0,D171),0),Z170/60)*60)),0))*(IFERROR(VLOOKUP(C171,Monsters!$T$4:$AH$15,4,FALSE),0))+(IF(OR(B171&lt;&gt;"Go AFK",IFERROR(VLOOKUP(C171,Monsters!$T$4:$AH$15,6,FALSE),0)=0),0,FLOOR((IF(B171="Go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AFK",IF(D171="",0,D171),0),Z170/60)*60)),0))/MAX(1,IFERROR(VLOOKUP(C171,Monsters!$T$4:$AH$15,6,FALSE),0)),1)))*(IFERROR(VLOOKUP(C171,Monsters!$T$4:$AH$15,7,FALSE),0))),0)))</f>
        <v/>
      </c>
      <c r="J171" s="7">
        <f>MAX(0,J170+IF(AND((E171="OK"),B171="Hunt"),(IF(B171="Hunt",(('Rules &amp; Formulas'!B4*N170*('Rules &amp; Formulas'!B5+O170)*IFERROR(VLOOKUP(C171,Monsters!$T$4:$AH$15,10,FALSE),0)*IFERROR(VLOOKUP(C171,Monsters!$T$4:$AH$15,9,FALSE),0))*'Rules &amp; Formulas'!B6)*IF(D171="",0,D171),0))*(IFERROR(VLOOKUP(C171,Monsters!$T$4:$AH$15,5,FALSE),0)),0)+IF(AND((E171="OK"),B171="Go AFK"),(IF(B171="Go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AFK",IF(D171="",0,D171),0),Z170/60)*60)),0))*(IFERROR(VLOOKUP(C171,Monsters!$T$4:$AH$15,5,FALSE),0)),0)-IF(AND((E171="OK"),OR(B171="Buy upgrade",B171="Forge/Scrapwork buy"),IFERROR(VLOOKUP(C171,Upgrades!$N$4:$T$47,2,FALSE),0)="scraps"),IFERROR(FLOOR(IFERROR(VLOOKUP(C171,Upgrades!$N$4:$T$47,3,FALSE),0)*(IFERROR(VLOOKUP(C171,Upgrades!$N$4:$T$47,4,FALSE),0)^(COUNTIFS($B$3:$B170,"Buy upgrade",$C$3:$C170,C171)+COUNTIFS($B$3:$B170,"Hire hunter",$C$3:$C170,C171)+COUNTIFS($B$3:$B170,"Forge/Scrapwork buy",$C$3:$C170,C171))),1),0),0))</f>
        <v/>
      </c>
      <c r="K171" s="7">
        <f>MAX(0,K170+IF(AND((E171="OK"),B171="Hunt"),IF(C171="Thornpelt Bear",(IF(B171="Hunt",(('Rules &amp; Formulas'!B4*N170*('Rules &amp; Formulas'!B5+O170)*IFERROR(VLOOKUP(C171,Monsters!$T$4:$AH$15,10,FALSE),0)*IFERROR(VLOOKUP(C171,Monsters!$T$4:$AH$15,9,FALSE),0))*'Rules &amp; Formulas'!B6)*IF(D171="",0,D171),0))*0.12,0),0)+IF(AND((E171="OK"),B171="Go AFK"),IF(C171="Thornpelt Bear",(IF(B171="Go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AFK",IF(D171="",0,D171),0),Z170/60)*60)),0))*0.12,0),0))</f>
        <v/>
      </c>
      <c r="L171" s="7">
        <f>MAX(0,L170+IF(AND((E171="OK"),B171="Hunt"),IF(C171="Dire Thornpelt",(IF(B171="Hunt",(('Rules &amp; Formulas'!B4*N170*('Rules &amp; Formulas'!B5+O170)*IFERROR(VLOOKUP(C171,Monsters!$T$4:$AH$15,10,FALSE),0)*IFERROR(VLOOKUP(C171,Monsters!$T$4:$AH$15,9,FALSE),0))*'Rules &amp; Formulas'!B6)*IF(D171="",0,D171),0))*0.1,0),0)+IF(AND((E171="OK"),B171="Go AFK"),IF(C171="Dire Thornpelt",(IF(B171="Go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AFK",IF(D171="",0,D171),0),Z170/60)*60)),0))*0.1,0),0))</f>
        <v/>
      </c>
      <c r="M171" s="7">
        <f>IF(AND((E171="OK"),B171="Go AFK"),MAX(0,MIN(('Rules &amp; Formulas'!B15+25*AJ170),M170+('Rules &amp; Formulas'!B14+0.4*AJ170)*(MIN(IF(B171="Go AFK",IF(D171="",0,D171),0),Z170/60)*60))-(IF(B171="Go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AFK",IF(D171="",0,D171),0),Z170/60)*60)),0))*(IF((IFERROR(VLOOKUP(C171,Monsters!$T$4:$AH$15,8,FALSE),0))=0,0.35,IFERROR(VLOOKUP(C171,Monsters!$T$4:$AH$15,8,FALSE),0))/(1+0.08*AK170))),MIN(('Rules &amp; Formulas'!B15+25*AJ171),M170))</f>
        <v/>
      </c>
      <c r="N171" s="7">
        <f>(1+0.08+0.12*AA171+0.12*AB171+0.16*AC171)</f>
        <v/>
      </c>
      <c r="O171" s="7">
        <f>((AD171&gt;=1)*1*(1+0.3*AE171))</f>
        <v/>
      </c>
      <c r="P171" s="7">
        <f>IF(OR(B171="Hunt",B171="Go AFK"),(('Rules &amp; Formulas'!B4*N170*('Rules &amp; Formulas'!B5+O170)*IFERROR(VLOOKUP(C171,Monsters!$T$4:$AH$15,10,FALSE),0)*IFERROR(VLOOKUP(C171,Monsters!$T$4:$AH$15,9,FALSE),0))*'Rules &amp; Formulas'!B6),"")</f>
        <v/>
      </c>
      <c r="Q171" s="7">
        <f>IF(OR(B171="Hunt",B171="Go AFK"),('Rules &amp; Formulas'!B4*N170*('Rules &amp; Formulas'!B5+O170)*IFERROR(VLOOKUP(C171,Monsters!$T$4:$AH$15,10,FALSE),0)*IFERROR(VLOOKUP(C171,Monsters!$T$4:$AH$15,9,FALSE),0)),"")</f>
        <v/>
      </c>
      <c r="R171" s="7">
        <f>IF(AND((E171="OK"),B171="Hunt"),IF(B171="Hunt",(('Rules &amp; Formulas'!B4*N170*('Rules &amp; Formulas'!B5+O170)*IFERROR(VLOOKUP(C171,Monsters!$T$4:$AH$15,10,FALSE),0)*IFERROR(VLOOKUP(C171,Monsters!$T$4:$AH$15,9,FALSE),0))*'Rules &amp; Formulas'!B6)*IF(D171="",0,D171),0),IF(AND((E171="OK"),B171="Go AFK"),IF(B171="Go AFK",MIN(IF((IF((IFERROR(VLOOKUP(C171,Monsters!$T$4:$AH$15,8,FALSE),0))=0,0.35,IFERROR(VLOOKUP(C171,Monsters!$T$4:$AH$15,8,FALSE),0))/(1+0.08*AK170))&lt;=0,999999,FLOOR(MIN(('Rules &amp; Formulas'!B15+25*AJ170),M170+('Rules &amp; Formulas'!B14+0.4*AJ170)*(MIN(IF(B171="Go AFK",IF(D171="",0,D171),0),Z170/60)*60))/(IF((IFERROR(VLOOKUP(C171,Monsters!$T$4:$AH$15,8,FALSE),0))=0,0.35,IFERROR(VLOOKUP(C171,Monsters!$T$4:$AH$15,8,FALSE),0))/(1+0.08*AK170)),1)),('Rules &amp; Formulas'!B4*N170*('Rules &amp; Formulas'!B5+O170)*IFERROR(VLOOKUP(C171,Monsters!$T$4:$AH$15,10,FALSE),0)*IFERROR(VLOOKUP(C171,Monsters!$T$4:$AH$15,9,FALSE),0))*(MIN(IF(B171="Go AFK",IF(D171="",0,D171),0),Z170/60)*60)),0),0))</f>
        <v/>
      </c>
      <c r="S171" s="7">
        <f>(105/'Rules &amp; Formulas'!B10)*'Rules &amp; Formulas'!B11</f>
        <v/>
      </c>
      <c r="T171" s="7">
        <f>IF(AD170&gt;=1,(MAX(1,ROUND('Rules &amp; Formulas'!B18*(1+0.3*AE170)*(1+0.4*AF170),0)))*(1000/'Rules &amp; Formulas'!B19)*MIN(0.95,'Rules &amp; Formulas'!B20*SQRT(1+0.55*(AG170&gt;=1))),0)</f>
        <v/>
      </c>
      <c r="U171" s="7">
        <f>S171+T171</f>
        <v/>
      </c>
      <c r="V171" s="7">
        <f>IF(I170&gt;=IF((IFERROR(VLOOKUP(C171,Monsters!$T$4:$AH$15,15,FALSE),0))=0,120,IFERROR(VLOOKUP(C171,Monsters!$T$4:$AH$15,15,FALSE),0)),"YES","no")</f>
        <v/>
      </c>
      <c r="W171" s="7">
        <f>IF(AND(B171="Fight boss",E171="OK"),IF((((105/'Rules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Formulas'!B20*SQRT(1+0.55*(AG170&gt;=1))),0)))),"")</f>
        <v/>
      </c>
      <c r="X171" s="7">
        <f>IF(AND(B171="Fight boss",E171="OK"),IF((IF((((105/'Rules &amp; Formulas'!B10)*'Rules &amp; Formulas'!B11+IF(AD170&gt;=1,(MAX(1,ROUND('Rules &amp; Formulas'!B18*(1+0.3*AE170)*(1+0.4*AF170),0)))*(1000/'Rules &amp; Formulas'!B19)*MIN(0.95,'Rules &amp; Formulas'!B20*SQRT(1+0.55*(AG170&gt;=1))),0)))&lt;=0,9999,(IFERROR(VLOOKUP(C171,Monsters!$T$4:$AH$15,2,FALSE),0))/(((105/'Rules &amp; Formulas'!B10)*'Rules &amp; Formulas'!B11+IF(AD170&gt;=1,(MAX(1,ROUND('Rules &amp; Formulas'!B18*(1+0.3*AE170)*(1+0.4*AF170),0)))*(1000/'Rules &amp; Formulas'!B19)*MIN(0.95,'Rules &amp; Formulas'!B20*SQRT(1+0.55*(AG170&gt;=1))),0))))&lt;='Rules &amp; Formulas'!B12),"WIN","LOSE"),"")</f>
        <v/>
      </c>
      <c r="Y171" s="7">
        <f>IF(B171="Go AFK",MIN(IF(B171="Go AFK",IF(D171="",0,D171),0),Z170/60),"")</f>
        <v/>
      </c>
      <c r="Z171" s="7">
        <f>('Rules &amp; Formulas'!B13+30*AI171)</f>
        <v/>
      </c>
      <c r="AA171">
        <f>COUNTIFS($B$3:$B171,"Buy upgrade",$C$3:$C171,"Idle Power")</f>
        <v/>
      </c>
      <c r="AB171">
        <f>COUNTIFS($B$3:$B171,"Buy upgrade",$C$3:$C171,"Iron Blade")</f>
        <v/>
      </c>
      <c r="AC171">
        <f>COUNTIFS($B$3:$B171,"Buy upgrade",$C$3:$C171,"Steel Blade")</f>
        <v/>
      </c>
      <c r="AD171">
        <f>COUNTIFS($B$3:$B171,"Hire hunter",$C$3:$C171,"Briar")+COUNTIFS($B$3:$B171,"Buy upgrade",$C$3:$C171,"Hire Briar")</f>
        <v/>
      </c>
      <c r="AE171">
        <f>COUNTIFS($B$3:$B171,"Buy upgrade",$C$3:$C171,"Hunter Power")</f>
        <v/>
      </c>
      <c r="AF171">
        <f>COUNTIFS($B$3:$B171,"Buy upgrade",$C$3:$C171,"Bigger Hits")</f>
        <v/>
      </c>
      <c r="AG171">
        <f>COUNTIFS($B$3:$B171,"Buy upgrade",$C$3:$C171,"Swift Walk")</f>
        <v/>
      </c>
      <c r="AH171">
        <f>COUNTIFS($B$3:$B171,"Buy upgrade",$C$3:$C171,"Loot Luck")</f>
        <v/>
      </c>
      <c r="AI171">
        <f>COUNTIFS($B$3:$B171,"Buy upgrade",$C$3:$C171,"Offline Cap")</f>
        <v/>
      </c>
      <c r="AJ171">
        <f>COUNTIFS($B$3:$B171,"Buy upgrade",$C$3:$C171,"Bigger Food Stock")</f>
        <v/>
      </c>
      <c r="AK171">
        <f>COUNTIFS($B$3:$B171,"Buy upgrade",$C$3:$C171,"Food Efficiency")</f>
        <v/>
      </c>
    </row>
    <row r="172">
      <c r="A172" t="n">
        <v>170</v>
      </c>
      <c r="B172" s="6" t="n"/>
      <c r="C172" s="6" t="n"/>
      <c r="D172" s="6" t="n"/>
      <c r="E172" s="7">
        <f>IF(B172="","",IF(OR(B172="Hunt",B172="Go AFK"),IF(C172="","Can't","OK"),IF(B172="Fight boss",IF(I171&lt;IF((IFERROR(VLOOKUP(C172,Monsters!$T$4:$AH$15,15,FALSE),0))=0,120,IFERROR(VLOOKUP(C172,Monsters!$T$4:$AH$15,15,FALSE),0)),"Can't","OK"),IF(B172="Hire hunter",IF(AND(C172="Briar",AD171&gt;=1),"Can't",IF(H171&lt;IF(C172="Briar",140,IF(C172="Quill",3650,IF(C172="Moss",4850,IF(C172="Ember",12200,0)))),"Can't","OK")),IF(OR(B172="Buy upgrade",B172="Forge/Scrapwork buy"),IF(IFERROR(VLOOKUP(C172,Upgrades!$N$4:$T$47,2,FALSE),0)="points","Can't",IF(IFERROR(VLOOKUP(C172,Upgrades!$N$4:$T$47,2,FALSE),0)="gold",IF(H171&lt;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buy",$C$3:$C171,C172))),1),0),"Can't","OK"),IF(IFERROR(VLOOKUP(C172,Upgrades!$N$4:$T$47,2,FALSE),0)="scraps",IF(J171&lt;IFERROR(FLOOR(IFERROR(VLOOKUP(C172,Upgrades!$N$4:$T$47,3,FALSE),0)*(IFERROR(VLOOKUP(C172,Upgrades!$N$4:$T$47,4,FALSE),0)^(COUNTIFS($B$3:$B171,"Buy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buy",$C$3:$C171,C172))),1),0),"Can't","OK"),IF(IFERROR(VLOOKUP(C172,Upgrades!$N$4:$T$47,2,FALSE),0)="mats","Can't","OK")))),"Check")))))</f>
        <v/>
      </c>
      <c r="F172" s="7">
        <f>IF(B172="","",IF(AND(B172="Fight boss",I171&lt;IF((IFERROR(VLOOKUP(C172,Monsters!$T$4:$AH$15,15,FALSE),0))=0,120,IFERROR(VLOOKUP(C172,Monsters!$T$4:$AH$15,15,FALSE),0))),"Can't — need "&amp;TEXT(IF((IFERROR(VLOOKUP(C172,Monsters!$T$4:$AH$15,15,FALSE),0))=0,120,IFERROR(VLOOKUP(C172,Monsters!$T$4:$AH$15,15,FALSE),0))-I171,"0.0")&amp;" more Slayer points on the meter",IF(AND(B172="Hire hunter",C172="Briar",AD171&gt;=1),"Can't — already hired",IF(AND(B172="Hire hunter",H171&lt;IF(C172="Briar",140,IF(C172="Quill",3650,IF(C172="Moss",4850,IF(C172="Ember",12200,0))))),"Can't — need "&amp;TEXT(IF(C172="Briar",140,IF(C172="Quill",3650,IF(C172="Moss",4850,IF(C172="Ember",12200,0))))-H171,"0")&amp;" more gold",IF(AND(OR(B172="Buy upgrade",B172="Forge/Scrapwork buy"),IFERROR(VLOOKUP(C172,Upgrades!$N$4:$T$47,2,FALSE),0)="points"),"Can't — Sp-wallet spends not tracked here",IF(AND(OR(B172="Buy upgrade",B172="Forge/Scrapwork buy"),IFERROR(VLOOKUP(C172,Upgrades!$N$4:$T$47,2,FALSE),0)="gold",H171&lt;IFERROR(FLOOR(IFERROR(VLOOKUP(C172,Upgrades!$N$4:$T$47,3,FALSE),0)*(IFERROR(VLOOKUP(C172,Upgrades!$N$4:$T$47,4,FALSE),0)^(COUNTIFS($B$3:$B171,"Buy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buy",$C$3:$C171,C172))),1),0)),"Can't — need "&amp;TEXT(IFERROR(FLOOR(IFERROR(VLOOKUP(C172,Upgrades!$N$4:$T$47,3,FALSE),0)*(IFERROR(VLOOKUP(C172,Upgrades!$N$4:$T$47,4,FALSE),0)^(COUNTIFS($B$3:$B171,"Buy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buy",$C$3:$C171,C172))),1),0)-H171,"0")&amp;" more gold",IF(AND(OR(B172="Buy upgrade",B172="Forge/Scrapwork buy"),IFERROR(VLOOKUP(C172,Upgrades!$N$4:$T$47,2,FALSE),0)="scraps",J171&lt;IFERROR(FLOOR(IFERROR(VLOOKUP(C172,Upgrades!$N$4:$T$47,3,FALSE),0)*(IFERROR(VLOOKUP(C172,Upgrades!$N$4:$T$47,4,FALSE),0)^(COUNTIFS($B$3:$B171,"Buy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buy",$C$3:$C171,C172))),1),0)),"Can't — need "&amp;TEXT(IFERROR(FLOOR(IFERROR(VLOOKUP(C172,Upgrades!$N$4:$T$47,3,FALSE),0)*(IFERROR(VLOOKUP(C172,Upgrades!$N$4:$T$47,4,FALSE),0)^(COUNTIFS($B$3:$B171,"Buy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buy",$C$3:$C171,C172))),1),0)-J171,"0")&amp;" more scraps",IF(AND(B172="Fight boss",E172="OK",(IF((((105/'Rules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Formulas'!B12)),"WIN — boss down, next Level unlocks",IF(AND(B172="Fight boss",E172="OK"),"LOSE — TTK "&amp;TEXT(IF((((105/'Rules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Formulas'!B20*SQRT(1+0.55*(AG171&gt;=1))),0)))),"0")&amp;"s &gt; patience "&amp;TEXT('Rules &amp; Formulas'!B12,"0")&amp;"s (leave resets HP)",IF(B172="Go AFK","AFK resolved (see AFK counted h)","Applied")))))))))</f>
        <v/>
      </c>
      <c r="G172" s="7">
        <f>IF(AND((E172="OK"),B172="Fight boss",(IF((((105/'Rules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Formulas'!B12),C172="Elder Thornpelt"),2,IF(AND((E172="OK"),B172="Fight boss",(IF((((105/'Rules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Formulas'!B12),C172="Ashfang Alpha"),3,G171))</f>
        <v/>
      </c>
      <c r="H172" s="7">
        <f>MAX(0,H171+IF(AND((E172="OK"),B172="Hunt"),(IF(B172="Hunt",(('Rules &amp; Formulas'!B4*N171*('Rules &amp; Formulas'!B5+O171)*IFERROR(VLOOKUP(C172,Monsters!$T$4:$AH$15,10,FALSE),0)*IFERROR(VLOOKUP(C172,Monsters!$T$4:$AH$15,9,FALSE),0))*'Rules &amp; Formulas'!B6)*IF(D172="",0,D172),0))*(IFERROR(VLOOKUP(C172,Monsters!$T$4:$AH$15,3,FALSE),0))*(1+0.1*AH171)+(IF(OR(B172&lt;&gt;"Hunt",IFERROR(VLOOKUP(C172,Monsters!$T$4:$AH$15,6,FALSE),0)=0),0,FLOOR((IF(B172="Hunt",(('Rules &amp; Formulas'!B4*N171*('Rules &amp; Formulas'!B5+O171)*IFERROR(VLOOKUP(C172,Monsters!$T$4:$AH$15,10,FALSE),0)*IFERROR(VLOOKUP(C172,Monsters!$T$4:$AH$15,9,FALSE),0))*'Rules &amp; Formulas'!B6)*IF(D172="",0,D172),0))/MAX(1,IFERROR(VLOOKUP(C172,Monsters!$T$4:$AH$15,6,FALSE),0)),1)))*(IFERROR(VLOOKUP(C172,Monsters!$T$4:$AH$15,7,FALSE),0))*0.5*(1+0.1*AH171),0)+IF(AND((E172="OK"),B172="Go AFK"),(IF(B172="Go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AFK",IF(D172="",0,D172),0),Z171/60)*60)),0))*(IFERROR(VLOOKUP(C172,Monsters!$T$4:$AH$15,3,FALSE),0))*(1+0.1*AH171)+(IF(OR(B172&lt;&gt;"Go AFK",IFERROR(VLOOKUP(C172,Monsters!$T$4:$AH$15,6,FALSE),0)=0),0,FLOOR((IF(B172="Go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AFK",IF(D172="",0,D172),0),Z171/60)*60)),0))/MAX(1,IFERROR(VLOOKUP(C172,Monsters!$T$4:$AH$15,6,FALSE),0)),1)))*(IFERROR(VLOOKUP(C172,Monsters!$T$4:$AH$15,7,FALSE),0))*0.5*(1+0.1*AH171),0)+IF(AND((E172="OK"),B172="Fight boss",(IF((((105/'Rules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Formulas'!B12)),IFERROR(VLOOKUP(C172,Monsters!$T$4:$AH$15,3,FALSE),0),0)-IF(AND((E172="OK"),OR(B172="Buy upgrade",B172="Forge/Scrapwork buy"),IFERROR(VLOOKUP(C172,Upgrades!$N$4:$T$47,2,FALSE),0)="gold"),IFERROR(FLOOR(IFERROR(VLOOKUP(C172,Upgrades!$N$4:$T$47,3,FALSE),0)*(IFERROR(VLOOKUP(C172,Upgrades!$N$4:$T$47,4,FALSE),0)^(COUNTIFS($B$3:$B171,"Buy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buy",$C$3:$C171,C172))),1),0),0)-IF(AND((E172="OK"),B172="Hire hunter"),IF(C172="Briar",140,IF(C172="Quill",3650,IF(C172="Moss",4850,IF(C172="Ember",12200,0)))),0))</f>
        <v/>
      </c>
      <c r="I172" s="7">
        <f>IF(AND((E172="OK"),B172="Fight boss",(IF((((105/'Rules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Formulas'!B12)),0,MIN(IF(G171&lt;=1,120,IF(G171=2,280,600)),I171+IF(AND((E172="OK"),B172="Hunt"),((IF(B172="Hunt",(('Rules &amp; Formulas'!B4*N171*('Rules &amp; Formulas'!B5+O171)*IFERROR(VLOOKUP(C172,Monsters!$T$4:$AH$15,10,FALSE),0)*IFERROR(VLOOKUP(C172,Monsters!$T$4:$AH$15,9,FALSE),0))*'Rules &amp; Formulas'!B6)*IF(D172="",0,D172),0))*(IFERROR(VLOOKUP(C172,Monsters!$T$4:$AH$15,4,FALSE),0))+(IF(OR(B172&lt;&gt;"Hunt",IFERROR(VLOOKUP(C172,Monsters!$T$4:$AH$15,6,FALSE),0)=0),0,FLOOR((IF(B172="Hunt",(('Rules &amp; Formulas'!B4*N171*('Rules &amp; Formulas'!B5+O171)*IFERROR(VLOOKUP(C172,Monsters!$T$4:$AH$15,10,FALSE),0)*IFERROR(VLOOKUP(C172,Monsters!$T$4:$AH$15,9,FALSE),0))*'Rules &amp; Formulas'!B6)*IF(D172="",0,D172),0))/MAX(1,IFERROR(VLOOKUP(C172,Monsters!$T$4:$AH$15,6,FALSE),0)),1)))*(IFERROR(VLOOKUP(C172,Monsters!$T$4:$AH$15,7,FALSE),0))),0)+IF(AND((E172="OK"),B172="Go AFK"),((IF(B172="Go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AFK",IF(D172="",0,D172),0),Z171/60)*60)),0))*(IFERROR(VLOOKUP(C172,Monsters!$T$4:$AH$15,4,FALSE),0))+(IF(OR(B172&lt;&gt;"Go AFK",IFERROR(VLOOKUP(C172,Monsters!$T$4:$AH$15,6,FALSE),0)=0),0,FLOOR((IF(B172="Go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AFK",IF(D172="",0,D172),0),Z171/60)*60)),0))/MAX(1,IFERROR(VLOOKUP(C172,Monsters!$T$4:$AH$15,6,FALSE),0)),1)))*(IFERROR(VLOOKUP(C172,Monsters!$T$4:$AH$15,7,FALSE),0))),0)))</f>
        <v/>
      </c>
      <c r="J172" s="7">
        <f>MAX(0,J171+IF(AND((E172="OK"),B172="Hunt"),(IF(B172="Hunt",(('Rules &amp; Formulas'!B4*N171*('Rules &amp; Formulas'!B5+O171)*IFERROR(VLOOKUP(C172,Monsters!$T$4:$AH$15,10,FALSE),0)*IFERROR(VLOOKUP(C172,Monsters!$T$4:$AH$15,9,FALSE),0))*'Rules &amp; Formulas'!B6)*IF(D172="",0,D172),0))*(IFERROR(VLOOKUP(C172,Monsters!$T$4:$AH$15,5,FALSE),0)),0)+IF(AND((E172="OK"),B172="Go AFK"),(IF(B172="Go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AFK",IF(D172="",0,D172),0),Z171/60)*60)),0))*(IFERROR(VLOOKUP(C172,Monsters!$T$4:$AH$15,5,FALSE),0)),0)-IF(AND((E172="OK"),OR(B172="Buy upgrade",B172="Forge/Scrapwork buy"),IFERROR(VLOOKUP(C172,Upgrades!$N$4:$T$47,2,FALSE),0)="scraps"),IFERROR(FLOOR(IFERROR(VLOOKUP(C172,Upgrades!$N$4:$T$47,3,FALSE),0)*(IFERROR(VLOOKUP(C172,Upgrades!$N$4:$T$47,4,FALSE),0)^(COUNTIFS($B$3:$B171,"Buy upgrade",$C$3:$C171,C172)+COUNTIFS($B$3:$B171,"Hire hunter",$C$3:$C171,C172)+COUNTIFS($B$3:$B171,"Forge/Scrapwork buy",$C$3:$C171,C172))),1),0),0))</f>
        <v/>
      </c>
      <c r="K172" s="7">
        <f>MAX(0,K171+IF(AND((E172="OK"),B172="Hunt"),IF(C172="Thornpelt Bear",(IF(B172="Hunt",(('Rules &amp; Formulas'!B4*N171*('Rules &amp; Formulas'!B5+O171)*IFERROR(VLOOKUP(C172,Monsters!$T$4:$AH$15,10,FALSE),0)*IFERROR(VLOOKUP(C172,Monsters!$T$4:$AH$15,9,FALSE),0))*'Rules &amp; Formulas'!B6)*IF(D172="",0,D172),0))*0.12,0),0)+IF(AND((E172="OK"),B172="Go AFK"),IF(C172="Thornpelt Bear",(IF(B172="Go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AFK",IF(D172="",0,D172),0),Z171/60)*60)),0))*0.12,0),0))</f>
        <v/>
      </c>
      <c r="L172" s="7">
        <f>MAX(0,L171+IF(AND((E172="OK"),B172="Hunt"),IF(C172="Dire Thornpelt",(IF(B172="Hunt",(('Rules &amp; Formulas'!B4*N171*('Rules &amp; Formulas'!B5+O171)*IFERROR(VLOOKUP(C172,Monsters!$T$4:$AH$15,10,FALSE),0)*IFERROR(VLOOKUP(C172,Monsters!$T$4:$AH$15,9,FALSE),0))*'Rules &amp; Formulas'!B6)*IF(D172="",0,D172),0))*0.1,0),0)+IF(AND((E172="OK"),B172="Go AFK"),IF(C172="Dire Thornpelt",(IF(B172="Go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AFK",IF(D172="",0,D172),0),Z171/60)*60)),0))*0.1,0),0))</f>
        <v/>
      </c>
      <c r="M172" s="7">
        <f>IF(AND((E172="OK"),B172="Go AFK"),MAX(0,MIN(('Rules &amp; Formulas'!B15+25*AJ171),M171+('Rules &amp; Formulas'!B14+0.4*AJ171)*(MIN(IF(B172="Go AFK",IF(D172="",0,D172),0),Z171/60)*60))-(IF(B172="Go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AFK",IF(D172="",0,D172),0),Z171/60)*60)),0))*(IF((IFERROR(VLOOKUP(C172,Monsters!$T$4:$AH$15,8,FALSE),0))=0,0.35,IFERROR(VLOOKUP(C172,Monsters!$T$4:$AH$15,8,FALSE),0))/(1+0.08*AK171))),MIN(('Rules &amp; Formulas'!B15+25*AJ172),M171))</f>
        <v/>
      </c>
      <c r="N172" s="7">
        <f>(1+0.08+0.12*AA172+0.12*AB172+0.16*AC172)</f>
        <v/>
      </c>
      <c r="O172" s="7">
        <f>((AD172&gt;=1)*1*(1+0.3*AE172))</f>
        <v/>
      </c>
      <c r="P172" s="7">
        <f>IF(OR(B172="Hunt",B172="Go AFK"),(('Rules &amp; Formulas'!B4*N171*('Rules &amp; Formulas'!B5+O171)*IFERROR(VLOOKUP(C172,Monsters!$T$4:$AH$15,10,FALSE),0)*IFERROR(VLOOKUP(C172,Monsters!$T$4:$AH$15,9,FALSE),0))*'Rules &amp; Formulas'!B6),"")</f>
        <v/>
      </c>
      <c r="Q172" s="7">
        <f>IF(OR(B172="Hunt",B172="Go AFK"),('Rules &amp; Formulas'!B4*N171*('Rules &amp; Formulas'!B5+O171)*IFERROR(VLOOKUP(C172,Monsters!$T$4:$AH$15,10,FALSE),0)*IFERROR(VLOOKUP(C172,Monsters!$T$4:$AH$15,9,FALSE),0)),"")</f>
        <v/>
      </c>
      <c r="R172" s="7">
        <f>IF(AND((E172="OK"),B172="Hunt"),IF(B172="Hunt",(('Rules &amp; Formulas'!B4*N171*('Rules &amp; Formulas'!B5+O171)*IFERROR(VLOOKUP(C172,Monsters!$T$4:$AH$15,10,FALSE),0)*IFERROR(VLOOKUP(C172,Monsters!$T$4:$AH$15,9,FALSE),0))*'Rules &amp; Formulas'!B6)*IF(D172="",0,D172),0),IF(AND((E172="OK"),B172="Go AFK"),IF(B172="Go AFK",MIN(IF((IF((IFERROR(VLOOKUP(C172,Monsters!$T$4:$AH$15,8,FALSE),0))=0,0.35,IFERROR(VLOOKUP(C172,Monsters!$T$4:$AH$15,8,FALSE),0))/(1+0.08*AK171))&lt;=0,999999,FLOOR(MIN(('Rules &amp; Formulas'!B15+25*AJ171),M171+('Rules &amp; Formulas'!B14+0.4*AJ171)*(MIN(IF(B172="Go AFK",IF(D172="",0,D172),0),Z171/60)*60))/(IF((IFERROR(VLOOKUP(C172,Monsters!$T$4:$AH$15,8,FALSE),0))=0,0.35,IFERROR(VLOOKUP(C172,Monsters!$T$4:$AH$15,8,FALSE),0))/(1+0.08*AK171)),1)),('Rules &amp; Formulas'!B4*N171*('Rules &amp; Formulas'!B5+O171)*IFERROR(VLOOKUP(C172,Monsters!$T$4:$AH$15,10,FALSE),0)*IFERROR(VLOOKUP(C172,Monsters!$T$4:$AH$15,9,FALSE),0))*(MIN(IF(B172="Go AFK",IF(D172="",0,D172),0),Z171/60)*60)),0),0))</f>
        <v/>
      </c>
      <c r="S172" s="7">
        <f>(105/'Rules &amp; Formulas'!B10)*'Rules &amp; Formulas'!B11</f>
        <v/>
      </c>
      <c r="T172" s="7">
        <f>IF(AD171&gt;=1,(MAX(1,ROUND('Rules &amp; Formulas'!B18*(1+0.3*AE171)*(1+0.4*AF171),0)))*(1000/'Rules &amp; Formulas'!B19)*MIN(0.95,'Rules &amp; Formulas'!B20*SQRT(1+0.55*(AG171&gt;=1))),0)</f>
        <v/>
      </c>
      <c r="U172" s="7">
        <f>S172+T172</f>
        <v/>
      </c>
      <c r="V172" s="7">
        <f>IF(I171&gt;=IF((IFERROR(VLOOKUP(C172,Monsters!$T$4:$AH$15,15,FALSE),0))=0,120,IFERROR(VLOOKUP(C172,Monsters!$T$4:$AH$15,15,FALSE),0)),"YES","no")</f>
        <v/>
      </c>
      <c r="W172" s="7">
        <f>IF(AND(B172="Fight boss",E172="OK"),IF((((105/'Rules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Formulas'!B20*SQRT(1+0.55*(AG171&gt;=1))),0)))),"")</f>
        <v/>
      </c>
      <c r="X172" s="7">
        <f>IF(AND(B172="Fight boss",E172="OK"),IF((IF((((105/'Rules &amp; Formulas'!B10)*'Rules &amp; Formulas'!B11+IF(AD171&gt;=1,(MAX(1,ROUND('Rules &amp; Formulas'!B18*(1+0.3*AE171)*(1+0.4*AF171),0)))*(1000/'Rules &amp; Formulas'!B19)*MIN(0.95,'Rules &amp; Formulas'!B20*SQRT(1+0.55*(AG171&gt;=1))),0)))&lt;=0,9999,(IFERROR(VLOOKUP(C172,Monsters!$T$4:$AH$15,2,FALSE),0))/(((105/'Rules &amp; Formulas'!B10)*'Rules &amp; Formulas'!B11+IF(AD171&gt;=1,(MAX(1,ROUND('Rules &amp; Formulas'!B18*(1+0.3*AE171)*(1+0.4*AF171),0)))*(1000/'Rules &amp; Formulas'!B19)*MIN(0.95,'Rules &amp; Formulas'!B20*SQRT(1+0.55*(AG171&gt;=1))),0))))&lt;='Rules &amp; Formulas'!B12),"WIN","LOSE"),"")</f>
        <v/>
      </c>
      <c r="Y172" s="7">
        <f>IF(B172="Go AFK",MIN(IF(B172="Go AFK",IF(D172="",0,D172),0),Z171/60),"")</f>
        <v/>
      </c>
      <c r="Z172" s="7">
        <f>('Rules &amp; Formulas'!B13+30*AI172)</f>
        <v/>
      </c>
      <c r="AA172">
        <f>COUNTIFS($B$3:$B172,"Buy upgrade",$C$3:$C172,"Idle Power")</f>
        <v/>
      </c>
      <c r="AB172">
        <f>COUNTIFS($B$3:$B172,"Buy upgrade",$C$3:$C172,"Iron Blade")</f>
        <v/>
      </c>
      <c r="AC172">
        <f>COUNTIFS($B$3:$B172,"Buy upgrade",$C$3:$C172,"Steel Blade")</f>
        <v/>
      </c>
      <c r="AD172">
        <f>COUNTIFS($B$3:$B172,"Hire hunter",$C$3:$C172,"Briar")+COUNTIFS($B$3:$B172,"Buy upgrade",$C$3:$C172,"Hire Briar")</f>
        <v/>
      </c>
      <c r="AE172">
        <f>COUNTIFS($B$3:$B172,"Buy upgrade",$C$3:$C172,"Hunter Power")</f>
        <v/>
      </c>
      <c r="AF172">
        <f>COUNTIFS($B$3:$B172,"Buy upgrade",$C$3:$C172,"Bigger Hits")</f>
        <v/>
      </c>
      <c r="AG172">
        <f>COUNTIFS($B$3:$B172,"Buy upgrade",$C$3:$C172,"Swift Walk")</f>
        <v/>
      </c>
      <c r="AH172">
        <f>COUNTIFS($B$3:$B172,"Buy upgrade",$C$3:$C172,"Loot Luck")</f>
        <v/>
      </c>
      <c r="AI172">
        <f>COUNTIFS($B$3:$B172,"Buy upgrade",$C$3:$C172,"Offline Cap")</f>
        <v/>
      </c>
      <c r="AJ172">
        <f>COUNTIFS($B$3:$B172,"Buy upgrade",$C$3:$C172,"Bigger Food Stock")</f>
        <v/>
      </c>
      <c r="AK172">
        <f>COUNTIFS($B$3:$B172,"Buy upgrade",$C$3:$C172,"Food Efficiency")</f>
        <v/>
      </c>
    </row>
    <row r="173">
      <c r="A173" t="n">
        <v>171</v>
      </c>
      <c r="B173" s="6" t="n"/>
      <c r="C173" s="6" t="n"/>
      <c r="D173" s="6" t="n"/>
      <c r="E173" s="7">
        <f>IF(B173="","",IF(OR(B173="Hunt",B173="Go AFK"),IF(C173="","Can't","OK"),IF(B173="Fight boss",IF(I172&lt;IF((IFERROR(VLOOKUP(C173,Monsters!$T$4:$AH$15,15,FALSE),0))=0,120,IFERROR(VLOOKUP(C173,Monsters!$T$4:$AH$15,15,FALSE),0)),"Can't","OK"),IF(B173="Hire hunter",IF(AND(C173="Briar",AD172&gt;=1),"Can't",IF(H172&lt;IF(C173="Briar",140,IF(C173="Quill",3650,IF(C173="Moss",4850,IF(C173="Ember",12200,0)))),"Can't","OK")),IF(OR(B173="Buy upgrade",B173="Forge/Scrapwork buy"),IF(IFERROR(VLOOKUP(C173,Upgrades!$N$4:$T$47,2,FALSE),0)="points","Can't",IF(IFERROR(VLOOKUP(C173,Upgrades!$N$4:$T$47,2,FALSE),0)="gold",IF(H172&lt;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buy",$C$3:$C172,C173))),1),0),"Can't","OK"),IF(IFERROR(VLOOKUP(C173,Upgrades!$N$4:$T$47,2,FALSE),0)="scraps",IF(J172&lt;IFERROR(FLOOR(IFERROR(VLOOKUP(C173,Upgrades!$N$4:$T$47,3,FALSE),0)*(IFERROR(VLOOKUP(C173,Upgrades!$N$4:$T$47,4,FALSE),0)^(COUNTIFS($B$3:$B172,"Buy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buy",$C$3:$C172,C173))),1),0),"Can't","OK"),IF(IFERROR(VLOOKUP(C173,Upgrades!$N$4:$T$47,2,FALSE),0)="mats","Can't","OK")))),"Check")))))</f>
        <v/>
      </c>
      <c r="F173" s="7">
        <f>IF(B173="","",IF(AND(B173="Fight boss",I172&lt;IF((IFERROR(VLOOKUP(C173,Monsters!$T$4:$AH$15,15,FALSE),0))=0,120,IFERROR(VLOOKUP(C173,Monsters!$T$4:$AH$15,15,FALSE),0))),"Can't — need "&amp;TEXT(IF((IFERROR(VLOOKUP(C173,Monsters!$T$4:$AH$15,15,FALSE),0))=0,120,IFERROR(VLOOKUP(C173,Monsters!$T$4:$AH$15,15,FALSE),0))-I172,"0.0")&amp;" more Slayer points on the meter",IF(AND(B173="Hire hunter",C173="Briar",AD172&gt;=1),"Can't — already hired",IF(AND(B173="Hire hunter",H172&lt;IF(C173="Briar",140,IF(C173="Quill",3650,IF(C173="Moss",4850,IF(C173="Ember",12200,0))))),"Can't — need "&amp;TEXT(IF(C173="Briar",140,IF(C173="Quill",3650,IF(C173="Moss",4850,IF(C173="Ember",12200,0))))-H172,"0")&amp;" more gold",IF(AND(OR(B173="Buy upgrade",B173="Forge/Scrapwork buy"),IFERROR(VLOOKUP(C173,Upgrades!$N$4:$T$47,2,FALSE),0)="points"),"Can't — Sp-wallet spends not tracked here",IF(AND(OR(B173="Buy upgrade",B173="Forge/Scrapwork buy"),IFERROR(VLOOKUP(C173,Upgrades!$N$4:$T$47,2,FALSE),0)="gold",H172&lt;IFERROR(FLOOR(IFERROR(VLOOKUP(C173,Upgrades!$N$4:$T$47,3,FALSE),0)*(IFERROR(VLOOKUP(C173,Upgrades!$N$4:$T$47,4,FALSE),0)^(COUNTIFS($B$3:$B172,"Buy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buy",$C$3:$C172,C173))),1),0)),"Can't — need "&amp;TEXT(IFERROR(FLOOR(IFERROR(VLOOKUP(C173,Upgrades!$N$4:$T$47,3,FALSE),0)*(IFERROR(VLOOKUP(C173,Upgrades!$N$4:$T$47,4,FALSE),0)^(COUNTIFS($B$3:$B172,"Buy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buy",$C$3:$C172,C173))),1),0)-H172,"0")&amp;" more gold",IF(AND(OR(B173="Buy upgrade",B173="Forge/Scrapwork buy"),IFERROR(VLOOKUP(C173,Upgrades!$N$4:$T$47,2,FALSE),0)="scraps",J172&lt;IFERROR(FLOOR(IFERROR(VLOOKUP(C173,Upgrades!$N$4:$T$47,3,FALSE),0)*(IFERROR(VLOOKUP(C173,Upgrades!$N$4:$T$47,4,FALSE),0)^(COUNTIFS($B$3:$B172,"Buy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buy",$C$3:$C172,C173))),1),0)),"Can't — need "&amp;TEXT(IFERROR(FLOOR(IFERROR(VLOOKUP(C173,Upgrades!$N$4:$T$47,3,FALSE),0)*(IFERROR(VLOOKUP(C173,Upgrades!$N$4:$T$47,4,FALSE),0)^(COUNTIFS($B$3:$B172,"Buy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buy",$C$3:$C172,C173))),1),0)-J172,"0")&amp;" more scraps",IF(AND(B173="Fight boss",E173="OK",(IF((((105/'Rules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Formulas'!B12)),"WIN — boss down, next Level unlocks",IF(AND(B173="Fight boss",E173="OK"),"LOSE — TTK "&amp;TEXT(IF((((105/'Rules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Formulas'!B20*SQRT(1+0.55*(AG172&gt;=1))),0)))),"0")&amp;"s &gt; patience "&amp;TEXT('Rules &amp; Formulas'!B12,"0")&amp;"s (leave resets HP)",IF(B173="Go AFK","AFK resolved (see AFK counted h)","Applied")))))))))</f>
        <v/>
      </c>
      <c r="G173" s="7">
        <f>IF(AND((E173="OK"),B173="Fight boss",(IF((((105/'Rules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Formulas'!B12),C173="Elder Thornpelt"),2,IF(AND((E173="OK"),B173="Fight boss",(IF((((105/'Rules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Formulas'!B12),C173="Ashfang Alpha"),3,G172))</f>
        <v/>
      </c>
      <c r="H173" s="7">
        <f>MAX(0,H172+IF(AND((E173="OK"),B173="Hunt"),(IF(B173="Hunt",(('Rules &amp; Formulas'!B4*N172*('Rules &amp; Formulas'!B5+O172)*IFERROR(VLOOKUP(C173,Monsters!$T$4:$AH$15,10,FALSE),0)*IFERROR(VLOOKUP(C173,Monsters!$T$4:$AH$15,9,FALSE),0))*'Rules &amp; Formulas'!B6)*IF(D173="",0,D173),0))*(IFERROR(VLOOKUP(C173,Monsters!$T$4:$AH$15,3,FALSE),0))*(1+0.1*AH172)+(IF(OR(B173&lt;&gt;"Hunt",IFERROR(VLOOKUP(C173,Monsters!$T$4:$AH$15,6,FALSE),0)=0),0,FLOOR((IF(B173="Hunt",(('Rules &amp; Formulas'!B4*N172*('Rules &amp; Formulas'!B5+O172)*IFERROR(VLOOKUP(C173,Monsters!$T$4:$AH$15,10,FALSE),0)*IFERROR(VLOOKUP(C173,Monsters!$T$4:$AH$15,9,FALSE),0))*'Rules &amp; Formulas'!B6)*IF(D173="",0,D173),0))/MAX(1,IFERROR(VLOOKUP(C173,Monsters!$T$4:$AH$15,6,FALSE),0)),1)))*(IFERROR(VLOOKUP(C173,Monsters!$T$4:$AH$15,7,FALSE),0))*0.5*(1+0.1*AH172),0)+IF(AND((E173="OK"),B173="Go AFK"),(IF(B173="Go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AFK",IF(D173="",0,D173),0),Z172/60)*60)),0))*(IFERROR(VLOOKUP(C173,Monsters!$T$4:$AH$15,3,FALSE),0))*(1+0.1*AH172)+(IF(OR(B173&lt;&gt;"Go AFK",IFERROR(VLOOKUP(C173,Monsters!$T$4:$AH$15,6,FALSE),0)=0),0,FLOOR((IF(B173="Go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AFK",IF(D173="",0,D173),0),Z172/60)*60)),0))/MAX(1,IFERROR(VLOOKUP(C173,Monsters!$T$4:$AH$15,6,FALSE),0)),1)))*(IFERROR(VLOOKUP(C173,Monsters!$T$4:$AH$15,7,FALSE),0))*0.5*(1+0.1*AH172),0)+IF(AND((E173="OK"),B173="Fight boss",(IF((((105/'Rules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Formulas'!B12)),IFERROR(VLOOKUP(C173,Monsters!$T$4:$AH$15,3,FALSE),0),0)-IF(AND((E173="OK"),OR(B173="Buy upgrade",B173="Forge/Scrapwork buy"),IFERROR(VLOOKUP(C173,Upgrades!$N$4:$T$47,2,FALSE),0)="gold"),IFERROR(FLOOR(IFERROR(VLOOKUP(C173,Upgrades!$N$4:$T$47,3,FALSE),0)*(IFERROR(VLOOKUP(C173,Upgrades!$N$4:$T$47,4,FALSE),0)^(COUNTIFS($B$3:$B172,"Buy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buy",$C$3:$C172,C173))),1),0),0)-IF(AND((E173="OK"),B173="Hire hunter"),IF(C173="Briar",140,IF(C173="Quill",3650,IF(C173="Moss",4850,IF(C173="Ember",12200,0)))),0))</f>
        <v/>
      </c>
      <c r="I173" s="7">
        <f>IF(AND((E173="OK"),B173="Fight boss",(IF((((105/'Rules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Formulas'!B12)),0,MIN(IF(G172&lt;=1,120,IF(G172=2,280,600)),I172+IF(AND((E173="OK"),B173="Hunt"),((IF(B173="Hunt",(('Rules &amp; Formulas'!B4*N172*('Rules &amp; Formulas'!B5+O172)*IFERROR(VLOOKUP(C173,Monsters!$T$4:$AH$15,10,FALSE),0)*IFERROR(VLOOKUP(C173,Monsters!$T$4:$AH$15,9,FALSE),0))*'Rules &amp; Formulas'!B6)*IF(D173="",0,D173),0))*(IFERROR(VLOOKUP(C173,Monsters!$T$4:$AH$15,4,FALSE),0))+(IF(OR(B173&lt;&gt;"Hunt",IFERROR(VLOOKUP(C173,Monsters!$T$4:$AH$15,6,FALSE),0)=0),0,FLOOR((IF(B173="Hunt",(('Rules &amp; Formulas'!B4*N172*('Rules &amp; Formulas'!B5+O172)*IFERROR(VLOOKUP(C173,Monsters!$T$4:$AH$15,10,FALSE),0)*IFERROR(VLOOKUP(C173,Monsters!$T$4:$AH$15,9,FALSE),0))*'Rules &amp; Formulas'!B6)*IF(D173="",0,D173),0))/MAX(1,IFERROR(VLOOKUP(C173,Monsters!$T$4:$AH$15,6,FALSE),0)),1)))*(IFERROR(VLOOKUP(C173,Monsters!$T$4:$AH$15,7,FALSE),0))),0)+IF(AND((E173="OK"),B173="Go AFK"),((IF(B173="Go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AFK",IF(D173="",0,D173),0),Z172/60)*60)),0))*(IFERROR(VLOOKUP(C173,Monsters!$T$4:$AH$15,4,FALSE),0))+(IF(OR(B173&lt;&gt;"Go AFK",IFERROR(VLOOKUP(C173,Monsters!$T$4:$AH$15,6,FALSE),0)=0),0,FLOOR((IF(B173="Go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AFK",IF(D173="",0,D173),0),Z172/60)*60)),0))/MAX(1,IFERROR(VLOOKUP(C173,Monsters!$T$4:$AH$15,6,FALSE),0)),1)))*(IFERROR(VLOOKUP(C173,Monsters!$T$4:$AH$15,7,FALSE),0))),0)))</f>
        <v/>
      </c>
      <c r="J173" s="7">
        <f>MAX(0,J172+IF(AND((E173="OK"),B173="Hunt"),(IF(B173="Hunt",(('Rules &amp; Formulas'!B4*N172*('Rules &amp; Formulas'!B5+O172)*IFERROR(VLOOKUP(C173,Monsters!$T$4:$AH$15,10,FALSE),0)*IFERROR(VLOOKUP(C173,Monsters!$T$4:$AH$15,9,FALSE),0))*'Rules &amp; Formulas'!B6)*IF(D173="",0,D173),0))*(IFERROR(VLOOKUP(C173,Monsters!$T$4:$AH$15,5,FALSE),0)),0)+IF(AND((E173="OK"),B173="Go AFK"),(IF(B173="Go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AFK",IF(D173="",0,D173),0),Z172/60)*60)),0))*(IFERROR(VLOOKUP(C173,Monsters!$T$4:$AH$15,5,FALSE),0)),0)-IF(AND((E173="OK"),OR(B173="Buy upgrade",B173="Forge/Scrapwork buy"),IFERROR(VLOOKUP(C173,Upgrades!$N$4:$T$47,2,FALSE),0)="scraps"),IFERROR(FLOOR(IFERROR(VLOOKUP(C173,Upgrades!$N$4:$T$47,3,FALSE),0)*(IFERROR(VLOOKUP(C173,Upgrades!$N$4:$T$47,4,FALSE),0)^(COUNTIFS($B$3:$B172,"Buy upgrade",$C$3:$C172,C173)+COUNTIFS($B$3:$B172,"Hire hunter",$C$3:$C172,C173)+COUNTIFS($B$3:$B172,"Forge/Scrapwork buy",$C$3:$C172,C173))),1),0),0))</f>
        <v/>
      </c>
      <c r="K173" s="7">
        <f>MAX(0,K172+IF(AND((E173="OK"),B173="Hunt"),IF(C173="Thornpelt Bear",(IF(B173="Hunt",(('Rules &amp; Formulas'!B4*N172*('Rules &amp; Formulas'!B5+O172)*IFERROR(VLOOKUP(C173,Monsters!$T$4:$AH$15,10,FALSE),0)*IFERROR(VLOOKUP(C173,Monsters!$T$4:$AH$15,9,FALSE),0))*'Rules &amp; Formulas'!B6)*IF(D173="",0,D173),0))*0.12,0),0)+IF(AND((E173="OK"),B173="Go AFK"),IF(C173="Thornpelt Bear",(IF(B173="Go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AFK",IF(D173="",0,D173),0),Z172/60)*60)),0))*0.12,0),0))</f>
        <v/>
      </c>
      <c r="L173" s="7">
        <f>MAX(0,L172+IF(AND((E173="OK"),B173="Hunt"),IF(C173="Dire Thornpelt",(IF(B173="Hunt",(('Rules &amp; Formulas'!B4*N172*('Rules &amp; Formulas'!B5+O172)*IFERROR(VLOOKUP(C173,Monsters!$T$4:$AH$15,10,FALSE),0)*IFERROR(VLOOKUP(C173,Monsters!$T$4:$AH$15,9,FALSE),0))*'Rules &amp; Formulas'!B6)*IF(D173="",0,D173),0))*0.1,0),0)+IF(AND((E173="OK"),B173="Go AFK"),IF(C173="Dire Thornpelt",(IF(B173="Go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AFK",IF(D173="",0,D173),0),Z172/60)*60)),0))*0.1,0),0))</f>
        <v/>
      </c>
      <c r="M173" s="7">
        <f>IF(AND((E173="OK"),B173="Go AFK"),MAX(0,MIN(('Rules &amp; Formulas'!B15+25*AJ172),M172+('Rules &amp; Formulas'!B14+0.4*AJ172)*(MIN(IF(B173="Go AFK",IF(D173="",0,D173),0),Z172/60)*60))-(IF(B173="Go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AFK",IF(D173="",0,D173),0),Z172/60)*60)),0))*(IF((IFERROR(VLOOKUP(C173,Monsters!$T$4:$AH$15,8,FALSE),0))=0,0.35,IFERROR(VLOOKUP(C173,Monsters!$T$4:$AH$15,8,FALSE),0))/(1+0.08*AK172))),MIN(('Rules &amp; Formulas'!B15+25*AJ173),M172))</f>
        <v/>
      </c>
      <c r="N173" s="7">
        <f>(1+0.08+0.12*AA173+0.12*AB173+0.16*AC173)</f>
        <v/>
      </c>
      <c r="O173" s="7">
        <f>((AD173&gt;=1)*1*(1+0.3*AE173))</f>
        <v/>
      </c>
      <c r="P173" s="7">
        <f>IF(OR(B173="Hunt",B173="Go AFK"),(('Rules &amp; Formulas'!B4*N172*('Rules &amp; Formulas'!B5+O172)*IFERROR(VLOOKUP(C173,Monsters!$T$4:$AH$15,10,FALSE),0)*IFERROR(VLOOKUP(C173,Monsters!$T$4:$AH$15,9,FALSE),0))*'Rules &amp; Formulas'!B6),"")</f>
        <v/>
      </c>
      <c r="Q173" s="7">
        <f>IF(OR(B173="Hunt",B173="Go AFK"),('Rules &amp; Formulas'!B4*N172*('Rules &amp; Formulas'!B5+O172)*IFERROR(VLOOKUP(C173,Monsters!$T$4:$AH$15,10,FALSE),0)*IFERROR(VLOOKUP(C173,Monsters!$T$4:$AH$15,9,FALSE),0)),"")</f>
        <v/>
      </c>
      <c r="R173" s="7">
        <f>IF(AND((E173="OK"),B173="Hunt"),IF(B173="Hunt",(('Rules &amp; Formulas'!B4*N172*('Rules &amp; Formulas'!B5+O172)*IFERROR(VLOOKUP(C173,Monsters!$T$4:$AH$15,10,FALSE),0)*IFERROR(VLOOKUP(C173,Monsters!$T$4:$AH$15,9,FALSE),0))*'Rules &amp; Formulas'!B6)*IF(D173="",0,D173),0),IF(AND((E173="OK"),B173="Go AFK"),IF(B173="Go AFK",MIN(IF((IF((IFERROR(VLOOKUP(C173,Monsters!$T$4:$AH$15,8,FALSE),0))=0,0.35,IFERROR(VLOOKUP(C173,Monsters!$T$4:$AH$15,8,FALSE),0))/(1+0.08*AK172))&lt;=0,999999,FLOOR(MIN(('Rules &amp; Formulas'!B15+25*AJ172),M172+('Rules &amp; Formulas'!B14+0.4*AJ172)*(MIN(IF(B173="Go AFK",IF(D173="",0,D173),0),Z172/60)*60))/(IF((IFERROR(VLOOKUP(C173,Monsters!$T$4:$AH$15,8,FALSE),0))=0,0.35,IFERROR(VLOOKUP(C173,Monsters!$T$4:$AH$15,8,FALSE),0))/(1+0.08*AK172)),1)),('Rules &amp; Formulas'!B4*N172*('Rules &amp; Formulas'!B5+O172)*IFERROR(VLOOKUP(C173,Monsters!$T$4:$AH$15,10,FALSE),0)*IFERROR(VLOOKUP(C173,Monsters!$T$4:$AH$15,9,FALSE),0))*(MIN(IF(B173="Go AFK",IF(D173="",0,D173),0),Z172/60)*60)),0),0))</f>
        <v/>
      </c>
      <c r="S173" s="7">
        <f>(105/'Rules &amp; Formulas'!B10)*'Rules &amp; Formulas'!B11</f>
        <v/>
      </c>
      <c r="T173" s="7">
        <f>IF(AD172&gt;=1,(MAX(1,ROUND('Rules &amp; Formulas'!B18*(1+0.3*AE172)*(1+0.4*AF172),0)))*(1000/'Rules &amp; Formulas'!B19)*MIN(0.95,'Rules &amp; Formulas'!B20*SQRT(1+0.55*(AG172&gt;=1))),0)</f>
        <v/>
      </c>
      <c r="U173" s="7">
        <f>S173+T173</f>
        <v/>
      </c>
      <c r="V173" s="7">
        <f>IF(I172&gt;=IF((IFERROR(VLOOKUP(C173,Monsters!$T$4:$AH$15,15,FALSE),0))=0,120,IFERROR(VLOOKUP(C173,Monsters!$T$4:$AH$15,15,FALSE),0)),"YES","no")</f>
        <v/>
      </c>
      <c r="W173" s="7">
        <f>IF(AND(B173="Fight boss",E173="OK"),IF((((105/'Rules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Formulas'!B20*SQRT(1+0.55*(AG172&gt;=1))),0)))),"")</f>
        <v/>
      </c>
      <c r="X173" s="7">
        <f>IF(AND(B173="Fight boss",E173="OK"),IF((IF((((105/'Rules &amp; Formulas'!B10)*'Rules &amp; Formulas'!B11+IF(AD172&gt;=1,(MAX(1,ROUND('Rules &amp; Formulas'!B18*(1+0.3*AE172)*(1+0.4*AF172),0)))*(1000/'Rules &amp; Formulas'!B19)*MIN(0.95,'Rules &amp; Formulas'!B20*SQRT(1+0.55*(AG172&gt;=1))),0)))&lt;=0,9999,(IFERROR(VLOOKUP(C173,Monsters!$T$4:$AH$15,2,FALSE),0))/(((105/'Rules &amp; Formulas'!B10)*'Rules &amp; Formulas'!B11+IF(AD172&gt;=1,(MAX(1,ROUND('Rules &amp; Formulas'!B18*(1+0.3*AE172)*(1+0.4*AF172),0)))*(1000/'Rules &amp; Formulas'!B19)*MIN(0.95,'Rules &amp; Formulas'!B20*SQRT(1+0.55*(AG172&gt;=1))),0))))&lt;='Rules &amp; Formulas'!B12),"WIN","LOSE"),"")</f>
        <v/>
      </c>
      <c r="Y173" s="7">
        <f>IF(B173="Go AFK",MIN(IF(B173="Go AFK",IF(D173="",0,D173),0),Z172/60),"")</f>
        <v/>
      </c>
      <c r="Z173" s="7">
        <f>('Rules &amp; Formulas'!B13+30*AI173)</f>
        <v/>
      </c>
      <c r="AA173">
        <f>COUNTIFS($B$3:$B173,"Buy upgrade",$C$3:$C173,"Idle Power")</f>
        <v/>
      </c>
      <c r="AB173">
        <f>COUNTIFS($B$3:$B173,"Buy upgrade",$C$3:$C173,"Iron Blade")</f>
        <v/>
      </c>
      <c r="AC173">
        <f>COUNTIFS($B$3:$B173,"Buy upgrade",$C$3:$C173,"Steel Blade")</f>
        <v/>
      </c>
      <c r="AD173">
        <f>COUNTIFS($B$3:$B173,"Hire hunter",$C$3:$C173,"Briar")+COUNTIFS($B$3:$B173,"Buy upgrade",$C$3:$C173,"Hire Briar")</f>
        <v/>
      </c>
      <c r="AE173">
        <f>COUNTIFS($B$3:$B173,"Buy upgrade",$C$3:$C173,"Hunter Power")</f>
        <v/>
      </c>
      <c r="AF173">
        <f>COUNTIFS($B$3:$B173,"Buy upgrade",$C$3:$C173,"Bigger Hits")</f>
        <v/>
      </c>
      <c r="AG173">
        <f>COUNTIFS($B$3:$B173,"Buy upgrade",$C$3:$C173,"Swift Walk")</f>
        <v/>
      </c>
      <c r="AH173">
        <f>COUNTIFS($B$3:$B173,"Buy upgrade",$C$3:$C173,"Loot Luck")</f>
        <v/>
      </c>
      <c r="AI173">
        <f>COUNTIFS($B$3:$B173,"Buy upgrade",$C$3:$C173,"Offline Cap")</f>
        <v/>
      </c>
      <c r="AJ173">
        <f>COUNTIFS($B$3:$B173,"Buy upgrade",$C$3:$C173,"Bigger Food Stock")</f>
        <v/>
      </c>
      <c r="AK173">
        <f>COUNTIFS($B$3:$B173,"Buy upgrade",$C$3:$C173,"Food Efficiency")</f>
        <v/>
      </c>
    </row>
    <row r="174">
      <c r="A174" t="n">
        <v>172</v>
      </c>
      <c r="B174" s="6" t="n"/>
      <c r="C174" s="6" t="n"/>
      <c r="D174" s="6" t="n"/>
      <c r="E174" s="7">
        <f>IF(B174="","",IF(OR(B174="Hunt",B174="Go AFK"),IF(C174="","Can't","OK"),IF(B174="Fight boss",IF(I173&lt;IF((IFERROR(VLOOKUP(C174,Monsters!$T$4:$AH$15,15,FALSE),0))=0,120,IFERROR(VLOOKUP(C174,Monsters!$T$4:$AH$15,15,FALSE),0)),"Can't","OK"),IF(B174="Hire hunter",IF(AND(C174="Briar",AD173&gt;=1),"Can't",IF(H173&lt;IF(C174="Briar",140,IF(C174="Quill",3650,IF(C174="Moss",4850,IF(C174="Ember",12200,0)))),"Can't","OK")),IF(OR(B174="Buy upgrade",B174="Forge/Scrapwork buy"),IF(IFERROR(VLOOKUP(C174,Upgrades!$N$4:$T$47,2,FALSE),0)="points","Can't",IF(IFERROR(VLOOKUP(C174,Upgrades!$N$4:$T$47,2,FALSE),0)="gold",IF(H173&lt;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buy",$C$3:$C173,C174))),1),0),"Can't","OK"),IF(IFERROR(VLOOKUP(C174,Upgrades!$N$4:$T$47,2,FALSE),0)="scraps",IF(J173&lt;IFERROR(FLOOR(IFERROR(VLOOKUP(C174,Upgrades!$N$4:$T$47,3,FALSE),0)*(IFERROR(VLOOKUP(C174,Upgrades!$N$4:$T$47,4,FALSE),0)^(COUNTIFS($B$3:$B173,"Buy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buy",$C$3:$C173,C174))),1),0),"Can't","OK"),IF(IFERROR(VLOOKUP(C174,Upgrades!$N$4:$T$47,2,FALSE),0)="mats","Can't","OK")))),"Check")))))</f>
        <v/>
      </c>
      <c r="F174" s="7">
        <f>IF(B174="","",IF(AND(B174="Fight boss",I173&lt;IF((IFERROR(VLOOKUP(C174,Monsters!$T$4:$AH$15,15,FALSE),0))=0,120,IFERROR(VLOOKUP(C174,Monsters!$T$4:$AH$15,15,FALSE),0))),"Can't — need "&amp;TEXT(IF((IFERROR(VLOOKUP(C174,Monsters!$T$4:$AH$15,15,FALSE),0))=0,120,IFERROR(VLOOKUP(C174,Monsters!$T$4:$AH$15,15,FALSE),0))-I173,"0.0")&amp;" more Slayer points on the meter",IF(AND(B174="Hire hunter",C174="Briar",AD173&gt;=1),"Can't — already hired",IF(AND(B174="Hire hunter",H173&lt;IF(C174="Briar",140,IF(C174="Quill",3650,IF(C174="Moss",4850,IF(C174="Ember",12200,0))))),"Can't — need "&amp;TEXT(IF(C174="Briar",140,IF(C174="Quill",3650,IF(C174="Moss",4850,IF(C174="Ember",12200,0))))-H173,"0")&amp;" more gold",IF(AND(OR(B174="Buy upgrade",B174="Forge/Scrapwork buy"),IFERROR(VLOOKUP(C174,Upgrades!$N$4:$T$47,2,FALSE),0)="points"),"Can't — Sp-wallet spends not tracked here",IF(AND(OR(B174="Buy upgrade",B174="Forge/Scrapwork buy"),IFERROR(VLOOKUP(C174,Upgrades!$N$4:$T$47,2,FALSE),0)="gold",H173&lt;IFERROR(FLOOR(IFERROR(VLOOKUP(C174,Upgrades!$N$4:$T$47,3,FALSE),0)*(IFERROR(VLOOKUP(C174,Upgrades!$N$4:$T$47,4,FALSE),0)^(COUNTIFS($B$3:$B173,"Buy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buy",$C$3:$C173,C174))),1),0)),"Can't — need "&amp;TEXT(IFERROR(FLOOR(IFERROR(VLOOKUP(C174,Upgrades!$N$4:$T$47,3,FALSE),0)*(IFERROR(VLOOKUP(C174,Upgrades!$N$4:$T$47,4,FALSE),0)^(COUNTIFS($B$3:$B173,"Buy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buy",$C$3:$C173,C174))),1),0)-H173,"0")&amp;" more gold",IF(AND(OR(B174="Buy upgrade",B174="Forge/Scrapwork buy"),IFERROR(VLOOKUP(C174,Upgrades!$N$4:$T$47,2,FALSE),0)="scraps",J173&lt;IFERROR(FLOOR(IFERROR(VLOOKUP(C174,Upgrades!$N$4:$T$47,3,FALSE),0)*(IFERROR(VLOOKUP(C174,Upgrades!$N$4:$T$47,4,FALSE),0)^(COUNTIFS($B$3:$B173,"Buy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buy",$C$3:$C173,C174))),1),0)),"Can't — need "&amp;TEXT(IFERROR(FLOOR(IFERROR(VLOOKUP(C174,Upgrades!$N$4:$T$47,3,FALSE),0)*(IFERROR(VLOOKUP(C174,Upgrades!$N$4:$T$47,4,FALSE),0)^(COUNTIFS($B$3:$B173,"Buy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buy",$C$3:$C173,C174))),1),0)-J173,"0")&amp;" more scraps",IF(AND(B174="Fight boss",E174="OK",(IF((((105/'Rules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Formulas'!B12)),"WIN — boss down, next Level unlocks",IF(AND(B174="Fight boss",E174="OK"),"LOSE — TTK "&amp;TEXT(IF((((105/'Rules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Formulas'!B20*SQRT(1+0.55*(AG173&gt;=1))),0)))),"0")&amp;"s &gt; patience "&amp;TEXT('Rules &amp; Formulas'!B12,"0")&amp;"s (leave resets HP)",IF(B174="Go AFK","AFK resolved (see AFK counted h)","Applied")))))))))</f>
        <v/>
      </c>
      <c r="G174" s="7">
        <f>IF(AND((E174="OK"),B174="Fight boss",(IF((((105/'Rules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Formulas'!B12),C174="Elder Thornpelt"),2,IF(AND((E174="OK"),B174="Fight boss",(IF((((105/'Rules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Formulas'!B12),C174="Ashfang Alpha"),3,G173))</f>
        <v/>
      </c>
      <c r="H174" s="7">
        <f>MAX(0,H173+IF(AND((E174="OK"),B174="Hunt"),(IF(B174="Hunt",(('Rules &amp; Formulas'!B4*N173*('Rules &amp; Formulas'!B5+O173)*IFERROR(VLOOKUP(C174,Monsters!$T$4:$AH$15,10,FALSE),0)*IFERROR(VLOOKUP(C174,Monsters!$T$4:$AH$15,9,FALSE),0))*'Rules &amp; Formulas'!B6)*IF(D174="",0,D174),0))*(IFERROR(VLOOKUP(C174,Monsters!$T$4:$AH$15,3,FALSE),0))*(1+0.1*AH173)+(IF(OR(B174&lt;&gt;"Hunt",IFERROR(VLOOKUP(C174,Monsters!$T$4:$AH$15,6,FALSE),0)=0),0,FLOOR((IF(B174="Hunt",(('Rules &amp; Formulas'!B4*N173*('Rules &amp; Formulas'!B5+O173)*IFERROR(VLOOKUP(C174,Monsters!$T$4:$AH$15,10,FALSE),0)*IFERROR(VLOOKUP(C174,Monsters!$T$4:$AH$15,9,FALSE),0))*'Rules &amp; Formulas'!B6)*IF(D174="",0,D174),0))/MAX(1,IFERROR(VLOOKUP(C174,Monsters!$T$4:$AH$15,6,FALSE),0)),1)))*(IFERROR(VLOOKUP(C174,Monsters!$T$4:$AH$15,7,FALSE),0))*0.5*(1+0.1*AH173),0)+IF(AND((E174="OK"),B174="Go AFK"),(IF(B174="Go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AFK",IF(D174="",0,D174),0),Z173/60)*60)),0))*(IFERROR(VLOOKUP(C174,Monsters!$T$4:$AH$15,3,FALSE),0))*(1+0.1*AH173)+(IF(OR(B174&lt;&gt;"Go AFK",IFERROR(VLOOKUP(C174,Monsters!$T$4:$AH$15,6,FALSE),0)=0),0,FLOOR((IF(B174="Go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AFK",IF(D174="",0,D174),0),Z173/60)*60)),0))/MAX(1,IFERROR(VLOOKUP(C174,Monsters!$T$4:$AH$15,6,FALSE),0)),1)))*(IFERROR(VLOOKUP(C174,Monsters!$T$4:$AH$15,7,FALSE),0))*0.5*(1+0.1*AH173),0)+IF(AND((E174="OK"),B174="Fight boss",(IF((((105/'Rules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Formulas'!B12)),IFERROR(VLOOKUP(C174,Monsters!$T$4:$AH$15,3,FALSE),0),0)-IF(AND((E174="OK"),OR(B174="Buy upgrade",B174="Forge/Scrapwork buy"),IFERROR(VLOOKUP(C174,Upgrades!$N$4:$T$47,2,FALSE),0)="gold"),IFERROR(FLOOR(IFERROR(VLOOKUP(C174,Upgrades!$N$4:$T$47,3,FALSE),0)*(IFERROR(VLOOKUP(C174,Upgrades!$N$4:$T$47,4,FALSE),0)^(COUNTIFS($B$3:$B173,"Buy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buy",$C$3:$C173,C174))),1),0),0)-IF(AND((E174="OK"),B174="Hire hunter"),IF(C174="Briar",140,IF(C174="Quill",3650,IF(C174="Moss",4850,IF(C174="Ember",12200,0)))),0))</f>
        <v/>
      </c>
      <c r="I174" s="7">
        <f>IF(AND((E174="OK"),B174="Fight boss",(IF((((105/'Rules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Formulas'!B12)),0,MIN(IF(G173&lt;=1,120,IF(G173=2,280,600)),I173+IF(AND((E174="OK"),B174="Hunt"),((IF(B174="Hunt",(('Rules &amp; Formulas'!B4*N173*('Rules &amp; Formulas'!B5+O173)*IFERROR(VLOOKUP(C174,Monsters!$T$4:$AH$15,10,FALSE),0)*IFERROR(VLOOKUP(C174,Monsters!$T$4:$AH$15,9,FALSE),0))*'Rules &amp; Formulas'!B6)*IF(D174="",0,D174),0))*(IFERROR(VLOOKUP(C174,Monsters!$T$4:$AH$15,4,FALSE),0))+(IF(OR(B174&lt;&gt;"Hunt",IFERROR(VLOOKUP(C174,Monsters!$T$4:$AH$15,6,FALSE),0)=0),0,FLOOR((IF(B174="Hunt",(('Rules &amp; Formulas'!B4*N173*('Rules &amp; Formulas'!B5+O173)*IFERROR(VLOOKUP(C174,Monsters!$T$4:$AH$15,10,FALSE),0)*IFERROR(VLOOKUP(C174,Monsters!$T$4:$AH$15,9,FALSE),0))*'Rules &amp; Formulas'!B6)*IF(D174="",0,D174),0))/MAX(1,IFERROR(VLOOKUP(C174,Monsters!$T$4:$AH$15,6,FALSE),0)),1)))*(IFERROR(VLOOKUP(C174,Monsters!$T$4:$AH$15,7,FALSE),0))),0)+IF(AND((E174="OK"),B174="Go AFK"),((IF(B174="Go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AFK",IF(D174="",0,D174),0),Z173/60)*60)),0))*(IFERROR(VLOOKUP(C174,Monsters!$T$4:$AH$15,4,FALSE),0))+(IF(OR(B174&lt;&gt;"Go AFK",IFERROR(VLOOKUP(C174,Monsters!$T$4:$AH$15,6,FALSE),0)=0),0,FLOOR((IF(B174="Go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AFK",IF(D174="",0,D174),0),Z173/60)*60)),0))/MAX(1,IFERROR(VLOOKUP(C174,Monsters!$T$4:$AH$15,6,FALSE),0)),1)))*(IFERROR(VLOOKUP(C174,Monsters!$T$4:$AH$15,7,FALSE),0))),0)))</f>
        <v/>
      </c>
      <c r="J174" s="7">
        <f>MAX(0,J173+IF(AND((E174="OK"),B174="Hunt"),(IF(B174="Hunt",(('Rules &amp; Formulas'!B4*N173*('Rules &amp; Formulas'!B5+O173)*IFERROR(VLOOKUP(C174,Monsters!$T$4:$AH$15,10,FALSE),0)*IFERROR(VLOOKUP(C174,Monsters!$T$4:$AH$15,9,FALSE),0))*'Rules &amp; Formulas'!B6)*IF(D174="",0,D174),0))*(IFERROR(VLOOKUP(C174,Monsters!$T$4:$AH$15,5,FALSE),0)),0)+IF(AND((E174="OK"),B174="Go AFK"),(IF(B174="Go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AFK",IF(D174="",0,D174),0),Z173/60)*60)),0))*(IFERROR(VLOOKUP(C174,Monsters!$T$4:$AH$15,5,FALSE),0)),0)-IF(AND((E174="OK"),OR(B174="Buy upgrade",B174="Forge/Scrapwork buy"),IFERROR(VLOOKUP(C174,Upgrades!$N$4:$T$47,2,FALSE),0)="scraps"),IFERROR(FLOOR(IFERROR(VLOOKUP(C174,Upgrades!$N$4:$T$47,3,FALSE),0)*(IFERROR(VLOOKUP(C174,Upgrades!$N$4:$T$47,4,FALSE),0)^(COUNTIFS($B$3:$B173,"Buy upgrade",$C$3:$C173,C174)+COUNTIFS($B$3:$B173,"Hire hunter",$C$3:$C173,C174)+COUNTIFS($B$3:$B173,"Forge/Scrapwork buy",$C$3:$C173,C174))),1),0),0))</f>
        <v/>
      </c>
      <c r="K174" s="7">
        <f>MAX(0,K173+IF(AND((E174="OK"),B174="Hunt"),IF(C174="Thornpelt Bear",(IF(B174="Hunt",(('Rules &amp; Formulas'!B4*N173*('Rules &amp; Formulas'!B5+O173)*IFERROR(VLOOKUP(C174,Monsters!$T$4:$AH$15,10,FALSE),0)*IFERROR(VLOOKUP(C174,Monsters!$T$4:$AH$15,9,FALSE),0))*'Rules &amp; Formulas'!B6)*IF(D174="",0,D174),0))*0.12,0),0)+IF(AND((E174="OK"),B174="Go AFK"),IF(C174="Thornpelt Bear",(IF(B174="Go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AFK",IF(D174="",0,D174),0),Z173/60)*60)),0))*0.12,0),0))</f>
        <v/>
      </c>
      <c r="L174" s="7">
        <f>MAX(0,L173+IF(AND((E174="OK"),B174="Hunt"),IF(C174="Dire Thornpelt",(IF(B174="Hunt",(('Rules &amp; Formulas'!B4*N173*('Rules &amp; Formulas'!B5+O173)*IFERROR(VLOOKUP(C174,Monsters!$T$4:$AH$15,10,FALSE),0)*IFERROR(VLOOKUP(C174,Monsters!$T$4:$AH$15,9,FALSE),0))*'Rules &amp; Formulas'!B6)*IF(D174="",0,D174),0))*0.1,0),0)+IF(AND((E174="OK"),B174="Go AFK"),IF(C174="Dire Thornpelt",(IF(B174="Go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AFK",IF(D174="",0,D174),0),Z173/60)*60)),0))*0.1,0),0))</f>
        <v/>
      </c>
      <c r="M174" s="7">
        <f>IF(AND((E174="OK"),B174="Go AFK"),MAX(0,MIN(('Rules &amp; Formulas'!B15+25*AJ173),M173+('Rules &amp; Formulas'!B14+0.4*AJ173)*(MIN(IF(B174="Go AFK",IF(D174="",0,D174),0),Z173/60)*60))-(IF(B174="Go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AFK",IF(D174="",0,D174),0),Z173/60)*60)),0))*(IF((IFERROR(VLOOKUP(C174,Monsters!$T$4:$AH$15,8,FALSE),0))=0,0.35,IFERROR(VLOOKUP(C174,Monsters!$T$4:$AH$15,8,FALSE),0))/(1+0.08*AK173))),MIN(('Rules &amp; Formulas'!B15+25*AJ174),M173))</f>
        <v/>
      </c>
      <c r="N174" s="7">
        <f>(1+0.08+0.12*AA174+0.12*AB174+0.16*AC174)</f>
        <v/>
      </c>
      <c r="O174" s="7">
        <f>((AD174&gt;=1)*1*(1+0.3*AE174))</f>
        <v/>
      </c>
      <c r="P174" s="7">
        <f>IF(OR(B174="Hunt",B174="Go AFK"),(('Rules &amp; Formulas'!B4*N173*('Rules &amp; Formulas'!B5+O173)*IFERROR(VLOOKUP(C174,Monsters!$T$4:$AH$15,10,FALSE),0)*IFERROR(VLOOKUP(C174,Monsters!$T$4:$AH$15,9,FALSE),0))*'Rules &amp; Formulas'!B6),"")</f>
        <v/>
      </c>
      <c r="Q174" s="7">
        <f>IF(OR(B174="Hunt",B174="Go AFK"),('Rules &amp; Formulas'!B4*N173*('Rules &amp; Formulas'!B5+O173)*IFERROR(VLOOKUP(C174,Monsters!$T$4:$AH$15,10,FALSE),0)*IFERROR(VLOOKUP(C174,Monsters!$T$4:$AH$15,9,FALSE),0)),"")</f>
        <v/>
      </c>
      <c r="R174" s="7">
        <f>IF(AND((E174="OK"),B174="Hunt"),IF(B174="Hunt",(('Rules &amp; Formulas'!B4*N173*('Rules &amp; Formulas'!B5+O173)*IFERROR(VLOOKUP(C174,Monsters!$T$4:$AH$15,10,FALSE),0)*IFERROR(VLOOKUP(C174,Monsters!$T$4:$AH$15,9,FALSE),0))*'Rules &amp; Formulas'!B6)*IF(D174="",0,D174),0),IF(AND((E174="OK"),B174="Go AFK"),IF(B174="Go AFK",MIN(IF((IF((IFERROR(VLOOKUP(C174,Monsters!$T$4:$AH$15,8,FALSE),0))=0,0.35,IFERROR(VLOOKUP(C174,Monsters!$T$4:$AH$15,8,FALSE),0))/(1+0.08*AK173))&lt;=0,999999,FLOOR(MIN(('Rules &amp; Formulas'!B15+25*AJ173),M173+('Rules &amp; Formulas'!B14+0.4*AJ173)*(MIN(IF(B174="Go AFK",IF(D174="",0,D174),0),Z173/60)*60))/(IF((IFERROR(VLOOKUP(C174,Monsters!$T$4:$AH$15,8,FALSE),0))=0,0.35,IFERROR(VLOOKUP(C174,Monsters!$T$4:$AH$15,8,FALSE),0))/(1+0.08*AK173)),1)),('Rules &amp; Formulas'!B4*N173*('Rules &amp; Formulas'!B5+O173)*IFERROR(VLOOKUP(C174,Monsters!$T$4:$AH$15,10,FALSE),0)*IFERROR(VLOOKUP(C174,Monsters!$T$4:$AH$15,9,FALSE),0))*(MIN(IF(B174="Go AFK",IF(D174="",0,D174),0),Z173/60)*60)),0),0))</f>
        <v/>
      </c>
      <c r="S174" s="7">
        <f>(105/'Rules &amp; Formulas'!B10)*'Rules &amp; Formulas'!B11</f>
        <v/>
      </c>
      <c r="T174" s="7">
        <f>IF(AD173&gt;=1,(MAX(1,ROUND('Rules &amp; Formulas'!B18*(1+0.3*AE173)*(1+0.4*AF173),0)))*(1000/'Rules &amp; Formulas'!B19)*MIN(0.95,'Rules &amp; Formulas'!B20*SQRT(1+0.55*(AG173&gt;=1))),0)</f>
        <v/>
      </c>
      <c r="U174" s="7">
        <f>S174+T174</f>
        <v/>
      </c>
      <c r="V174" s="7">
        <f>IF(I173&gt;=IF((IFERROR(VLOOKUP(C174,Monsters!$T$4:$AH$15,15,FALSE),0))=0,120,IFERROR(VLOOKUP(C174,Monsters!$T$4:$AH$15,15,FALSE),0)),"YES","no")</f>
        <v/>
      </c>
      <c r="W174" s="7">
        <f>IF(AND(B174="Fight boss",E174="OK"),IF((((105/'Rules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Formulas'!B20*SQRT(1+0.55*(AG173&gt;=1))),0)))),"")</f>
        <v/>
      </c>
      <c r="X174" s="7">
        <f>IF(AND(B174="Fight boss",E174="OK"),IF((IF((((105/'Rules &amp; Formulas'!B10)*'Rules &amp; Formulas'!B11+IF(AD173&gt;=1,(MAX(1,ROUND('Rules &amp; Formulas'!B18*(1+0.3*AE173)*(1+0.4*AF173),0)))*(1000/'Rules &amp; Formulas'!B19)*MIN(0.95,'Rules &amp; Formulas'!B20*SQRT(1+0.55*(AG173&gt;=1))),0)))&lt;=0,9999,(IFERROR(VLOOKUP(C174,Monsters!$T$4:$AH$15,2,FALSE),0))/(((105/'Rules &amp; Formulas'!B10)*'Rules &amp; Formulas'!B11+IF(AD173&gt;=1,(MAX(1,ROUND('Rules &amp; Formulas'!B18*(1+0.3*AE173)*(1+0.4*AF173),0)))*(1000/'Rules &amp; Formulas'!B19)*MIN(0.95,'Rules &amp; Formulas'!B20*SQRT(1+0.55*(AG173&gt;=1))),0))))&lt;='Rules &amp; Formulas'!B12),"WIN","LOSE"),"")</f>
        <v/>
      </c>
      <c r="Y174" s="7">
        <f>IF(B174="Go AFK",MIN(IF(B174="Go AFK",IF(D174="",0,D174),0),Z173/60),"")</f>
        <v/>
      </c>
      <c r="Z174" s="7">
        <f>('Rules &amp; Formulas'!B13+30*AI174)</f>
        <v/>
      </c>
      <c r="AA174">
        <f>COUNTIFS($B$3:$B174,"Buy upgrade",$C$3:$C174,"Idle Power")</f>
        <v/>
      </c>
      <c r="AB174">
        <f>COUNTIFS($B$3:$B174,"Buy upgrade",$C$3:$C174,"Iron Blade")</f>
        <v/>
      </c>
      <c r="AC174">
        <f>COUNTIFS($B$3:$B174,"Buy upgrade",$C$3:$C174,"Steel Blade")</f>
        <v/>
      </c>
      <c r="AD174">
        <f>COUNTIFS($B$3:$B174,"Hire hunter",$C$3:$C174,"Briar")+COUNTIFS($B$3:$B174,"Buy upgrade",$C$3:$C174,"Hire Briar")</f>
        <v/>
      </c>
      <c r="AE174">
        <f>COUNTIFS($B$3:$B174,"Buy upgrade",$C$3:$C174,"Hunter Power")</f>
        <v/>
      </c>
      <c r="AF174">
        <f>COUNTIFS($B$3:$B174,"Buy upgrade",$C$3:$C174,"Bigger Hits")</f>
        <v/>
      </c>
      <c r="AG174">
        <f>COUNTIFS($B$3:$B174,"Buy upgrade",$C$3:$C174,"Swift Walk")</f>
        <v/>
      </c>
      <c r="AH174">
        <f>COUNTIFS($B$3:$B174,"Buy upgrade",$C$3:$C174,"Loot Luck")</f>
        <v/>
      </c>
      <c r="AI174">
        <f>COUNTIFS($B$3:$B174,"Buy upgrade",$C$3:$C174,"Offline Cap")</f>
        <v/>
      </c>
      <c r="AJ174">
        <f>COUNTIFS($B$3:$B174,"Buy upgrade",$C$3:$C174,"Bigger Food Stock")</f>
        <v/>
      </c>
      <c r="AK174">
        <f>COUNTIFS($B$3:$B174,"Buy upgrade",$C$3:$C174,"Food Efficiency")</f>
        <v/>
      </c>
    </row>
    <row r="175">
      <c r="A175" t="n">
        <v>173</v>
      </c>
      <c r="B175" s="6" t="n"/>
      <c r="C175" s="6" t="n"/>
      <c r="D175" s="6" t="n"/>
      <c r="E175" s="7">
        <f>IF(B175="","",IF(OR(B175="Hunt",B175="Go AFK"),IF(C175="","Can't","OK"),IF(B175="Fight boss",IF(I174&lt;IF((IFERROR(VLOOKUP(C175,Monsters!$T$4:$AH$15,15,FALSE),0))=0,120,IFERROR(VLOOKUP(C175,Monsters!$T$4:$AH$15,15,FALSE),0)),"Can't","OK"),IF(B175="Hire hunter",IF(AND(C175="Briar",AD174&gt;=1),"Can't",IF(H174&lt;IF(C175="Briar",140,IF(C175="Quill",3650,IF(C175="Moss",4850,IF(C175="Ember",12200,0)))),"Can't","OK")),IF(OR(B175="Buy upgrade",B175="Forge/Scrapwork buy"),IF(IFERROR(VLOOKUP(C175,Upgrades!$N$4:$T$47,2,FALSE),0)="points","Can't",IF(IFERROR(VLOOKUP(C175,Upgrades!$N$4:$T$47,2,FALSE),0)="gold",IF(H174&lt;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buy",$C$3:$C174,C175))),1),0),"Can't","OK"),IF(IFERROR(VLOOKUP(C175,Upgrades!$N$4:$T$47,2,FALSE),0)="scraps",IF(J174&lt;IFERROR(FLOOR(IFERROR(VLOOKUP(C175,Upgrades!$N$4:$T$47,3,FALSE),0)*(IFERROR(VLOOKUP(C175,Upgrades!$N$4:$T$47,4,FALSE),0)^(COUNTIFS($B$3:$B174,"Buy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buy",$C$3:$C174,C175))),1),0),"Can't","OK"),IF(IFERROR(VLOOKUP(C175,Upgrades!$N$4:$T$47,2,FALSE),0)="mats","Can't","OK")))),"Check")))))</f>
        <v/>
      </c>
      <c r="F175" s="7">
        <f>IF(B175="","",IF(AND(B175="Fight boss",I174&lt;IF((IFERROR(VLOOKUP(C175,Monsters!$T$4:$AH$15,15,FALSE),0))=0,120,IFERROR(VLOOKUP(C175,Monsters!$T$4:$AH$15,15,FALSE),0))),"Can't — need "&amp;TEXT(IF((IFERROR(VLOOKUP(C175,Monsters!$T$4:$AH$15,15,FALSE),0))=0,120,IFERROR(VLOOKUP(C175,Monsters!$T$4:$AH$15,15,FALSE),0))-I174,"0.0")&amp;" more Slayer points on the meter",IF(AND(B175="Hire hunter",C175="Briar",AD174&gt;=1),"Can't — already hired",IF(AND(B175="Hire hunter",H174&lt;IF(C175="Briar",140,IF(C175="Quill",3650,IF(C175="Moss",4850,IF(C175="Ember",12200,0))))),"Can't — need "&amp;TEXT(IF(C175="Briar",140,IF(C175="Quill",3650,IF(C175="Moss",4850,IF(C175="Ember",12200,0))))-H174,"0")&amp;" more gold",IF(AND(OR(B175="Buy upgrade",B175="Forge/Scrapwork buy"),IFERROR(VLOOKUP(C175,Upgrades!$N$4:$T$47,2,FALSE),0)="points"),"Can't — Sp-wallet spends not tracked here",IF(AND(OR(B175="Buy upgrade",B175="Forge/Scrapwork buy"),IFERROR(VLOOKUP(C175,Upgrades!$N$4:$T$47,2,FALSE),0)="gold",H174&lt;IFERROR(FLOOR(IFERROR(VLOOKUP(C175,Upgrades!$N$4:$T$47,3,FALSE),0)*(IFERROR(VLOOKUP(C175,Upgrades!$N$4:$T$47,4,FALSE),0)^(COUNTIFS($B$3:$B174,"Buy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buy",$C$3:$C174,C175))),1),0)),"Can't — need "&amp;TEXT(IFERROR(FLOOR(IFERROR(VLOOKUP(C175,Upgrades!$N$4:$T$47,3,FALSE),0)*(IFERROR(VLOOKUP(C175,Upgrades!$N$4:$T$47,4,FALSE),0)^(COUNTIFS($B$3:$B174,"Buy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buy",$C$3:$C174,C175))),1),0)-H174,"0")&amp;" more gold",IF(AND(OR(B175="Buy upgrade",B175="Forge/Scrapwork buy"),IFERROR(VLOOKUP(C175,Upgrades!$N$4:$T$47,2,FALSE),0)="scraps",J174&lt;IFERROR(FLOOR(IFERROR(VLOOKUP(C175,Upgrades!$N$4:$T$47,3,FALSE),0)*(IFERROR(VLOOKUP(C175,Upgrades!$N$4:$T$47,4,FALSE),0)^(COUNTIFS($B$3:$B174,"Buy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buy",$C$3:$C174,C175))),1),0)),"Can't — need "&amp;TEXT(IFERROR(FLOOR(IFERROR(VLOOKUP(C175,Upgrades!$N$4:$T$47,3,FALSE),0)*(IFERROR(VLOOKUP(C175,Upgrades!$N$4:$T$47,4,FALSE),0)^(COUNTIFS($B$3:$B174,"Buy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buy",$C$3:$C174,C175))),1),0)-J174,"0")&amp;" more scraps",IF(AND(B175="Fight boss",E175="OK",(IF((((105/'Rules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Formulas'!B12)),"WIN — boss down, next Level unlocks",IF(AND(B175="Fight boss",E175="OK"),"LOSE — TTK "&amp;TEXT(IF((((105/'Rules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Formulas'!B20*SQRT(1+0.55*(AG174&gt;=1))),0)))),"0")&amp;"s &gt; patience "&amp;TEXT('Rules &amp; Formulas'!B12,"0")&amp;"s (leave resets HP)",IF(B175="Go AFK","AFK resolved (see AFK counted h)","Applied")))))))))</f>
        <v/>
      </c>
      <c r="G175" s="7">
        <f>IF(AND((E175="OK"),B175="Fight boss",(IF((((105/'Rules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Formulas'!B12),C175="Elder Thornpelt"),2,IF(AND((E175="OK"),B175="Fight boss",(IF((((105/'Rules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Formulas'!B12),C175="Ashfang Alpha"),3,G174))</f>
        <v/>
      </c>
      <c r="H175" s="7">
        <f>MAX(0,H174+IF(AND((E175="OK"),B175="Hunt"),(IF(B175="Hunt",(('Rules &amp; Formulas'!B4*N174*('Rules &amp; Formulas'!B5+O174)*IFERROR(VLOOKUP(C175,Monsters!$T$4:$AH$15,10,FALSE),0)*IFERROR(VLOOKUP(C175,Monsters!$T$4:$AH$15,9,FALSE),0))*'Rules &amp; Formulas'!B6)*IF(D175="",0,D175),0))*(IFERROR(VLOOKUP(C175,Monsters!$T$4:$AH$15,3,FALSE),0))*(1+0.1*AH174)+(IF(OR(B175&lt;&gt;"Hunt",IFERROR(VLOOKUP(C175,Monsters!$T$4:$AH$15,6,FALSE),0)=0),0,FLOOR((IF(B175="Hunt",(('Rules &amp; Formulas'!B4*N174*('Rules &amp; Formulas'!B5+O174)*IFERROR(VLOOKUP(C175,Monsters!$T$4:$AH$15,10,FALSE),0)*IFERROR(VLOOKUP(C175,Monsters!$T$4:$AH$15,9,FALSE),0))*'Rules &amp; Formulas'!B6)*IF(D175="",0,D175),0))/MAX(1,IFERROR(VLOOKUP(C175,Monsters!$T$4:$AH$15,6,FALSE),0)),1)))*(IFERROR(VLOOKUP(C175,Monsters!$T$4:$AH$15,7,FALSE),0))*0.5*(1+0.1*AH174),0)+IF(AND((E175="OK"),B175="Go AFK"),(IF(B175="Go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AFK",IF(D175="",0,D175),0),Z174/60)*60)),0))*(IFERROR(VLOOKUP(C175,Monsters!$T$4:$AH$15,3,FALSE),0))*(1+0.1*AH174)+(IF(OR(B175&lt;&gt;"Go AFK",IFERROR(VLOOKUP(C175,Monsters!$T$4:$AH$15,6,FALSE),0)=0),0,FLOOR((IF(B175="Go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AFK",IF(D175="",0,D175),0),Z174/60)*60)),0))/MAX(1,IFERROR(VLOOKUP(C175,Monsters!$T$4:$AH$15,6,FALSE),0)),1)))*(IFERROR(VLOOKUP(C175,Monsters!$T$4:$AH$15,7,FALSE),0))*0.5*(1+0.1*AH174),0)+IF(AND((E175="OK"),B175="Fight boss",(IF((((105/'Rules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Formulas'!B12)),IFERROR(VLOOKUP(C175,Monsters!$T$4:$AH$15,3,FALSE),0),0)-IF(AND((E175="OK"),OR(B175="Buy upgrade",B175="Forge/Scrapwork buy"),IFERROR(VLOOKUP(C175,Upgrades!$N$4:$T$47,2,FALSE),0)="gold"),IFERROR(FLOOR(IFERROR(VLOOKUP(C175,Upgrades!$N$4:$T$47,3,FALSE),0)*(IFERROR(VLOOKUP(C175,Upgrades!$N$4:$T$47,4,FALSE),0)^(COUNTIFS($B$3:$B174,"Buy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buy",$C$3:$C174,C175))),1),0),0)-IF(AND((E175="OK"),B175="Hire hunter"),IF(C175="Briar",140,IF(C175="Quill",3650,IF(C175="Moss",4850,IF(C175="Ember",12200,0)))),0))</f>
        <v/>
      </c>
      <c r="I175" s="7">
        <f>IF(AND((E175="OK"),B175="Fight boss",(IF((((105/'Rules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Formulas'!B12)),0,MIN(IF(G174&lt;=1,120,IF(G174=2,280,600)),I174+IF(AND((E175="OK"),B175="Hunt"),((IF(B175="Hunt",(('Rules &amp; Formulas'!B4*N174*('Rules &amp; Formulas'!B5+O174)*IFERROR(VLOOKUP(C175,Monsters!$T$4:$AH$15,10,FALSE),0)*IFERROR(VLOOKUP(C175,Monsters!$T$4:$AH$15,9,FALSE),0))*'Rules &amp; Formulas'!B6)*IF(D175="",0,D175),0))*(IFERROR(VLOOKUP(C175,Monsters!$T$4:$AH$15,4,FALSE),0))+(IF(OR(B175&lt;&gt;"Hunt",IFERROR(VLOOKUP(C175,Monsters!$T$4:$AH$15,6,FALSE),0)=0),0,FLOOR((IF(B175="Hunt",(('Rules &amp; Formulas'!B4*N174*('Rules &amp; Formulas'!B5+O174)*IFERROR(VLOOKUP(C175,Monsters!$T$4:$AH$15,10,FALSE),0)*IFERROR(VLOOKUP(C175,Monsters!$T$4:$AH$15,9,FALSE),0))*'Rules &amp; Formulas'!B6)*IF(D175="",0,D175),0))/MAX(1,IFERROR(VLOOKUP(C175,Monsters!$T$4:$AH$15,6,FALSE),0)),1)))*(IFERROR(VLOOKUP(C175,Monsters!$T$4:$AH$15,7,FALSE),0))),0)+IF(AND((E175="OK"),B175="Go AFK"),((IF(B175="Go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AFK",IF(D175="",0,D175),0),Z174/60)*60)),0))*(IFERROR(VLOOKUP(C175,Monsters!$T$4:$AH$15,4,FALSE),0))+(IF(OR(B175&lt;&gt;"Go AFK",IFERROR(VLOOKUP(C175,Monsters!$T$4:$AH$15,6,FALSE),0)=0),0,FLOOR((IF(B175="Go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AFK",IF(D175="",0,D175),0),Z174/60)*60)),0))/MAX(1,IFERROR(VLOOKUP(C175,Monsters!$T$4:$AH$15,6,FALSE),0)),1)))*(IFERROR(VLOOKUP(C175,Monsters!$T$4:$AH$15,7,FALSE),0))),0)))</f>
        <v/>
      </c>
      <c r="J175" s="7">
        <f>MAX(0,J174+IF(AND((E175="OK"),B175="Hunt"),(IF(B175="Hunt",(('Rules &amp; Formulas'!B4*N174*('Rules &amp; Formulas'!B5+O174)*IFERROR(VLOOKUP(C175,Monsters!$T$4:$AH$15,10,FALSE),0)*IFERROR(VLOOKUP(C175,Monsters!$T$4:$AH$15,9,FALSE),0))*'Rules &amp; Formulas'!B6)*IF(D175="",0,D175),0))*(IFERROR(VLOOKUP(C175,Monsters!$T$4:$AH$15,5,FALSE),0)),0)+IF(AND((E175="OK"),B175="Go AFK"),(IF(B175="Go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AFK",IF(D175="",0,D175),0),Z174/60)*60)),0))*(IFERROR(VLOOKUP(C175,Monsters!$T$4:$AH$15,5,FALSE),0)),0)-IF(AND((E175="OK"),OR(B175="Buy upgrade",B175="Forge/Scrapwork buy"),IFERROR(VLOOKUP(C175,Upgrades!$N$4:$T$47,2,FALSE),0)="scraps"),IFERROR(FLOOR(IFERROR(VLOOKUP(C175,Upgrades!$N$4:$T$47,3,FALSE),0)*(IFERROR(VLOOKUP(C175,Upgrades!$N$4:$T$47,4,FALSE),0)^(COUNTIFS($B$3:$B174,"Buy upgrade",$C$3:$C174,C175)+COUNTIFS($B$3:$B174,"Hire hunter",$C$3:$C174,C175)+COUNTIFS($B$3:$B174,"Forge/Scrapwork buy",$C$3:$C174,C175))),1),0),0))</f>
        <v/>
      </c>
      <c r="K175" s="7">
        <f>MAX(0,K174+IF(AND((E175="OK"),B175="Hunt"),IF(C175="Thornpelt Bear",(IF(B175="Hunt",(('Rules &amp; Formulas'!B4*N174*('Rules &amp; Formulas'!B5+O174)*IFERROR(VLOOKUP(C175,Monsters!$T$4:$AH$15,10,FALSE),0)*IFERROR(VLOOKUP(C175,Monsters!$T$4:$AH$15,9,FALSE),0))*'Rules &amp; Formulas'!B6)*IF(D175="",0,D175),0))*0.12,0),0)+IF(AND((E175="OK"),B175="Go AFK"),IF(C175="Thornpelt Bear",(IF(B175="Go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AFK",IF(D175="",0,D175),0),Z174/60)*60)),0))*0.12,0),0))</f>
        <v/>
      </c>
      <c r="L175" s="7">
        <f>MAX(0,L174+IF(AND((E175="OK"),B175="Hunt"),IF(C175="Dire Thornpelt",(IF(B175="Hunt",(('Rules &amp; Formulas'!B4*N174*('Rules &amp; Formulas'!B5+O174)*IFERROR(VLOOKUP(C175,Monsters!$T$4:$AH$15,10,FALSE),0)*IFERROR(VLOOKUP(C175,Monsters!$T$4:$AH$15,9,FALSE),0))*'Rules &amp; Formulas'!B6)*IF(D175="",0,D175),0))*0.1,0),0)+IF(AND((E175="OK"),B175="Go AFK"),IF(C175="Dire Thornpelt",(IF(B175="Go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AFK",IF(D175="",0,D175),0),Z174/60)*60)),0))*0.1,0),0))</f>
        <v/>
      </c>
      <c r="M175" s="7">
        <f>IF(AND((E175="OK"),B175="Go AFK"),MAX(0,MIN(('Rules &amp; Formulas'!B15+25*AJ174),M174+('Rules &amp; Formulas'!B14+0.4*AJ174)*(MIN(IF(B175="Go AFK",IF(D175="",0,D175),0),Z174/60)*60))-(IF(B175="Go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AFK",IF(D175="",0,D175),0),Z174/60)*60)),0))*(IF((IFERROR(VLOOKUP(C175,Monsters!$T$4:$AH$15,8,FALSE),0))=0,0.35,IFERROR(VLOOKUP(C175,Monsters!$T$4:$AH$15,8,FALSE),0))/(1+0.08*AK174))),MIN(('Rules &amp; Formulas'!B15+25*AJ175),M174))</f>
        <v/>
      </c>
      <c r="N175" s="7">
        <f>(1+0.08+0.12*AA175+0.12*AB175+0.16*AC175)</f>
        <v/>
      </c>
      <c r="O175" s="7">
        <f>((AD175&gt;=1)*1*(1+0.3*AE175))</f>
        <v/>
      </c>
      <c r="P175" s="7">
        <f>IF(OR(B175="Hunt",B175="Go AFK"),(('Rules &amp; Formulas'!B4*N174*('Rules &amp; Formulas'!B5+O174)*IFERROR(VLOOKUP(C175,Monsters!$T$4:$AH$15,10,FALSE),0)*IFERROR(VLOOKUP(C175,Monsters!$T$4:$AH$15,9,FALSE),0))*'Rules &amp; Formulas'!B6),"")</f>
        <v/>
      </c>
      <c r="Q175" s="7">
        <f>IF(OR(B175="Hunt",B175="Go AFK"),('Rules &amp; Formulas'!B4*N174*('Rules &amp; Formulas'!B5+O174)*IFERROR(VLOOKUP(C175,Monsters!$T$4:$AH$15,10,FALSE),0)*IFERROR(VLOOKUP(C175,Monsters!$T$4:$AH$15,9,FALSE),0)),"")</f>
        <v/>
      </c>
      <c r="R175" s="7">
        <f>IF(AND((E175="OK"),B175="Hunt"),IF(B175="Hunt",(('Rules &amp; Formulas'!B4*N174*('Rules &amp; Formulas'!B5+O174)*IFERROR(VLOOKUP(C175,Monsters!$T$4:$AH$15,10,FALSE),0)*IFERROR(VLOOKUP(C175,Monsters!$T$4:$AH$15,9,FALSE),0))*'Rules &amp; Formulas'!B6)*IF(D175="",0,D175),0),IF(AND((E175="OK"),B175="Go AFK"),IF(B175="Go AFK",MIN(IF((IF((IFERROR(VLOOKUP(C175,Monsters!$T$4:$AH$15,8,FALSE),0))=0,0.35,IFERROR(VLOOKUP(C175,Monsters!$T$4:$AH$15,8,FALSE),0))/(1+0.08*AK174))&lt;=0,999999,FLOOR(MIN(('Rules &amp; Formulas'!B15+25*AJ174),M174+('Rules &amp; Formulas'!B14+0.4*AJ174)*(MIN(IF(B175="Go AFK",IF(D175="",0,D175),0),Z174/60)*60))/(IF((IFERROR(VLOOKUP(C175,Monsters!$T$4:$AH$15,8,FALSE),0))=0,0.35,IFERROR(VLOOKUP(C175,Monsters!$T$4:$AH$15,8,FALSE),0))/(1+0.08*AK174)),1)),('Rules &amp; Formulas'!B4*N174*('Rules &amp; Formulas'!B5+O174)*IFERROR(VLOOKUP(C175,Monsters!$T$4:$AH$15,10,FALSE),0)*IFERROR(VLOOKUP(C175,Monsters!$T$4:$AH$15,9,FALSE),0))*(MIN(IF(B175="Go AFK",IF(D175="",0,D175),0),Z174/60)*60)),0),0))</f>
        <v/>
      </c>
      <c r="S175" s="7">
        <f>(105/'Rules &amp; Formulas'!B10)*'Rules &amp; Formulas'!B11</f>
        <v/>
      </c>
      <c r="T175" s="7">
        <f>IF(AD174&gt;=1,(MAX(1,ROUND('Rules &amp; Formulas'!B18*(1+0.3*AE174)*(1+0.4*AF174),0)))*(1000/'Rules &amp; Formulas'!B19)*MIN(0.95,'Rules &amp; Formulas'!B20*SQRT(1+0.55*(AG174&gt;=1))),0)</f>
        <v/>
      </c>
      <c r="U175" s="7">
        <f>S175+T175</f>
        <v/>
      </c>
      <c r="V175" s="7">
        <f>IF(I174&gt;=IF((IFERROR(VLOOKUP(C175,Monsters!$T$4:$AH$15,15,FALSE),0))=0,120,IFERROR(VLOOKUP(C175,Monsters!$T$4:$AH$15,15,FALSE),0)),"YES","no")</f>
        <v/>
      </c>
      <c r="W175" s="7">
        <f>IF(AND(B175="Fight boss",E175="OK"),IF((((105/'Rules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Formulas'!B20*SQRT(1+0.55*(AG174&gt;=1))),0)))),"")</f>
        <v/>
      </c>
      <c r="X175" s="7">
        <f>IF(AND(B175="Fight boss",E175="OK"),IF((IF((((105/'Rules &amp; Formulas'!B10)*'Rules &amp; Formulas'!B11+IF(AD174&gt;=1,(MAX(1,ROUND('Rules &amp; Formulas'!B18*(1+0.3*AE174)*(1+0.4*AF174),0)))*(1000/'Rules &amp; Formulas'!B19)*MIN(0.95,'Rules &amp; Formulas'!B20*SQRT(1+0.55*(AG174&gt;=1))),0)))&lt;=0,9999,(IFERROR(VLOOKUP(C175,Monsters!$T$4:$AH$15,2,FALSE),0))/(((105/'Rules &amp; Formulas'!B10)*'Rules &amp; Formulas'!B11+IF(AD174&gt;=1,(MAX(1,ROUND('Rules &amp; Formulas'!B18*(1+0.3*AE174)*(1+0.4*AF174),0)))*(1000/'Rules &amp; Formulas'!B19)*MIN(0.95,'Rules &amp; Formulas'!B20*SQRT(1+0.55*(AG174&gt;=1))),0))))&lt;='Rules &amp; Formulas'!B12),"WIN","LOSE"),"")</f>
        <v/>
      </c>
      <c r="Y175" s="7">
        <f>IF(B175="Go AFK",MIN(IF(B175="Go AFK",IF(D175="",0,D175),0),Z174/60),"")</f>
        <v/>
      </c>
      <c r="Z175" s="7">
        <f>('Rules &amp; Formulas'!B13+30*AI175)</f>
        <v/>
      </c>
      <c r="AA175">
        <f>COUNTIFS($B$3:$B175,"Buy upgrade",$C$3:$C175,"Idle Power")</f>
        <v/>
      </c>
      <c r="AB175">
        <f>COUNTIFS($B$3:$B175,"Buy upgrade",$C$3:$C175,"Iron Blade")</f>
        <v/>
      </c>
      <c r="AC175">
        <f>COUNTIFS($B$3:$B175,"Buy upgrade",$C$3:$C175,"Steel Blade")</f>
        <v/>
      </c>
      <c r="AD175">
        <f>COUNTIFS($B$3:$B175,"Hire hunter",$C$3:$C175,"Briar")+COUNTIFS($B$3:$B175,"Buy upgrade",$C$3:$C175,"Hire Briar")</f>
        <v/>
      </c>
      <c r="AE175">
        <f>COUNTIFS($B$3:$B175,"Buy upgrade",$C$3:$C175,"Hunter Power")</f>
        <v/>
      </c>
      <c r="AF175">
        <f>COUNTIFS($B$3:$B175,"Buy upgrade",$C$3:$C175,"Bigger Hits")</f>
        <v/>
      </c>
      <c r="AG175">
        <f>COUNTIFS($B$3:$B175,"Buy upgrade",$C$3:$C175,"Swift Walk")</f>
        <v/>
      </c>
      <c r="AH175">
        <f>COUNTIFS($B$3:$B175,"Buy upgrade",$C$3:$C175,"Loot Luck")</f>
        <v/>
      </c>
      <c r="AI175">
        <f>COUNTIFS($B$3:$B175,"Buy upgrade",$C$3:$C175,"Offline Cap")</f>
        <v/>
      </c>
      <c r="AJ175">
        <f>COUNTIFS($B$3:$B175,"Buy upgrade",$C$3:$C175,"Bigger Food Stock")</f>
        <v/>
      </c>
      <c r="AK175">
        <f>COUNTIFS($B$3:$B175,"Buy upgrade",$C$3:$C175,"Food Efficiency")</f>
        <v/>
      </c>
    </row>
    <row r="176">
      <c r="A176" t="n">
        <v>174</v>
      </c>
      <c r="B176" s="6" t="n"/>
      <c r="C176" s="6" t="n"/>
      <c r="D176" s="6" t="n"/>
      <c r="E176" s="7">
        <f>IF(B176="","",IF(OR(B176="Hunt",B176="Go AFK"),IF(C176="","Can't","OK"),IF(B176="Fight boss",IF(I175&lt;IF((IFERROR(VLOOKUP(C176,Monsters!$T$4:$AH$15,15,FALSE),0))=0,120,IFERROR(VLOOKUP(C176,Monsters!$T$4:$AH$15,15,FALSE),0)),"Can't","OK"),IF(B176="Hire hunter",IF(AND(C176="Briar",AD175&gt;=1),"Can't",IF(H175&lt;IF(C176="Briar",140,IF(C176="Quill",3650,IF(C176="Moss",4850,IF(C176="Ember",12200,0)))),"Can't","OK")),IF(OR(B176="Buy upgrade",B176="Forge/Scrapwork buy"),IF(IFERROR(VLOOKUP(C176,Upgrades!$N$4:$T$47,2,FALSE),0)="points","Can't",IF(IFERROR(VLOOKUP(C176,Upgrades!$N$4:$T$47,2,FALSE),0)="gold",IF(H175&lt;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buy",$C$3:$C175,C176))),1),0),"Can't","OK"),IF(IFERROR(VLOOKUP(C176,Upgrades!$N$4:$T$47,2,FALSE),0)="scraps",IF(J175&lt;IFERROR(FLOOR(IFERROR(VLOOKUP(C176,Upgrades!$N$4:$T$47,3,FALSE),0)*(IFERROR(VLOOKUP(C176,Upgrades!$N$4:$T$47,4,FALSE),0)^(COUNTIFS($B$3:$B175,"Buy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buy",$C$3:$C175,C176))),1),0),"Can't","OK"),IF(IFERROR(VLOOKUP(C176,Upgrades!$N$4:$T$47,2,FALSE),0)="mats","Can't","OK")))),"Check")))))</f>
        <v/>
      </c>
      <c r="F176" s="7">
        <f>IF(B176="","",IF(AND(B176="Fight boss",I175&lt;IF((IFERROR(VLOOKUP(C176,Monsters!$T$4:$AH$15,15,FALSE),0))=0,120,IFERROR(VLOOKUP(C176,Monsters!$T$4:$AH$15,15,FALSE),0))),"Can't — need "&amp;TEXT(IF((IFERROR(VLOOKUP(C176,Monsters!$T$4:$AH$15,15,FALSE),0))=0,120,IFERROR(VLOOKUP(C176,Monsters!$T$4:$AH$15,15,FALSE),0))-I175,"0.0")&amp;" more Slayer points on the meter",IF(AND(B176="Hire hunter",C176="Briar",AD175&gt;=1),"Can't — already hired",IF(AND(B176="Hire hunter",H175&lt;IF(C176="Briar",140,IF(C176="Quill",3650,IF(C176="Moss",4850,IF(C176="Ember",12200,0))))),"Can't — need "&amp;TEXT(IF(C176="Briar",140,IF(C176="Quill",3650,IF(C176="Moss",4850,IF(C176="Ember",12200,0))))-H175,"0")&amp;" more gold",IF(AND(OR(B176="Buy upgrade",B176="Forge/Scrapwork buy"),IFERROR(VLOOKUP(C176,Upgrades!$N$4:$T$47,2,FALSE),0)="points"),"Can't — Sp-wallet spends not tracked here",IF(AND(OR(B176="Buy upgrade",B176="Forge/Scrapwork buy"),IFERROR(VLOOKUP(C176,Upgrades!$N$4:$T$47,2,FALSE),0)="gold",H175&lt;IFERROR(FLOOR(IFERROR(VLOOKUP(C176,Upgrades!$N$4:$T$47,3,FALSE),0)*(IFERROR(VLOOKUP(C176,Upgrades!$N$4:$T$47,4,FALSE),0)^(COUNTIFS($B$3:$B175,"Buy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buy",$C$3:$C175,C176))),1),0)),"Can't — need "&amp;TEXT(IFERROR(FLOOR(IFERROR(VLOOKUP(C176,Upgrades!$N$4:$T$47,3,FALSE),0)*(IFERROR(VLOOKUP(C176,Upgrades!$N$4:$T$47,4,FALSE),0)^(COUNTIFS($B$3:$B175,"Buy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buy",$C$3:$C175,C176))),1),0)-H175,"0")&amp;" more gold",IF(AND(OR(B176="Buy upgrade",B176="Forge/Scrapwork buy"),IFERROR(VLOOKUP(C176,Upgrades!$N$4:$T$47,2,FALSE),0)="scraps",J175&lt;IFERROR(FLOOR(IFERROR(VLOOKUP(C176,Upgrades!$N$4:$T$47,3,FALSE),0)*(IFERROR(VLOOKUP(C176,Upgrades!$N$4:$T$47,4,FALSE),0)^(COUNTIFS($B$3:$B175,"Buy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buy",$C$3:$C175,C176))),1),0)),"Can't — need "&amp;TEXT(IFERROR(FLOOR(IFERROR(VLOOKUP(C176,Upgrades!$N$4:$T$47,3,FALSE),0)*(IFERROR(VLOOKUP(C176,Upgrades!$N$4:$T$47,4,FALSE),0)^(COUNTIFS($B$3:$B175,"Buy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buy",$C$3:$C175,C176))),1),0)-J175,"0")&amp;" more scraps",IF(AND(B176="Fight boss",E176="OK",(IF((((105/'Rules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Formulas'!B12)),"WIN — boss down, next Level unlocks",IF(AND(B176="Fight boss",E176="OK"),"LOSE — TTK "&amp;TEXT(IF((((105/'Rules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Formulas'!B20*SQRT(1+0.55*(AG175&gt;=1))),0)))),"0")&amp;"s &gt; patience "&amp;TEXT('Rules &amp; Formulas'!B12,"0")&amp;"s (leave resets HP)",IF(B176="Go AFK","AFK resolved (see AFK counted h)","Applied")))))))))</f>
        <v/>
      </c>
      <c r="G176" s="7">
        <f>IF(AND((E176="OK"),B176="Fight boss",(IF((((105/'Rules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Formulas'!B12),C176="Elder Thornpelt"),2,IF(AND((E176="OK"),B176="Fight boss",(IF((((105/'Rules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Formulas'!B12),C176="Ashfang Alpha"),3,G175))</f>
        <v/>
      </c>
      <c r="H176" s="7">
        <f>MAX(0,H175+IF(AND((E176="OK"),B176="Hunt"),(IF(B176="Hunt",(('Rules &amp; Formulas'!B4*N175*('Rules &amp; Formulas'!B5+O175)*IFERROR(VLOOKUP(C176,Monsters!$T$4:$AH$15,10,FALSE),0)*IFERROR(VLOOKUP(C176,Monsters!$T$4:$AH$15,9,FALSE),0))*'Rules &amp; Formulas'!B6)*IF(D176="",0,D176),0))*(IFERROR(VLOOKUP(C176,Monsters!$T$4:$AH$15,3,FALSE),0))*(1+0.1*AH175)+(IF(OR(B176&lt;&gt;"Hunt",IFERROR(VLOOKUP(C176,Monsters!$T$4:$AH$15,6,FALSE),0)=0),0,FLOOR((IF(B176="Hunt",(('Rules &amp; Formulas'!B4*N175*('Rules &amp; Formulas'!B5+O175)*IFERROR(VLOOKUP(C176,Monsters!$T$4:$AH$15,10,FALSE),0)*IFERROR(VLOOKUP(C176,Monsters!$T$4:$AH$15,9,FALSE),0))*'Rules &amp; Formulas'!B6)*IF(D176="",0,D176),0))/MAX(1,IFERROR(VLOOKUP(C176,Monsters!$T$4:$AH$15,6,FALSE),0)),1)))*(IFERROR(VLOOKUP(C176,Monsters!$T$4:$AH$15,7,FALSE),0))*0.5*(1+0.1*AH175),0)+IF(AND((E176="OK"),B176="Go AFK"),(IF(B176="Go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AFK",IF(D176="",0,D176),0),Z175/60)*60)),0))*(IFERROR(VLOOKUP(C176,Monsters!$T$4:$AH$15,3,FALSE),0))*(1+0.1*AH175)+(IF(OR(B176&lt;&gt;"Go AFK",IFERROR(VLOOKUP(C176,Monsters!$T$4:$AH$15,6,FALSE),0)=0),0,FLOOR((IF(B176="Go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AFK",IF(D176="",0,D176),0),Z175/60)*60)),0))/MAX(1,IFERROR(VLOOKUP(C176,Monsters!$T$4:$AH$15,6,FALSE),0)),1)))*(IFERROR(VLOOKUP(C176,Monsters!$T$4:$AH$15,7,FALSE),0))*0.5*(1+0.1*AH175),0)+IF(AND((E176="OK"),B176="Fight boss",(IF((((105/'Rules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Formulas'!B12)),IFERROR(VLOOKUP(C176,Monsters!$T$4:$AH$15,3,FALSE),0),0)-IF(AND((E176="OK"),OR(B176="Buy upgrade",B176="Forge/Scrapwork buy"),IFERROR(VLOOKUP(C176,Upgrades!$N$4:$T$47,2,FALSE),0)="gold"),IFERROR(FLOOR(IFERROR(VLOOKUP(C176,Upgrades!$N$4:$T$47,3,FALSE),0)*(IFERROR(VLOOKUP(C176,Upgrades!$N$4:$T$47,4,FALSE),0)^(COUNTIFS($B$3:$B175,"Buy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buy",$C$3:$C175,C176))),1),0),0)-IF(AND((E176="OK"),B176="Hire hunter"),IF(C176="Briar",140,IF(C176="Quill",3650,IF(C176="Moss",4850,IF(C176="Ember",12200,0)))),0))</f>
        <v/>
      </c>
      <c r="I176" s="7">
        <f>IF(AND((E176="OK"),B176="Fight boss",(IF((((105/'Rules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Formulas'!B12)),0,MIN(IF(G175&lt;=1,120,IF(G175=2,280,600)),I175+IF(AND((E176="OK"),B176="Hunt"),((IF(B176="Hunt",(('Rules &amp; Formulas'!B4*N175*('Rules &amp; Formulas'!B5+O175)*IFERROR(VLOOKUP(C176,Monsters!$T$4:$AH$15,10,FALSE),0)*IFERROR(VLOOKUP(C176,Monsters!$T$4:$AH$15,9,FALSE),0))*'Rules &amp; Formulas'!B6)*IF(D176="",0,D176),0))*(IFERROR(VLOOKUP(C176,Monsters!$T$4:$AH$15,4,FALSE),0))+(IF(OR(B176&lt;&gt;"Hunt",IFERROR(VLOOKUP(C176,Monsters!$T$4:$AH$15,6,FALSE),0)=0),0,FLOOR((IF(B176="Hunt",(('Rules &amp; Formulas'!B4*N175*('Rules &amp; Formulas'!B5+O175)*IFERROR(VLOOKUP(C176,Monsters!$T$4:$AH$15,10,FALSE),0)*IFERROR(VLOOKUP(C176,Monsters!$T$4:$AH$15,9,FALSE),0))*'Rules &amp; Formulas'!B6)*IF(D176="",0,D176),0))/MAX(1,IFERROR(VLOOKUP(C176,Monsters!$T$4:$AH$15,6,FALSE),0)),1)))*(IFERROR(VLOOKUP(C176,Monsters!$T$4:$AH$15,7,FALSE),0))),0)+IF(AND((E176="OK"),B176="Go AFK"),((IF(B176="Go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AFK",IF(D176="",0,D176),0),Z175/60)*60)),0))*(IFERROR(VLOOKUP(C176,Monsters!$T$4:$AH$15,4,FALSE),0))+(IF(OR(B176&lt;&gt;"Go AFK",IFERROR(VLOOKUP(C176,Monsters!$T$4:$AH$15,6,FALSE),0)=0),0,FLOOR((IF(B176="Go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AFK",IF(D176="",0,D176),0),Z175/60)*60)),0))/MAX(1,IFERROR(VLOOKUP(C176,Monsters!$T$4:$AH$15,6,FALSE),0)),1)))*(IFERROR(VLOOKUP(C176,Monsters!$T$4:$AH$15,7,FALSE),0))),0)))</f>
        <v/>
      </c>
      <c r="J176" s="7">
        <f>MAX(0,J175+IF(AND((E176="OK"),B176="Hunt"),(IF(B176="Hunt",(('Rules &amp; Formulas'!B4*N175*('Rules &amp; Formulas'!B5+O175)*IFERROR(VLOOKUP(C176,Monsters!$T$4:$AH$15,10,FALSE),0)*IFERROR(VLOOKUP(C176,Monsters!$T$4:$AH$15,9,FALSE),0))*'Rules &amp; Formulas'!B6)*IF(D176="",0,D176),0))*(IFERROR(VLOOKUP(C176,Monsters!$T$4:$AH$15,5,FALSE),0)),0)+IF(AND((E176="OK"),B176="Go AFK"),(IF(B176="Go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AFK",IF(D176="",0,D176),0),Z175/60)*60)),0))*(IFERROR(VLOOKUP(C176,Monsters!$T$4:$AH$15,5,FALSE),0)),0)-IF(AND((E176="OK"),OR(B176="Buy upgrade",B176="Forge/Scrapwork buy"),IFERROR(VLOOKUP(C176,Upgrades!$N$4:$T$47,2,FALSE),0)="scraps"),IFERROR(FLOOR(IFERROR(VLOOKUP(C176,Upgrades!$N$4:$T$47,3,FALSE),0)*(IFERROR(VLOOKUP(C176,Upgrades!$N$4:$T$47,4,FALSE),0)^(COUNTIFS($B$3:$B175,"Buy upgrade",$C$3:$C175,C176)+COUNTIFS($B$3:$B175,"Hire hunter",$C$3:$C175,C176)+COUNTIFS($B$3:$B175,"Forge/Scrapwork buy",$C$3:$C175,C176))),1),0),0))</f>
        <v/>
      </c>
      <c r="K176" s="7">
        <f>MAX(0,K175+IF(AND((E176="OK"),B176="Hunt"),IF(C176="Thornpelt Bear",(IF(B176="Hunt",(('Rules &amp; Formulas'!B4*N175*('Rules &amp; Formulas'!B5+O175)*IFERROR(VLOOKUP(C176,Monsters!$T$4:$AH$15,10,FALSE),0)*IFERROR(VLOOKUP(C176,Monsters!$T$4:$AH$15,9,FALSE),0))*'Rules &amp; Formulas'!B6)*IF(D176="",0,D176),0))*0.12,0),0)+IF(AND((E176="OK"),B176="Go AFK"),IF(C176="Thornpelt Bear",(IF(B176="Go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AFK",IF(D176="",0,D176),0),Z175/60)*60)),0))*0.12,0),0))</f>
        <v/>
      </c>
      <c r="L176" s="7">
        <f>MAX(0,L175+IF(AND((E176="OK"),B176="Hunt"),IF(C176="Dire Thornpelt",(IF(B176="Hunt",(('Rules &amp; Formulas'!B4*N175*('Rules &amp; Formulas'!B5+O175)*IFERROR(VLOOKUP(C176,Monsters!$T$4:$AH$15,10,FALSE),0)*IFERROR(VLOOKUP(C176,Monsters!$T$4:$AH$15,9,FALSE),0))*'Rules &amp; Formulas'!B6)*IF(D176="",0,D176),0))*0.1,0),0)+IF(AND((E176="OK"),B176="Go AFK"),IF(C176="Dire Thornpelt",(IF(B176="Go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AFK",IF(D176="",0,D176),0),Z175/60)*60)),0))*0.1,0),0))</f>
        <v/>
      </c>
      <c r="M176" s="7">
        <f>IF(AND((E176="OK"),B176="Go AFK"),MAX(0,MIN(('Rules &amp; Formulas'!B15+25*AJ175),M175+('Rules &amp; Formulas'!B14+0.4*AJ175)*(MIN(IF(B176="Go AFK",IF(D176="",0,D176),0),Z175/60)*60))-(IF(B176="Go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AFK",IF(D176="",0,D176),0),Z175/60)*60)),0))*(IF((IFERROR(VLOOKUP(C176,Monsters!$T$4:$AH$15,8,FALSE),0))=0,0.35,IFERROR(VLOOKUP(C176,Monsters!$T$4:$AH$15,8,FALSE),0))/(1+0.08*AK175))),MIN(('Rules &amp; Formulas'!B15+25*AJ176),M175))</f>
        <v/>
      </c>
      <c r="N176" s="7">
        <f>(1+0.08+0.12*AA176+0.12*AB176+0.16*AC176)</f>
        <v/>
      </c>
      <c r="O176" s="7">
        <f>((AD176&gt;=1)*1*(1+0.3*AE176))</f>
        <v/>
      </c>
      <c r="P176" s="7">
        <f>IF(OR(B176="Hunt",B176="Go AFK"),(('Rules &amp; Formulas'!B4*N175*('Rules &amp; Formulas'!B5+O175)*IFERROR(VLOOKUP(C176,Monsters!$T$4:$AH$15,10,FALSE),0)*IFERROR(VLOOKUP(C176,Monsters!$T$4:$AH$15,9,FALSE),0))*'Rules &amp; Formulas'!B6),"")</f>
        <v/>
      </c>
      <c r="Q176" s="7">
        <f>IF(OR(B176="Hunt",B176="Go AFK"),('Rules &amp; Formulas'!B4*N175*('Rules &amp; Formulas'!B5+O175)*IFERROR(VLOOKUP(C176,Monsters!$T$4:$AH$15,10,FALSE),0)*IFERROR(VLOOKUP(C176,Monsters!$T$4:$AH$15,9,FALSE),0)),"")</f>
        <v/>
      </c>
      <c r="R176" s="7">
        <f>IF(AND((E176="OK"),B176="Hunt"),IF(B176="Hunt",(('Rules &amp; Formulas'!B4*N175*('Rules &amp; Formulas'!B5+O175)*IFERROR(VLOOKUP(C176,Monsters!$T$4:$AH$15,10,FALSE),0)*IFERROR(VLOOKUP(C176,Monsters!$T$4:$AH$15,9,FALSE),0))*'Rules &amp; Formulas'!B6)*IF(D176="",0,D176),0),IF(AND((E176="OK"),B176="Go AFK"),IF(B176="Go AFK",MIN(IF((IF((IFERROR(VLOOKUP(C176,Monsters!$T$4:$AH$15,8,FALSE),0))=0,0.35,IFERROR(VLOOKUP(C176,Monsters!$T$4:$AH$15,8,FALSE),0))/(1+0.08*AK175))&lt;=0,999999,FLOOR(MIN(('Rules &amp; Formulas'!B15+25*AJ175),M175+('Rules &amp; Formulas'!B14+0.4*AJ175)*(MIN(IF(B176="Go AFK",IF(D176="",0,D176),0),Z175/60)*60))/(IF((IFERROR(VLOOKUP(C176,Monsters!$T$4:$AH$15,8,FALSE),0))=0,0.35,IFERROR(VLOOKUP(C176,Monsters!$T$4:$AH$15,8,FALSE),0))/(1+0.08*AK175)),1)),('Rules &amp; Formulas'!B4*N175*('Rules &amp; Formulas'!B5+O175)*IFERROR(VLOOKUP(C176,Monsters!$T$4:$AH$15,10,FALSE),0)*IFERROR(VLOOKUP(C176,Monsters!$T$4:$AH$15,9,FALSE),0))*(MIN(IF(B176="Go AFK",IF(D176="",0,D176),0),Z175/60)*60)),0),0))</f>
        <v/>
      </c>
      <c r="S176" s="7">
        <f>(105/'Rules &amp; Formulas'!B10)*'Rules &amp; Formulas'!B11</f>
        <v/>
      </c>
      <c r="T176" s="7">
        <f>IF(AD175&gt;=1,(MAX(1,ROUND('Rules &amp; Formulas'!B18*(1+0.3*AE175)*(1+0.4*AF175),0)))*(1000/'Rules &amp; Formulas'!B19)*MIN(0.95,'Rules &amp; Formulas'!B20*SQRT(1+0.55*(AG175&gt;=1))),0)</f>
        <v/>
      </c>
      <c r="U176" s="7">
        <f>S176+T176</f>
        <v/>
      </c>
      <c r="V176" s="7">
        <f>IF(I175&gt;=IF((IFERROR(VLOOKUP(C176,Monsters!$T$4:$AH$15,15,FALSE),0))=0,120,IFERROR(VLOOKUP(C176,Monsters!$T$4:$AH$15,15,FALSE),0)),"YES","no")</f>
        <v/>
      </c>
      <c r="W176" s="7">
        <f>IF(AND(B176="Fight boss",E176="OK"),IF((((105/'Rules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Formulas'!B20*SQRT(1+0.55*(AG175&gt;=1))),0)))),"")</f>
        <v/>
      </c>
      <c r="X176" s="7">
        <f>IF(AND(B176="Fight boss",E176="OK"),IF((IF((((105/'Rules &amp; Formulas'!B10)*'Rules &amp; Formulas'!B11+IF(AD175&gt;=1,(MAX(1,ROUND('Rules &amp; Formulas'!B18*(1+0.3*AE175)*(1+0.4*AF175),0)))*(1000/'Rules &amp; Formulas'!B19)*MIN(0.95,'Rules &amp; Formulas'!B20*SQRT(1+0.55*(AG175&gt;=1))),0)))&lt;=0,9999,(IFERROR(VLOOKUP(C176,Monsters!$T$4:$AH$15,2,FALSE),0))/(((105/'Rules &amp; Formulas'!B10)*'Rules &amp; Formulas'!B11+IF(AD175&gt;=1,(MAX(1,ROUND('Rules &amp; Formulas'!B18*(1+0.3*AE175)*(1+0.4*AF175),0)))*(1000/'Rules &amp; Formulas'!B19)*MIN(0.95,'Rules &amp; Formulas'!B20*SQRT(1+0.55*(AG175&gt;=1))),0))))&lt;='Rules &amp; Formulas'!B12),"WIN","LOSE"),"")</f>
        <v/>
      </c>
      <c r="Y176" s="7">
        <f>IF(B176="Go AFK",MIN(IF(B176="Go AFK",IF(D176="",0,D176),0),Z175/60),"")</f>
        <v/>
      </c>
      <c r="Z176" s="7">
        <f>('Rules &amp; Formulas'!B13+30*AI176)</f>
        <v/>
      </c>
      <c r="AA176">
        <f>COUNTIFS($B$3:$B176,"Buy upgrade",$C$3:$C176,"Idle Power")</f>
        <v/>
      </c>
      <c r="AB176">
        <f>COUNTIFS($B$3:$B176,"Buy upgrade",$C$3:$C176,"Iron Blade")</f>
        <v/>
      </c>
      <c r="AC176">
        <f>COUNTIFS($B$3:$B176,"Buy upgrade",$C$3:$C176,"Steel Blade")</f>
        <v/>
      </c>
      <c r="AD176">
        <f>COUNTIFS($B$3:$B176,"Hire hunter",$C$3:$C176,"Briar")+COUNTIFS($B$3:$B176,"Buy upgrade",$C$3:$C176,"Hire Briar")</f>
        <v/>
      </c>
      <c r="AE176">
        <f>COUNTIFS($B$3:$B176,"Buy upgrade",$C$3:$C176,"Hunter Power")</f>
        <v/>
      </c>
      <c r="AF176">
        <f>COUNTIFS($B$3:$B176,"Buy upgrade",$C$3:$C176,"Bigger Hits")</f>
        <v/>
      </c>
      <c r="AG176">
        <f>COUNTIFS($B$3:$B176,"Buy upgrade",$C$3:$C176,"Swift Walk")</f>
        <v/>
      </c>
      <c r="AH176">
        <f>COUNTIFS($B$3:$B176,"Buy upgrade",$C$3:$C176,"Loot Luck")</f>
        <v/>
      </c>
      <c r="AI176">
        <f>COUNTIFS($B$3:$B176,"Buy upgrade",$C$3:$C176,"Offline Cap")</f>
        <v/>
      </c>
      <c r="AJ176">
        <f>COUNTIFS($B$3:$B176,"Buy upgrade",$C$3:$C176,"Bigger Food Stock")</f>
        <v/>
      </c>
      <c r="AK176">
        <f>COUNTIFS($B$3:$B176,"Buy upgrade",$C$3:$C176,"Food Efficiency")</f>
        <v/>
      </c>
    </row>
    <row r="177">
      <c r="A177" t="n">
        <v>175</v>
      </c>
      <c r="B177" s="6" t="n"/>
      <c r="C177" s="6" t="n"/>
      <c r="D177" s="6" t="n"/>
      <c r="E177" s="7">
        <f>IF(B177="","",IF(OR(B177="Hunt",B177="Go AFK"),IF(C177="","Can't","OK"),IF(B177="Fight boss",IF(I176&lt;IF((IFERROR(VLOOKUP(C177,Monsters!$T$4:$AH$15,15,FALSE),0))=0,120,IFERROR(VLOOKUP(C177,Monsters!$T$4:$AH$15,15,FALSE),0)),"Can't","OK"),IF(B177="Hire hunter",IF(AND(C177="Briar",AD176&gt;=1),"Can't",IF(H176&lt;IF(C177="Briar",140,IF(C177="Quill",3650,IF(C177="Moss",4850,IF(C177="Ember",12200,0)))),"Can't","OK")),IF(OR(B177="Buy upgrade",B177="Forge/Scrapwork buy"),IF(IFERROR(VLOOKUP(C177,Upgrades!$N$4:$T$47,2,FALSE),0)="points","Can't",IF(IFERROR(VLOOKUP(C177,Upgrades!$N$4:$T$47,2,FALSE),0)="gold",IF(H176&lt;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buy",$C$3:$C176,C177))),1),0),"Can't","OK"),IF(IFERROR(VLOOKUP(C177,Upgrades!$N$4:$T$47,2,FALSE),0)="scraps",IF(J176&lt;IFERROR(FLOOR(IFERROR(VLOOKUP(C177,Upgrades!$N$4:$T$47,3,FALSE),0)*(IFERROR(VLOOKUP(C177,Upgrades!$N$4:$T$47,4,FALSE),0)^(COUNTIFS($B$3:$B176,"Buy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buy",$C$3:$C176,C177))),1),0),"Can't","OK"),IF(IFERROR(VLOOKUP(C177,Upgrades!$N$4:$T$47,2,FALSE),0)="mats","Can't","OK")))),"Check")))))</f>
        <v/>
      </c>
      <c r="F177" s="7">
        <f>IF(B177="","",IF(AND(B177="Fight boss",I176&lt;IF((IFERROR(VLOOKUP(C177,Monsters!$T$4:$AH$15,15,FALSE),0))=0,120,IFERROR(VLOOKUP(C177,Monsters!$T$4:$AH$15,15,FALSE),0))),"Can't — need "&amp;TEXT(IF((IFERROR(VLOOKUP(C177,Monsters!$T$4:$AH$15,15,FALSE),0))=0,120,IFERROR(VLOOKUP(C177,Monsters!$T$4:$AH$15,15,FALSE),0))-I176,"0.0")&amp;" more Slayer points on the meter",IF(AND(B177="Hire hunter",C177="Briar",AD176&gt;=1),"Can't — already hired",IF(AND(B177="Hire hunter",H176&lt;IF(C177="Briar",140,IF(C177="Quill",3650,IF(C177="Moss",4850,IF(C177="Ember",12200,0))))),"Can't — need "&amp;TEXT(IF(C177="Briar",140,IF(C177="Quill",3650,IF(C177="Moss",4850,IF(C177="Ember",12200,0))))-H176,"0")&amp;" more gold",IF(AND(OR(B177="Buy upgrade",B177="Forge/Scrapwork buy"),IFERROR(VLOOKUP(C177,Upgrades!$N$4:$T$47,2,FALSE),0)="points"),"Can't — Sp-wallet spends not tracked here",IF(AND(OR(B177="Buy upgrade",B177="Forge/Scrapwork buy"),IFERROR(VLOOKUP(C177,Upgrades!$N$4:$T$47,2,FALSE),0)="gold",H176&lt;IFERROR(FLOOR(IFERROR(VLOOKUP(C177,Upgrades!$N$4:$T$47,3,FALSE),0)*(IFERROR(VLOOKUP(C177,Upgrades!$N$4:$T$47,4,FALSE),0)^(COUNTIFS($B$3:$B176,"Buy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buy",$C$3:$C176,C177))),1),0)),"Can't — need "&amp;TEXT(IFERROR(FLOOR(IFERROR(VLOOKUP(C177,Upgrades!$N$4:$T$47,3,FALSE),0)*(IFERROR(VLOOKUP(C177,Upgrades!$N$4:$T$47,4,FALSE),0)^(COUNTIFS($B$3:$B176,"Buy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buy",$C$3:$C176,C177))),1),0)-H176,"0")&amp;" more gold",IF(AND(OR(B177="Buy upgrade",B177="Forge/Scrapwork buy"),IFERROR(VLOOKUP(C177,Upgrades!$N$4:$T$47,2,FALSE),0)="scraps",J176&lt;IFERROR(FLOOR(IFERROR(VLOOKUP(C177,Upgrades!$N$4:$T$47,3,FALSE),0)*(IFERROR(VLOOKUP(C177,Upgrades!$N$4:$T$47,4,FALSE),0)^(COUNTIFS($B$3:$B176,"Buy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buy",$C$3:$C176,C177))),1),0)),"Can't — need "&amp;TEXT(IFERROR(FLOOR(IFERROR(VLOOKUP(C177,Upgrades!$N$4:$T$47,3,FALSE),0)*(IFERROR(VLOOKUP(C177,Upgrades!$N$4:$T$47,4,FALSE),0)^(COUNTIFS($B$3:$B176,"Buy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buy",$C$3:$C176,C177))),1),0)-J176,"0")&amp;" more scraps",IF(AND(B177="Fight boss",E177="OK",(IF((((105/'Rules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Formulas'!B12)),"WIN — boss down, next Level unlocks",IF(AND(B177="Fight boss",E177="OK"),"LOSE — TTK "&amp;TEXT(IF((((105/'Rules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Formulas'!B20*SQRT(1+0.55*(AG176&gt;=1))),0)))),"0")&amp;"s &gt; patience "&amp;TEXT('Rules &amp; Formulas'!B12,"0")&amp;"s (leave resets HP)",IF(B177="Go AFK","AFK resolved (see AFK counted h)","Applied")))))))))</f>
        <v/>
      </c>
      <c r="G177" s="7">
        <f>IF(AND((E177="OK"),B177="Fight boss",(IF((((105/'Rules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Formulas'!B12),C177="Elder Thornpelt"),2,IF(AND((E177="OK"),B177="Fight boss",(IF((((105/'Rules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Formulas'!B12),C177="Ashfang Alpha"),3,G176))</f>
        <v/>
      </c>
      <c r="H177" s="7">
        <f>MAX(0,H176+IF(AND((E177="OK"),B177="Hunt"),(IF(B177="Hunt",(('Rules &amp; Formulas'!B4*N176*('Rules &amp; Formulas'!B5+O176)*IFERROR(VLOOKUP(C177,Monsters!$T$4:$AH$15,10,FALSE),0)*IFERROR(VLOOKUP(C177,Monsters!$T$4:$AH$15,9,FALSE),0))*'Rules &amp; Formulas'!B6)*IF(D177="",0,D177),0))*(IFERROR(VLOOKUP(C177,Monsters!$T$4:$AH$15,3,FALSE),0))*(1+0.1*AH176)+(IF(OR(B177&lt;&gt;"Hunt",IFERROR(VLOOKUP(C177,Monsters!$T$4:$AH$15,6,FALSE),0)=0),0,FLOOR((IF(B177="Hunt",(('Rules &amp; Formulas'!B4*N176*('Rules &amp; Formulas'!B5+O176)*IFERROR(VLOOKUP(C177,Monsters!$T$4:$AH$15,10,FALSE),0)*IFERROR(VLOOKUP(C177,Monsters!$T$4:$AH$15,9,FALSE),0))*'Rules &amp; Formulas'!B6)*IF(D177="",0,D177),0))/MAX(1,IFERROR(VLOOKUP(C177,Monsters!$T$4:$AH$15,6,FALSE),0)),1)))*(IFERROR(VLOOKUP(C177,Monsters!$T$4:$AH$15,7,FALSE),0))*0.5*(1+0.1*AH176),0)+IF(AND((E177="OK"),B177="Go AFK"),(IF(B177="Go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AFK",IF(D177="",0,D177),0),Z176/60)*60)),0))*(IFERROR(VLOOKUP(C177,Monsters!$T$4:$AH$15,3,FALSE),0))*(1+0.1*AH176)+(IF(OR(B177&lt;&gt;"Go AFK",IFERROR(VLOOKUP(C177,Monsters!$T$4:$AH$15,6,FALSE),0)=0),0,FLOOR((IF(B177="Go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AFK",IF(D177="",0,D177),0),Z176/60)*60)),0))/MAX(1,IFERROR(VLOOKUP(C177,Monsters!$T$4:$AH$15,6,FALSE),0)),1)))*(IFERROR(VLOOKUP(C177,Monsters!$T$4:$AH$15,7,FALSE),0))*0.5*(1+0.1*AH176),0)+IF(AND((E177="OK"),B177="Fight boss",(IF((((105/'Rules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Formulas'!B12)),IFERROR(VLOOKUP(C177,Monsters!$T$4:$AH$15,3,FALSE),0),0)-IF(AND((E177="OK"),OR(B177="Buy upgrade",B177="Forge/Scrapwork buy"),IFERROR(VLOOKUP(C177,Upgrades!$N$4:$T$47,2,FALSE),0)="gold"),IFERROR(FLOOR(IFERROR(VLOOKUP(C177,Upgrades!$N$4:$T$47,3,FALSE),0)*(IFERROR(VLOOKUP(C177,Upgrades!$N$4:$T$47,4,FALSE),0)^(COUNTIFS($B$3:$B176,"Buy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buy",$C$3:$C176,C177))),1),0),0)-IF(AND((E177="OK"),B177="Hire hunter"),IF(C177="Briar",140,IF(C177="Quill",3650,IF(C177="Moss",4850,IF(C177="Ember",12200,0)))),0))</f>
        <v/>
      </c>
      <c r="I177" s="7">
        <f>IF(AND((E177="OK"),B177="Fight boss",(IF((((105/'Rules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Formulas'!B12)),0,MIN(IF(G176&lt;=1,120,IF(G176=2,280,600)),I176+IF(AND((E177="OK"),B177="Hunt"),((IF(B177="Hunt",(('Rules &amp; Formulas'!B4*N176*('Rules &amp; Formulas'!B5+O176)*IFERROR(VLOOKUP(C177,Monsters!$T$4:$AH$15,10,FALSE),0)*IFERROR(VLOOKUP(C177,Monsters!$T$4:$AH$15,9,FALSE),0))*'Rules &amp; Formulas'!B6)*IF(D177="",0,D177),0))*(IFERROR(VLOOKUP(C177,Monsters!$T$4:$AH$15,4,FALSE),0))+(IF(OR(B177&lt;&gt;"Hunt",IFERROR(VLOOKUP(C177,Monsters!$T$4:$AH$15,6,FALSE),0)=0),0,FLOOR((IF(B177="Hunt",(('Rules &amp; Formulas'!B4*N176*('Rules &amp; Formulas'!B5+O176)*IFERROR(VLOOKUP(C177,Monsters!$T$4:$AH$15,10,FALSE),0)*IFERROR(VLOOKUP(C177,Monsters!$T$4:$AH$15,9,FALSE),0))*'Rules &amp; Formulas'!B6)*IF(D177="",0,D177),0))/MAX(1,IFERROR(VLOOKUP(C177,Monsters!$T$4:$AH$15,6,FALSE),0)),1)))*(IFERROR(VLOOKUP(C177,Monsters!$T$4:$AH$15,7,FALSE),0))),0)+IF(AND((E177="OK"),B177="Go AFK"),((IF(B177="Go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AFK",IF(D177="",0,D177),0),Z176/60)*60)),0))*(IFERROR(VLOOKUP(C177,Monsters!$T$4:$AH$15,4,FALSE),0))+(IF(OR(B177&lt;&gt;"Go AFK",IFERROR(VLOOKUP(C177,Monsters!$T$4:$AH$15,6,FALSE),0)=0),0,FLOOR((IF(B177="Go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AFK",IF(D177="",0,D177),0),Z176/60)*60)),0))/MAX(1,IFERROR(VLOOKUP(C177,Monsters!$T$4:$AH$15,6,FALSE),0)),1)))*(IFERROR(VLOOKUP(C177,Monsters!$T$4:$AH$15,7,FALSE),0))),0)))</f>
        <v/>
      </c>
      <c r="J177" s="7">
        <f>MAX(0,J176+IF(AND((E177="OK"),B177="Hunt"),(IF(B177="Hunt",(('Rules &amp; Formulas'!B4*N176*('Rules &amp; Formulas'!B5+O176)*IFERROR(VLOOKUP(C177,Monsters!$T$4:$AH$15,10,FALSE),0)*IFERROR(VLOOKUP(C177,Monsters!$T$4:$AH$15,9,FALSE),0))*'Rules &amp; Formulas'!B6)*IF(D177="",0,D177),0))*(IFERROR(VLOOKUP(C177,Monsters!$T$4:$AH$15,5,FALSE),0)),0)+IF(AND((E177="OK"),B177="Go AFK"),(IF(B177="Go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AFK",IF(D177="",0,D177),0),Z176/60)*60)),0))*(IFERROR(VLOOKUP(C177,Monsters!$T$4:$AH$15,5,FALSE),0)),0)-IF(AND((E177="OK"),OR(B177="Buy upgrade",B177="Forge/Scrapwork buy"),IFERROR(VLOOKUP(C177,Upgrades!$N$4:$T$47,2,FALSE),0)="scraps"),IFERROR(FLOOR(IFERROR(VLOOKUP(C177,Upgrades!$N$4:$T$47,3,FALSE),0)*(IFERROR(VLOOKUP(C177,Upgrades!$N$4:$T$47,4,FALSE),0)^(COUNTIFS($B$3:$B176,"Buy upgrade",$C$3:$C176,C177)+COUNTIFS($B$3:$B176,"Hire hunter",$C$3:$C176,C177)+COUNTIFS($B$3:$B176,"Forge/Scrapwork buy",$C$3:$C176,C177))),1),0),0))</f>
        <v/>
      </c>
      <c r="K177" s="7">
        <f>MAX(0,K176+IF(AND((E177="OK"),B177="Hunt"),IF(C177="Thornpelt Bear",(IF(B177="Hunt",(('Rules &amp; Formulas'!B4*N176*('Rules &amp; Formulas'!B5+O176)*IFERROR(VLOOKUP(C177,Monsters!$T$4:$AH$15,10,FALSE),0)*IFERROR(VLOOKUP(C177,Monsters!$T$4:$AH$15,9,FALSE),0))*'Rules &amp; Formulas'!B6)*IF(D177="",0,D177),0))*0.12,0),0)+IF(AND((E177="OK"),B177="Go AFK"),IF(C177="Thornpelt Bear",(IF(B177="Go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AFK",IF(D177="",0,D177),0),Z176/60)*60)),0))*0.12,0),0))</f>
        <v/>
      </c>
      <c r="L177" s="7">
        <f>MAX(0,L176+IF(AND((E177="OK"),B177="Hunt"),IF(C177="Dire Thornpelt",(IF(B177="Hunt",(('Rules &amp; Formulas'!B4*N176*('Rules &amp; Formulas'!B5+O176)*IFERROR(VLOOKUP(C177,Monsters!$T$4:$AH$15,10,FALSE),0)*IFERROR(VLOOKUP(C177,Monsters!$T$4:$AH$15,9,FALSE),0))*'Rules &amp; Formulas'!B6)*IF(D177="",0,D177),0))*0.1,0),0)+IF(AND((E177="OK"),B177="Go AFK"),IF(C177="Dire Thornpelt",(IF(B177="Go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AFK",IF(D177="",0,D177),0),Z176/60)*60)),0))*0.1,0),0))</f>
        <v/>
      </c>
      <c r="M177" s="7">
        <f>IF(AND((E177="OK"),B177="Go AFK"),MAX(0,MIN(('Rules &amp; Formulas'!B15+25*AJ176),M176+('Rules &amp; Formulas'!B14+0.4*AJ176)*(MIN(IF(B177="Go AFK",IF(D177="",0,D177),0),Z176/60)*60))-(IF(B177="Go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AFK",IF(D177="",0,D177),0),Z176/60)*60)),0))*(IF((IFERROR(VLOOKUP(C177,Monsters!$T$4:$AH$15,8,FALSE),0))=0,0.35,IFERROR(VLOOKUP(C177,Monsters!$T$4:$AH$15,8,FALSE),0))/(1+0.08*AK176))),MIN(('Rules &amp; Formulas'!B15+25*AJ177),M176))</f>
        <v/>
      </c>
      <c r="N177" s="7">
        <f>(1+0.08+0.12*AA177+0.12*AB177+0.16*AC177)</f>
        <v/>
      </c>
      <c r="O177" s="7">
        <f>((AD177&gt;=1)*1*(1+0.3*AE177))</f>
        <v/>
      </c>
      <c r="P177" s="7">
        <f>IF(OR(B177="Hunt",B177="Go AFK"),(('Rules &amp; Formulas'!B4*N176*('Rules &amp; Formulas'!B5+O176)*IFERROR(VLOOKUP(C177,Monsters!$T$4:$AH$15,10,FALSE),0)*IFERROR(VLOOKUP(C177,Monsters!$T$4:$AH$15,9,FALSE),0))*'Rules &amp; Formulas'!B6),"")</f>
        <v/>
      </c>
      <c r="Q177" s="7">
        <f>IF(OR(B177="Hunt",B177="Go AFK"),('Rules &amp; Formulas'!B4*N176*('Rules &amp; Formulas'!B5+O176)*IFERROR(VLOOKUP(C177,Monsters!$T$4:$AH$15,10,FALSE),0)*IFERROR(VLOOKUP(C177,Monsters!$T$4:$AH$15,9,FALSE),0)),"")</f>
        <v/>
      </c>
      <c r="R177" s="7">
        <f>IF(AND((E177="OK"),B177="Hunt"),IF(B177="Hunt",(('Rules &amp; Formulas'!B4*N176*('Rules &amp; Formulas'!B5+O176)*IFERROR(VLOOKUP(C177,Monsters!$T$4:$AH$15,10,FALSE),0)*IFERROR(VLOOKUP(C177,Monsters!$T$4:$AH$15,9,FALSE),0))*'Rules &amp; Formulas'!B6)*IF(D177="",0,D177),0),IF(AND((E177="OK"),B177="Go AFK"),IF(B177="Go AFK",MIN(IF((IF((IFERROR(VLOOKUP(C177,Monsters!$T$4:$AH$15,8,FALSE),0))=0,0.35,IFERROR(VLOOKUP(C177,Monsters!$T$4:$AH$15,8,FALSE),0))/(1+0.08*AK176))&lt;=0,999999,FLOOR(MIN(('Rules &amp; Formulas'!B15+25*AJ176),M176+('Rules &amp; Formulas'!B14+0.4*AJ176)*(MIN(IF(B177="Go AFK",IF(D177="",0,D177),0),Z176/60)*60))/(IF((IFERROR(VLOOKUP(C177,Monsters!$T$4:$AH$15,8,FALSE),0))=0,0.35,IFERROR(VLOOKUP(C177,Monsters!$T$4:$AH$15,8,FALSE),0))/(1+0.08*AK176)),1)),('Rules &amp; Formulas'!B4*N176*('Rules &amp; Formulas'!B5+O176)*IFERROR(VLOOKUP(C177,Monsters!$T$4:$AH$15,10,FALSE),0)*IFERROR(VLOOKUP(C177,Monsters!$T$4:$AH$15,9,FALSE),0))*(MIN(IF(B177="Go AFK",IF(D177="",0,D177),0),Z176/60)*60)),0),0))</f>
        <v/>
      </c>
      <c r="S177" s="7">
        <f>(105/'Rules &amp; Formulas'!B10)*'Rules &amp; Formulas'!B11</f>
        <v/>
      </c>
      <c r="T177" s="7">
        <f>IF(AD176&gt;=1,(MAX(1,ROUND('Rules &amp; Formulas'!B18*(1+0.3*AE176)*(1+0.4*AF176),0)))*(1000/'Rules &amp; Formulas'!B19)*MIN(0.95,'Rules &amp; Formulas'!B20*SQRT(1+0.55*(AG176&gt;=1))),0)</f>
        <v/>
      </c>
      <c r="U177" s="7">
        <f>S177+T177</f>
        <v/>
      </c>
      <c r="V177" s="7">
        <f>IF(I176&gt;=IF((IFERROR(VLOOKUP(C177,Monsters!$T$4:$AH$15,15,FALSE),0))=0,120,IFERROR(VLOOKUP(C177,Monsters!$T$4:$AH$15,15,FALSE),0)),"YES","no")</f>
        <v/>
      </c>
      <c r="W177" s="7">
        <f>IF(AND(B177="Fight boss",E177="OK"),IF((((105/'Rules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Formulas'!B20*SQRT(1+0.55*(AG176&gt;=1))),0)))),"")</f>
        <v/>
      </c>
      <c r="X177" s="7">
        <f>IF(AND(B177="Fight boss",E177="OK"),IF((IF((((105/'Rules &amp; Formulas'!B10)*'Rules &amp; Formulas'!B11+IF(AD176&gt;=1,(MAX(1,ROUND('Rules &amp; Formulas'!B18*(1+0.3*AE176)*(1+0.4*AF176),0)))*(1000/'Rules &amp; Formulas'!B19)*MIN(0.95,'Rules &amp; Formulas'!B20*SQRT(1+0.55*(AG176&gt;=1))),0)))&lt;=0,9999,(IFERROR(VLOOKUP(C177,Monsters!$T$4:$AH$15,2,FALSE),0))/(((105/'Rules &amp; Formulas'!B10)*'Rules &amp; Formulas'!B11+IF(AD176&gt;=1,(MAX(1,ROUND('Rules &amp; Formulas'!B18*(1+0.3*AE176)*(1+0.4*AF176),0)))*(1000/'Rules &amp; Formulas'!B19)*MIN(0.95,'Rules &amp; Formulas'!B20*SQRT(1+0.55*(AG176&gt;=1))),0))))&lt;='Rules &amp; Formulas'!B12),"WIN","LOSE"),"")</f>
        <v/>
      </c>
      <c r="Y177" s="7">
        <f>IF(B177="Go AFK",MIN(IF(B177="Go AFK",IF(D177="",0,D177),0),Z176/60),"")</f>
        <v/>
      </c>
      <c r="Z177" s="7">
        <f>('Rules &amp; Formulas'!B13+30*AI177)</f>
        <v/>
      </c>
      <c r="AA177">
        <f>COUNTIFS($B$3:$B177,"Buy upgrade",$C$3:$C177,"Idle Power")</f>
        <v/>
      </c>
      <c r="AB177">
        <f>COUNTIFS($B$3:$B177,"Buy upgrade",$C$3:$C177,"Iron Blade")</f>
        <v/>
      </c>
      <c r="AC177">
        <f>COUNTIFS($B$3:$B177,"Buy upgrade",$C$3:$C177,"Steel Blade")</f>
        <v/>
      </c>
      <c r="AD177">
        <f>COUNTIFS($B$3:$B177,"Hire hunter",$C$3:$C177,"Briar")+COUNTIFS($B$3:$B177,"Buy upgrade",$C$3:$C177,"Hire Briar")</f>
        <v/>
      </c>
      <c r="AE177">
        <f>COUNTIFS($B$3:$B177,"Buy upgrade",$C$3:$C177,"Hunter Power")</f>
        <v/>
      </c>
      <c r="AF177">
        <f>COUNTIFS($B$3:$B177,"Buy upgrade",$C$3:$C177,"Bigger Hits")</f>
        <v/>
      </c>
      <c r="AG177">
        <f>COUNTIFS($B$3:$B177,"Buy upgrade",$C$3:$C177,"Swift Walk")</f>
        <v/>
      </c>
      <c r="AH177">
        <f>COUNTIFS($B$3:$B177,"Buy upgrade",$C$3:$C177,"Loot Luck")</f>
        <v/>
      </c>
      <c r="AI177">
        <f>COUNTIFS($B$3:$B177,"Buy upgrade",$C$3:$C177,"Offline Cap")</f>
        <v/>
      </c>
      <c r="AJ177">
        <f>COUNTIFS($B$3:$B177,"Buy upgrade",$C$3:$C177,"Bigger Food Stock")</f>
        <v/>
      </c>
      <c r="AK177">
        <f>COUNTIFS($B$3:$B177,"Buy upgrade",$C$3:$C177,"Food Efficiency")</f>
        <v/>
      </c>
    </row>
    <row r="178">
      <c r="A178" t="n">
        <v>176</v>
      </c>
      <c r="B178" s="6" t="n"/>
      <c r="C178" s="6" t="n"/>
      <c r="D178" s="6" t="n"/>
      <c r="E178" s="7">
        <f>IF(B178="","",IF(OR(B178="Hunt",B178="Go AFK"),IF(C178="","Can't","OK"),IF(B178="Fight boss",IF(I177&lt;IF((IFERROR(VLOOKUP(C178,Monsters!$T$4:$AH$15,15,FALSE),0))=0,120,IFERROR(VLOOKUP(C178,Monsters!$T$4:$AH$15,15,FALSE),0)),"Can't","OK"),IF(B178="Hire hunter",IF(AND(C178="Briar",AD177&gt;=1),"Can't",IF(H177&lt;IF(C178="Briar",140,IF(C178="Quill",3650,IF(C178="Moss",4850,IF(C178="Ember",12200,0)))),"Can't","OK")),IF(OR(B178="Buy upgrade",B178="Forge/Scrapwork buy"),IF(IFERROR(VLOOKUP(C178,Upgrades!$N$4:$T$47,2,FALSE),0)="points","Can't",IF(IFERROR(VLOOKUP(C178,Upgrades!$N$4:$T$47,2,FALSE),0)="gold",IF(H177&lt;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buy",$C$3:$C177,C178))),1),0),"Can't","OK"),IF(IFERROR(VLOOKUP(C178,Upgrades!$N$4:$T$47,2,FALSE),0)="scraps",IF(J177&lt;IFERROR(FLOOR(IFERROR(VLOOKUP(C178,Upgrades!$N$4:$T$47,3,FALSE),0)*(IFERROR(VLOOKUP(C178,Upgrades!$N$4:$T$47,4,FALSE),0)^(COUNTIFS($B$3:$B177,"Buy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buy",$C$3:$C177,C178))),1),0),"Can't","OK"),IF(IFERROR(VLOOKUP(C178,Upgrades!$N$4:$T$47,2,FALSE),0)="mats","Can't","OK")))),"Check")))))</f>
        <v/>
      </c>
      <c r="F178" s="7">
        <f>IF(B178="","",IF(AND(B178="Fight boss",I177&lt;IF((IFERROR(VLOOKUP(C178,Monsters!$T$4:$AH$15,15,FALSE),0))=0,120,IFERROR(VLOOKUP(C178,Monsters!$T$4:$AH$15,15,FALSE),0))),"Can't — need "&amp;TEXT(IF((IFERROR(VLOOKUP(C178,Monsters!$T$4:$AH$15,15,FALSE),0))=0,120,IFERROR(VLOOKUP(C178,Monsters!$T$4:$AH$15,15,FALSE),0))-I177,"0.0")&amp;" more Slayer points on the meter",IF(AND(B178="Hire hunter",C178="Briar",AD177&gt;=1),"Can't — already hired",IF(AND(B178="Hire hunter",H177&lt;IF(C178="Briar",140,IF(C178="Quill",3650,IF(C178="Moss",4850,IF(C178="Ember",12200,0))))),"Can't — need "&amp;TEXT(IF(C178="Briar",140,IF(C178="Quill",3650,IF(C178="Moss",4850,IF(C178="Ember",12200,0))))-H177,"0")&amp;" more gold",IF(AND(OR(B178="Buy upgrade",B178="Forge/Scrapwork buy"),IFERROR(VLOOKUP(C178,Upgrades!$N$4:$T$47,2,FALSE),0)="points"),"Can't — Sp-wallet spends not tracked here",IF(AND(OR(B178="Buy upgrade",B178="Forge/Scrapwork buy"),IFERROR(VLOOKUP(C178,Upgrades!$N$4:$T$47,2,FALSE),0)="gold",H177&lt;IFERROR(FLOOR(IFERROR(VLOOKUP(C178,Upgrades!$N$4:$T$47,3,FALSE),0)*(IFERROR(VLOOKUP(C178,Upgrades!$N$4:$T$47,4,FALSE),0)^(COUNTIFS($B$3:$B177,"Buy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buy",$C$3:$C177,C178))),1),0)),"Can't — need "&amp;TEXT(IFERROR(FLOOR(IFERROR(VLOOKUP(C178,Upgrades!$N$4:$T$47,3,FALSE),0)*(IFERROR(VLOOKUP(C178,Upgrades!$N$4:$T$47,4,FALSE),0)^(COUNTIFS($B$3:$B177,"Buy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buy",$C$3:$C177,C178))),1),0)-H177,"0")&amp;" more gold",IF(AND(OR(B178="Buy upgrade",B178="Forge/Scrapwork buy"),IFERROR(VLOOKUP(C178,Upgrades!$N$4:$T$47,2,FALSE),0)="scraps",J177&lt;IFERROR(FLOOR(IFERROR(VLOOKUP(C178,Upgrades!$N$4:$T$47,3,FALSE),0)*(IFERROR(VLOOKUP(C178,Upgrades!$N$4:$T$47,4,FALSE),0)^(COUNTIFS($B$3:$B177,"Buy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buy",$C$3:$C177,C178))),1),0)),"Can't — need "&amp;TEXT(IFERROR(FLOOR(IFERROR(VLOOKUP(C178,Upgrades!$N$4:$T$47,3,FALSE),0)*(IFERROR(VLOOKUP(C178,Upgrades!$N$4:$T$47,4,FALSE),0)^(COUNTIFS($B$3:$B177,"Buy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buy",$C$3:$C177,C178))),1),0)-J177,"0")&amp;" more scraps",IF(AND(B178="Fight boss",E178="OK",(IF((((105/'Rules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Formulas'!B12)),"WIN — boss down, next Level unlocks",IF(AND(B178="Fight boss",E178="OK"),"LOSE — TTK "&amp;TEXT(IF((((105/'Rules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Formulas'!B20*SQRT(1+0.55*(AG177&gt;=1))),0)))),"0")&amp;"s &gt; patience "&amp;TEXT('Rules &amp; Formulas'!B12,"0")&amp;"s (leave resets HP)",IF(B178="Go AFK","AFK resolved (see AFK counted h)","Applied")))))))))</f>
        <v/>
      </c>
      <c r="G178" s="7">
        <f>IF(AND((E178="OK"),B178="Fight boss",(IF((((105/'Rules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Formulas'!B12),C178="Elder Thornpelt"),2,IF(AND((E178="OK"),B178="Fight boss",(IF((((105/'Rules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Formulas'!B12),C178="Ashfang Alpha"),3,G177))</f>
        <v/>
      </c>
      <c r="H178" s="7">
        <f>MAX(0,H177+IF(AND((E178="OK"),B178="Hunt"),(IF(B178="Hunt",(('Rules &amp; Formulas'!B4*N177*('Rules &amp; Formulas'!B5+O177)*IFERROR(VLOOKUP(C178,Monsters!$T$4:$AH$15,10,FALSE),0)*IFERROR(VLOOKUP(C178,Monsters!$T$4:$AH$15,9,FALSE),0))*'Rules &amp; Formulas'!B6)*IF(D178="",0,D178),0))*(IFERROR(VLOOKUP(C178,Monsters!$T$4:$AH$15,3,FALSE),0))*(1+0.1*AH177)+(IF(OR(B178&lt;&gt;"Hunt",IFERROR(VLOOKUP(C178,Monsters!$T$4:$AH$15,6,FALSE),0)=0),0,FLOOR((IF(B178="Hunt",(('Rules &amp; Formulas'!B4*N177*('Rules &amp; Formulas'!B5+O177)*IFERROR(VLOOKUP(C178,Monsters!$T$4:$AH$15,10,FALSE),0)*IFERROR(VLOOKUP(C178,Monsters!$T$4:$AH$15,9,FALSE),0))*'Rules &amp; Formulas'!B6)*IF(D178="",0,D178),0))/MAX(1,IFERROR(VLOOKUP(C178,Monsters!$T$4:$AH$15,6,FALSE),0)),1)))*(IFERROR(VLOOKUP(C178,Monsters!$T$4:$AH$15,7,FALSE),0))*0.5*(1+0.1*AH177),0)+IF(AND((E178="OK"),B178="Go AFK"),(IF(B178="Go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AFK",IF(D178="",0,D178),0),Z177/60)*60)),0))*(IFERROR(VLOOKUP(C178,Monsters!$T$4:$AH$15,3,FALSE),0))*(1+0.1*AH177)+(IF(OR(B178&lt;&gt;"Go AFK",IFERROR(VLOOKUP(C178,Monsters!$T$4:$AH$15,6,FALSE),0)=0),0,FLOOR((IF(B178="Go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AFK",IF(D178="",0,D178),0),Z177/60)*60)),0))/MAX(1,IFERROR(VLOOKUP(C178,Monsters!$T$4:$AH$15,6,FALSE),0)),1)))*(IFERROR(VLOOKUP(C178,Monsters!$T$4:$AH$15,7,FALSE),0))*0.5*(1+0.1*AH177),0)+IF(AND((E178="OK"),B178="Fight boss",(IF((((105/'Rules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Formulas'!B12)),IFERROR(VLOOKUP(C178,Monsters!$T$4:$AH$15,3,FALSE),0),0)-IF(AND((E178="OK"),OR(B178="Buy upgrade",B178="Forge/Scrapwork buy"),IFERROR(VLOOKUP(C178,Upgrades!$N$4:$T$47,2,FALSE),0)="gold"),IFERROR(FLOOR(IFERROR(VLOOKUP(C178,Upgrades!$N$4:$T$47,3,FALSE),0)*(IFERROR(VLOOKUP(C178,Upgrades!$N$4:$T$47,4,FALSE),0)^(COUNTIFS($B$3:$B177,"Buy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buy",$C$3:$C177,C178))),1),0),0)-IF(AND((E178="OK"),B178="Hire hunter"),IF(C178="Briar",140,IF(C178="Quill",3650,IF(C178="Moss",4850,IF(C178="Ember",12200,0)))),0))</f>
        <v/>
      </c>
      <c r="I178" s="7">
        <f>IF(AND((E178="OK"),B178="Fight boss",(IF((((105/'Rules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Formulas'!B12)),0,MIN(IF(G177&lt;=1,120,IF(G177=2,280,600)),I177+IF(AND((E178="OK"),B178="Hunt"),((IF(B178="Hunt",(('Rules &amp; Formulas'!B4*N177*('Rules &amp; Formulas'!B5+O177)*IFERROR(VLOOKUP(C178,Monsters!$T$4:$AH$15,10,FALSE),0)*IFERROR(VLOOKUP(C178,Monsters!$T$4:$AH$15,9,FALSE),0))*'Rules &amp; Formulas'!B6)*IF(D178="",0,D178),0))*(IFERROR(VLOOKUP(C178,Monsters!$T$4:$AH$15,4,FALSE),0))+(IF(OR(B178&lt;&gt;"Hunt",IFERROR(VLOOKUP(C178,Monsters!$T$4:$AH$15,6,FALSE),0)=0),0,FLOOR((IF(B178="Hunt",(('Rules &amp; Formulas'!B4*N177*('Rules &amp; Formulas'!B5+O177)*IFERROR(VLOOKUP(C178,Monsters!$T$4:$AH$15,10,FALSE),0)*IFERROR(VLOOKUP(C178,Monsters!$T$4:$AH$15,9,FALSE),0))*'Rules &amp; Formulas'!B6)*IF(D178="",0,D178),0))/MAX(1,IFERROR(VLOOKUP(C178,Monsters!$T$4:$AH$15,6,FALSE),0)),1)))*(IFERROR(VLOOKUP(C178,Monsters!$T$4:$AH$15,7,FALSE),0))),0)+IF(AND((E178="OK"),B178="Go AFK"),((IF(B178="Go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AFK",IF(D178="",0,D178),0),Z177/60)*60)),0))*(IFERROR(VLOOKUP(C178,Monsters!$T$4:$AH$15,4,FALSE),0))+(IF(OR(B178&lt;&gt;"Go AFK",IFERROR(VLOOKUP(C178,Monsters!$T$4:$AH$15,6,FALSE),0)=0),0,FLOOR((IF(B178="Go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AFK",IF(D178="",0,D178),0),Z177/60)*60)),0))/MAX(1,IFERROR(VLOOKUP(C178,Monsters!$T$4:$AH$15,6,FALSE),0)),1)))*(IFERROR(VLOOKUP(C178,Monsters!$T$4:$AH$15,7,FALSE),0))),0)))</f>
        <v/>
      </c>
      <c r="J178" s="7">
        <f>MAX(0,J177+IF(AND((E178="OK"),B178="Hunt"),(IF(B178="Hunt",(('Rules &amp; Formulas'!B4*N177*('Rules &amp; Formulas'!B5+O177)*IFERROR(VLOOKUP(C178,Monsters!$T$4:$AH$15,10,FALSE),0)*IFERROR(VLOOKUP(C178,Monsters!$T$4:$AH$15,9,FALSE),0))*'Rules &amp; Formulas'!B6)*IF(D178="",0,D178),0))*(IFERROR(VLOOKUP(C178,Monsters!$T$4:$AH$15,5,FALSE),0)),0)+IF(AND((E178="OK"),B178="Go AFK"),(IF(B178="Go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AFK",IF(D178="",0,D178),0),Z177/60)*60)),0))*(IFERROR(VLOOKUP(C178,Monsters!$T$4:$AH$15,5,FALSE),0)),0)-IF(AND((E178="OK"),OR(B178="Buy upgrade",B178="Forge/Scrapwork buy"),IFERROR(VLOOKUP(C178,Upgrades!$N$4:$T$47,2,FALSE),0)="scraps"),IFERROR(FLOOR(IFERROR(VLOOKUP(C178,Upgrades!$N$4:$T$47,3,FALSE),0)*(IFERROR(VLOOKUP(C178,Upgrades!$N$4:$T$47,4,FALSE),0)^(COUNTIFS($B$3:$B177,"Buy upgrade",$C$3:$C177,C178)+COUNTIFS($B$3:$B177,"Hire hunter",$C$3:$C177,C178)+COUNTIFS($B$3:$B177,"Forge/Scrapwork buy",$C$3:$C177,C178))),1),0),0))</f>
        <v/>
      </c>
      <c r="K178" s="7">
        <f>MAX(0,K177+IF(AND((E178="OK"),B178="Hunt"),IF(C178="Thornpelt Bear",(IF(B178="Hunt",(('Rules &amp; Formulas'!B4*N177*('Rules &amp; Formulas'!B5+O177)*IFERROR(VLOOKUP(C178,Monsters!$T$4:$AH$15,10,FALSE),0)*IFERROR(VLOOKUP(C178,Monsters!$T$4:$AH$15,9,FALSE),0))*'Rules &amp; Formulas'!B6)*IF(D178="",0,D178),0))*0.12,0),0)+IF(AND((E178="OK"),B178="Go AFK"),IF(C178="Thornpelt Bear",(IF(B178="Go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AFK",IF(D178="",0,D178),0),Z177/60)*60)),0))*0.12,0),0))</f>
        <v/>
      </c>
      <c r="L178" s="7">
        <f>MAX(0,L177+IF(AND((E178="OK"),B178="Hunt"),IF(C178="Dire Thornpelt",(IF(B178="Hunt",(('Rules &amp; Formulas'!B4*N177*('Rules &amp; Formulas'!B5+O177)*IFERROR(VLOOKUP(C178,Monsters!$T$4:$AH$15,10,FALSE),0)*IFERROR(VLOOKUP(C178,Monsters!$T$4:$AH$15,9,FALSE),0))*'Rules &amp; Formulas'!B6)*IF(D178="",0,D178),0))*0.1,0),0)+IF(AND((E178="OK"),B178="Go AFK"),IF(C178="Dire Thornpelt",(IF(B178="Go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AFK",IF(D178="",0,D178),0),Z177/60)*60)),0))*0.1,0),0))</f>
        <v/>
      </c>
      <c r="M178" s="7">
        <f>IF(AND((E178="OK"),B178="Go AFK"),MAX(0,MIN(('Rules &amp; Formulas'!B15+25*AJ177),M177+('Rules &amp; Formulas'!B14+0.4*AJ177)*(MIN(IF(B178="Go AFK",IF(D178="",0,D178),0),Z177/60)*60))-(IF(B178="Go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AFK",IF(D178="",0,D178),0),Z177/60)*60)),0))*(IF((IFERROR(VLOOKUP(C178,Monsters!$T$4:$AH$15,8,FALSE),0))=0,0.35,IFERROR(VLOOKUP(C178,Monsters!$T$4:$AH$15,8,FALSE),0))/(1+0.08*AK177))),MIN(('Rules &amp; Formulas'!B15+25*AJ178),M177))</f>
        <v/>
      </c>
      <c r="N178" s="7">
        <f>(1+0.08+0.12*AA178+0.12*AB178+0.16*AC178)</f>
        <v/>
      </c>
      <c r="O178" s="7">
        <f>((AD178&gt;=1)*1*(1+0.3*AE178))</f>
        <v/>
      </c>
      <c r="P178" s="7">
        <f>IF(OR(B178="Hunt",B178="Go AFK"),(('Rules &amp; Formulas'!B4*N177*('Rules &amp; Formulas'!B5+O177)*IFERROR(VLOOKUP(C178,Monsters!$T$4:$AH$15,10,FALSE),0)*IFERROR(VLOOKUP(C178,Monsters!$T$4:$AH$15,9,FALSE),0))*'Rules &amp; Formulas'!B6),"")</f>
        <v/>
      </c>
      <c r="Q178" s="7">
        <f>IF(OR(B178="Hunt",B178="Go AFK"),('Rules &amp; Formulas'!B4*N177*('Rules &amp; Formulas'!B5+O177)*IFERROR(VLOOKUP(C178,Monsters!$T$4:$AH$15,10,FALSE),0)*IFERROR(VLOOKUP(C178,Monsters!$T$4:$AH$15,9,FALSE),0)),"")</f>
        <v/>
      </c>
      <c r="R178" s="7">
        <f>IF(AND((E178="OK"),B178="Hunt"),IF(B178="Hunt",(('Rules &amp; Formulas'!B4*N177*('Rules &amp; Formulas'!B5+O177)*IFERROR(VLOOKUP(C178,Monsters!$T$4:$AH$15,10,FALSE),0)*IFERROR(VLOOKUP(C178,Monsters!$T$4:$AH$15,9,FALSE),0))*'Rules &amp; Formulas'!B6)*IF(D178="",0,D178),0),IF(AND((E178="OK"),B178="Go AFK"),IF(B178="Go AFK",MIN(IF((IF((IFERROR(VLOOKUP(C178,Monsters!$T$4:$AH$15,8,FALSE),0))=0,0.35,IFERROR(VLOOKUP(C178,Monsters!$T$4:$AH$15,8,FALSE),0))/(1+0.08*AK177))&lt;=0,999999,FLOOR(MIN(('Rules &amp; Formulas'!B15+25*AJ177),M177+('Rules &amp; Formulas'!B14+0.4*AJ177)*(MIN(IF(B178="Go AFK",IF(D178="",0,D178),0),Z177/60)*60))/(IF((IFERROR(VLOOKUP(C178,Monsters!$T$4:$AH$15,8,FALSE),0))=0,0.35,IFERROR(VLOOKUP(C178,Monsters!$T$4:$AH$15,8,FALSE),0))/(1+0.08*AK177)),1)),('Rules &amp; Formulas'!B4*N177*('Rules &amp; Formulas'!B5+O177)*IFERROR(VLOOKUP(C178,Monsters!$T$4:$AH$15,10,FALSE),0)*IFERROR(VLOOKUP(C178,Monsters!$T$4:$AH$15,9,FALSE),0))*(MIN(IF(B178="Go AFK",IF(D178="",0,D178),0),Z177/60)*60)),0),0))</f>
        <v/>
      </c>
      <c r="S178" s="7">
        <f>(105/'Rules &amp; Formulas'!B10)*'Rules &amp; Formulas'!B11</f>
        <v/>
      </c>
      <c r="T178" s="7">
        <f>IF(AD177&gt;=1,(MAX(1,ROUND('Rules &amp; Formulas'!B18*(1+0.3*AE177)*(1+0.4*AF177),0)))*(1000/'Rules &amp; Formulas'!B19)*MIN(0.95,'Rules &amp; Formulas'!B20*SQRT(1+0.55*(AG177&gt;=1))),0)</f>
        <v/>
      </c>
      <c r="U178" s="7">
        <f>S178+T178</f>
        <v/>
      </c>
      <c r="V178" s="7">
        <f>IF(I177&gt;=IF((IFERROR(VLOOKUP(C178,Monsters!$T$4:$AH$15,15,FALSE),0))=0,120,IFERROR(VLOOKUP(C178,Monsters!$T$4:$AH$15,15,FALSE),0)),"YES","no")</f>
        <v/>
      </c>
      <c r="W178" s="7">
        <f>IF(AND(B178="Fight boss",E178="OK"),IF((((105/'Rules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Formulas'!B20*SQRT(1+0.55*(AG177&gt;=1))),0)))),"")</f>
        <v/>
      </c>
      <c r="X178" s="7">
        <f>IF(AND(B178="Fight boss",E178="OK"),IF((IF((((105/'Rules &amp; Formulas'!B10)*'Rules &amp; Formulas'!B11+IF(AD177&gt;=1,(MAX(1,ROUND('Rules &amp; Formulas'!B18*(1+0.3*AE177)*(1+0.4*AF177),0)))*(1000/'Rules &amp; Formulas'!B19)*MIN(0.95,'Rules &amp; Formulas'!B20*SQRT(1+0.55*(AG177&gt;=1))),0)))&lt;=0,9999,(IFERROR(VLOOKUP(C178,Monsters!$T$4:$AH$15,2,FALSE),0))/(((105/'Rules &amp; Formulas'!B10)*'Rules &amp; Formulas'!B11+IF(AD177&gt;=1,(MAX(1,ROUND('Rules &amp; Formulas'!B18*(1+0.3*AE177)*(1+0.4*AF177),0)))*(1000/'Rules &amp; Formulas'!B19)*MIN(0.95,'Rules &amp; Formulas'!B20*SQRT(1+0.55*(AG177&gt;=1))),0))))&lt;='Rules &amp; Formulas'!B12),"WIN","LOSE"),"")</f>
        <v/>
      </c>
      <c r="Y178" s="7">
        <f>IF(B178="Go AFK",MIN(IF(B178="Go AFK",IF(D178="",0,D178),0),Z177/60),"")</f>
        <v/>
      </c>
      <c r="Z178" s="7">
        <f>('Rules &amp; Formulas'!B13+30*AI178)</f>
        <v/>
      </c>
      <c r="AA178">
        <f>COUNTIFS($B$3:$B178,"Buy upgrade",$C$3:$C178,"Idle Power")</f>
        <v/>
      </c>
      <c r="AB178">
        <f>COUNTIFS($B$3:$B178,"Buy upgrade",$C$3:$C178,"Iron Blade")</f>
        <v/>
      </c>
      <c r="AC178">
        <f>COUNTIFS($B$3:$B178,"Buy upgrade",$C$3:$C178,"Steel Blade")</f>
        <v/>
      </c>
      <c r="AD178">
        <f>COUNTIFS($B$3:$B178,"Hire hunter",$C$3:$C178,"Briar")+COUNTIFS($B$3:$B178,"Buy upgrade",$C$3:$C178,"Hire Briar")</f>
        <v/>
      </c>
      <c r="AE178">
        <f>COUNTIFS($B$3:$B178,"Buy upgrade",$C$3:$C178,"Hunter Power")</f>
        <v/>
      </c>
      <c r="AF178">
        <f>COUNTIFS($B$3:$B178,"Buy upgrade",$C$3:$C178,"Bigger Hits")</f>
        <v/>
      </c>
      <c r="AG178">
        <f>COUNTIFS($B$3:$B178,"Buy upgrade",$C$3:$C178,"Swift Walk")</f>
        <v/>
      </c>
      <c r="AH178">
        <f>COUNTIFS($B$3:$B178,"Buy upgrade",$C$3:$C178,"Loot Luck")</f>
        <v/>
      </c>
      <c r="AI178">
        <f>COUNTIFS($B$3:$B178,"Buy upgrade",$C$3:$C178,"Offline Cap")</f>
        <v/>
      </c>
      <c r="AJ178">
        <f>COUNTIFS($B$3:$B178,"Buy upgrade",$C$3:$C178,"Bigger Food Stock")</f>
        <v/>
      </c>
      <c r="AK178">
        <f>COUNTIFS($B$3:$B178,"Buy upgrade",$C$3:$C178,"Food Efficiency")</f>
        <v/>
      </c>
    </row>
    <row r="179">
      <c r="A179" t="n">
        <v>177</v>
      </c>
      <c r="B179" s="6" t="n"/>
      <c r="C179" s="6" t="n"/>
      <c r="D179" s="6" t="n"/>
      <c r="E179" s="7">
        <f>IF(B179="","",IF(OR(B179="Hunt",B179="Go AFK"),IF(C179="","Can't","OK"),IF(B179="Fight boss",IF(I178&lt;IF((IFERROR(VLOOKUP(C179,Monsters!$T$4:$AH$15,15,FALSE),0))=0,120,IFERROR(VLOOKUP(C179,Monsters!$T$4:$AH$15,15,FALSE),0)),"Can't","OK"),IF(B179="Hire hunter",IF(AND(C179="Briar",AD178&gt;=1),"Can't",IF(H178&lt;IF(C179="Briar",140,IF(C179="Quill",3650,IF(C179="Moss",4850,IF(C179="Ember",12200,0)))),"Can't","OK")),IF(OR(B179="Buy upgrade",B179="Forge/Scrapwork buy"),IF(IFERROR(VLOOKUP(C179,Upgrades!$N$4:$T$47,2,FALSE),0)="points","Can't",IF(IFERROR(VLOOKUP(C179,Upgrades!$N$4:$T$47,2,FALSE),0)="gold",IF(H178&lt;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buy",$C$3:$C178,C179))),1),0),"Can't","OK"),IF(IFERROR(VLOOKUP(C179,Upgrades!$N$4:$T$47,2,FALSE),0)="scraps",IF(J178&lt;IFERROR(FLOOR(IFERROR(VLOOKUP(C179,Upgrades!$N$4:$T$47,3,FALSE),0)*(IFERROR(VLOOKUP(C179,Upgrades!$N$4:$T$47,4,FALSE),0)^(COUNTIFS($B$3:$B178,"Buy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buy",$C$3:$C178,C179))),1),0),"Can't","OK"),IF(IFERROR(VLOOKUP(C179,Upgrades!$N$4:$T$47,2,FALSE),0)="mats","Can't","OK")))),"Check")))))</f>
        <v/>
      </c>
      <c r="F179" s="7">
        <f>IF(B179="","",IF(AND(B179="Fight boss",I178&lt;IF((IFERROR(VLOOKUP(C179,Monsters!$T$4:$AH$15,15,FALSE),0))=0,120,IFERROR(VLOOKUP(C179,Monsters!$T$4:$AH$15,15,FALSE),0))),"Can't — need "&amp;TEXT(IF((IFERROR(VLOOKUP(C179,Monsters!$T$4:$AH$15,15,FALSE),0))=0,120,IFERROR(VLOOKUP(C179,Monsters!$T$4:$AH$15,15,FALSE),0))-I178,"0.0")&amp;" more Slayer points on the meter",IF(AND(B179="Hire hunter",C179="Briar",AD178&gt;=1),"Can't — already hired",IF(AND(B179="Hire hunter",H178&lt;IF(C179="Briar",140,IF(C179="Quill",3650,IF(C179="Moss",4850,IF(C179="Ember",12200,0))))),"Can't — need "&amp;TEXT(IF(C179="Briar",140,IF(C179="Quill",3650,IF(C179="Moss",4850,IF(C179="Ember",12200,0))))-H178,"0")&amp;" more gold",IF(AND(OR(B179="Buy upgrade",B179="Forge/Scrapwork buy"),IFERROR(VLOOKUP(C179,Upgrades!$N$4:$T$47,2,FALSE),0)="points"),"Can't — Sp-wallet spends not tracked here",IF(AND(OR(B179="Buy upgrade",B179="Forge/Scrapwork buy"),IFERROR(VLOOKUP(C179,Upgrades!$N$4:$T$47,2,FALSE),0)="gold",H178&lt;IFERROR(FLOOR(IFERROR(VLOOKUP(C179,Upgrades!$N$4:$T$47,3,FALSE),0)*(IFERROR(VLOOKUP(C179,Upgrades!$N$4:$T$47,4,FALSE),0)^(COUNTIFS($B$3:$B178,"Buy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buy",$C$3:$C178,C179))),1),0)),"Can't — need "&amp;TEXT(IFERROR(FLOOR(IFERROR(VLOOKUP(C179,Upgrades!$N$4:$T$47,3,FALSE),0)*(IFERROR(VLOOKUP(C179,Upgrades!$N$4:$T$47,4,FALSE),0)^(COUNTIFS($B$3:$B178,"Buy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buy",$C$3:$C178,C179))),1),0)-H178,"0")&amp;" more gold",IF(AND(OR(B179="Buy upgrade",B179="Forge/Scrapwork buy"),IFERROR(VLOOKUP(C179,Upgrades!$N$4:$T$47,2,FALSE),0)="scraps",J178&lt;IFERROR(FLOOR(IFERROR(VLOOKUP(C179,Upgrades!$N$4:$T$47,3,FALSE),0)*(IFERROR(VLOOKUP(C179,Upgrades!$N$4:$T$47,4,FALSE),0)^(COUNTIFS($B$3:$B178,"Buy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buy",$C$3:$C178,C179))),1),0)),"Can't — need "&amp;TEXT(IFERROR(FLOOR(IFERROR(VLOOKUP(C179,Upgrades!$N$4:$T$47,3,FALSE),0)*(IFERROR(VLOOKUP(C179,Upgrades!$N$4:$T$47,4,FALSE),0)^(COUNTIFS($B$3:$B178,"Buy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buy",$C$3:$C178,C179))),1),0)-J178,"0")&amp;" more scraps",IF(AND(B179="Fight boss",E179="OK",(IF((((105/'Rules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Formulas'!B12)),"WIN — boss down, next Level unlocks",IF(AND(B179="Fight boss",E179="OK"),"LOSE — TTK "&amp;TEXT(IF((((105/'Rules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Formulas'!B20*SQRT(1+0.55*(AG178&gt;=1))),0)))),"0")&amp;"s &gt; patience "&amp;TEXT('Rules &amp; Formulas'!B12,"0")&amp;"s (leave resets HP)",IF(B179="Go AFK","AFK resolved (see AFK counted h)","Applied")))))))))</f>
        <v/>
      </c>
      <c r="G179" s="7">
        <f>IF(AND((E179="OK"),B179="Fight boss",(IF((((105/'Rules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Formulas'!B12),C179="Elder Thornpelt"),2,IF(AND((E179="OK"),B179="Fight boss",(IF((((105/'Rules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Formulas'!B12),C179="Ashfang Alpha"),3,G178))</f>
        <v/>
      </c>
      <c r="H179" s="7">
        <f>MAX(0,H178+IF(AND((E179="OK"),B179="Hunt"),(IF(B179="Hunt",(('Rules &amp; Formulas'!B4*N178*('Rules &amp; Formulas'!B5+O178)*IFERROR(VLOOKUP(C179,Monsters!$T$4:$AH$15,10,FALSE),0)*IFERROR(VLOOKUP(C179,Monsters!$T$4:$AH$15,9,FALSE),0))*'Rules &amp; Formulas'!B6)*IF(D179="",0,D179),0))*(IFERROR(VLOOKUP(C179,Monsters!$T$4:$AH$15,3,FALSE),0))*(1+0.1*AH178)+(IF(OR(B179&lt;&gt;"Hunt",IFERROR(VLOOKUP(C179,Monsters!$T$4:$AH$15,6,FALSE),0)=0),0,FLOOR((IF(B179="Hunt",(('Rules &amp; Formulas'!B4*N178*('Rules &amp; Formulas'!B5+O178)*IFERROR(VLOOKUP(C179,Monsters!$T$4:$AH$15,10,FALSE),0)*IFERROR(VLOOKUP(C179,Monsters!$T$4:$AH$15,9,FALSE),0))*'Rules &amp; Formulas'!B6)*IF(D179="",0,D179),0))/MAX(1,IFERROR(VLOOKUP(C179,Monsters!$T$4:$AH$15,6,FALSE),0)),1)))*(IFERROR(VLOOKUP(C179,Monsters!$T$4:$AH$15,7,FALSE),0))*0.5*(1+0.1*AH178),0)+IF(AND((E179="OK"),B179="Go AFK"),(IF(B179="Go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AFK",IF(D179="",0,D179),0),Z178/60)*60)),0))*(IFERROR(VLOOKUP(C179,Monsters!$T$4:$AH$15,3,FALSE),0))*(1+0.1*AH178)+(IF(OR(B179&lt;&gt;"Go AFK",IFERROR(VLOOKUP(C179,Monsters!$T$4:$AH$15,6,FALSE),0)=0),0,FLOOR((IF(B179="Go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AFK",IF(D179="",0,D179),0),Z178/60)*60)),0))/MAX(1,IFERROR(VLOOKUP(C179,Monsters!$T$4:$AH$15,6,FALSE),0)),1)))*(IFERROR(VLOOKUP(C179,Monsters!$T$4:$AH$15,7,FALSE),0))*0.5*(1+0.1*AH178),0)+IF(AND((E179="OK"),B179="Fight boss",(IF((((105/'Rules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Formulas'!B12)),IFERROR(VLOOKUP(C179,Monsters!$T$4:$AH$15,3,FALSE),0),0)-IF(AND((E179="OK"),OR(B179="Buy upgrade",B179="Forge/Scrapwork buy"),IFERROR(VLOOKUP(C179,Upgrades!$N$4:$T$47,2,FALSE),0)="gold"),IFERROR(FLOOR(IFERROR(VLOOKUP(C179,Upgrades!$N$4:$T$47,3,FALSE),0)*(IFERROR(VLOOKUP(C179,Upgrades!$N$4:$T$47,4,FALSE),0)^(COUNTIFS($B$3:$B178,"Buy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buy",$C$3:$C178,C179))),1),0),0)-IF(AND((E179="OK"),B179="Hire hunter"),IF(C179="Briar",140,IF(C179="Quill",3650,IF(C179="Moss",4850,IF(C179="Ember",12200,0)))),0))</f>
        <v/>
      </c>
      <c r="I179" s="7">
        <f>IF(AND((E179="OK"),B179="Fight boss",(IF((((105/'Rules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Formulas'!B12)),0,MIN(IF(G178&lt;=1,120,IF(G178=2,280,600)),I178+IF(AND((E179="OK"),B179="Hunt"),((IF(B179="Hunt",(('Rules &amp; Formulas'!B4*N178*('Rules &amp; Formulas'!B5+O178)*IFERROR(VLOOKUP(C179,Monsters!$T$4:$AH$15,10,FALSE),0)*IFERROR(VLOOKUP(C179,Monsters!$T$4:$AH$15,9,FALSE),0))*'Rules &amp; Formulas'!B6)*IF(D179="",0,D179),0))*(IFERROR(VLOOKUP(C179,Monsters!$T$4:$AH$15,4,FALSE),0))+(IF(OR(B179&lt;&gt;"Hunt",IFERROR(VLOOKUP(C179,Monsters!$T$4:$AH$15,6,FALSE),0)=0),0,FLOOR((IF(B179="Hunt",(('Rules &amp; Formulas'!B4*N178*('Rules &amp; Formulas'!B5+O178)*IFERROR(VLOOKUP(C179,Monsters!$T$4:$AH$15,10,FALSE),0)*IFERROR(VLOOKUP(C179,Monsters!$T$4:$AH$15,9,FALSE),0))*'Rules &amp; Formulas'!B6)*IF(D179="",0,D179),0))/MAX(1,IFERROR(VLOOKUP(C179,Monsters!$T$4:$AH$15,6,FALSE),0)),1)))*(IFERROR(VLOOKUP(C179,Monsters!$T$4:$AH$15,7,FALSE),0))),0)+IF(AND((E179="OK"),B179="Go AFK"),((IF(B179="Go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AFK",IF(D179="",0,D179),0),Z178/60)*60)),0))*(IFERROR(VLOOKUP(C179,Monsters!$T$4:$AH$15,4,FALSE),0))+(IF(OR(B179&lt;&gt;"Go AFK",IFERROR(VLOOKUP(C179,Monsters!$T$4:$AH$15,6,FALSE),0)=0),0,FLOOR((IF(B179="Go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AFK",IF(D179="",0,D179),0),Z178/60)*60)),0))/MAX(1,IFERROR(VLOOKUP(C179,Monsters!$T$4:$AH$15,6,FALSE),0)),1)))*(IFERROR(VLOOKUP(C179,Monsters!$T$4:$AH$15,7,FALSE),0))),0)))</f>
        <v/>
      </c>
      <c r="J179" s="7">
        <f>MAX(0,J178+IF(AND((E179="OK"),B179="Hunt"),(IF(B179="Hunt",(('Rules &amp; Formulas'!B4*N178*('Rules &amp; Formulas'!B5+O178)*IFERROR(VLOOKUP(C179,Monsters!$T$4:$AH$15,10,FALSE),0)*IFERROR(VLOOKUP(C179,Monsters!$T$4:$AH$15,9,FALSE),0))*'Rules &amp; Formulas'!B6)*IF(D179="",0,D179),0))*(IFERROR(VLOOKUP(C179,Monsters!$T$4:$AH$15,5,FALSE),0)),0)+IF(AND((E179="OK"),B179="Go AFK"),(IF(B179="Go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AFK",IF(D179="",0,D179),0),Z178/60)*60)),0))*(IFERROR(VLOOKUP(C179,Monsters!$T$4:$AH$15,5,FALSE),0)),0)-IF(AND((E179="OK"),OR(B179="Buy upgrade",B179="Forge/Scrapwork buy"),IFERROR(VLOOKUP(C179,Upgrades!$N$4:$T$47,2,FALSE),0)="scraps"),IFERROR(FLOOR(IFERROR(VLOOKUP(C179,Upgrades!$N$4:$T$47,3,FALSE),0)*(IFERROR(VLOOKUP(C179,Upgrades!$N$4:$T$47,4,FALSE),0)^(COUNTIFS($B$3:$B178,"Buy upgrade",$C$3:$C178,C179)+COUNTIFS($B$3:$B178,"Hire hunter",$C$3:$C178,C179)+COUNTIFS($B$3:$B178,"Forge/Scrapwork buy",$C$3:$C178,C179))),1),0),0))</f>
        <v/>
      </c>
      <c r="K179" s="7">
        <f>MAX(0,K178+IF(AND((E179="OK"),B179="Hunt"),IF(C179="Thornpelt Bear",(IF(B179="Hunt",(('Rules &amp; Formulas'!B4*N178*('Rules &amp; Formulas'!B5+O178)*IFERROR(VLOOKUP(C179,Monsters!$T$4:$AH$15,10,FALSE),0)*IFERROR(VLOOKUP(C179,Monsters!$T$4:$AH$15,9,FALSE),0))*'Rules &amp; Formulas'!B6)*IF(D179="",0,D179),0))*0.12,0),0)+IF(AND((E179="OK"),B179="Go AFK"),IF(C179="Thornpelt Bear",(IF(B179="Go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AFK",IF(D179="",0,D179),0),Z178/60)*60)),0))*0.12,0),0))</f>
        <v/>
      </c>
      <c r="L179" s="7">
        <f>MAX(0,L178+IF(AND((E179="OK"),B179="Hunt"),IF(C179="Dire Thornpelt",(IF(B179="Hunt",(('Rules &amp; Formulas'!B4*N178*('Rules &amp; Formulas'!B5+O178)*IFERROR(VLOOKUP(C179,Monsters!$T$4:$AH$15,10,FALSE),0)*IFERROR(VLOOKUP(C179,Monsters!$T$4:$AH$15,9,FALSE),0))*'Rules &amp; Formulas'!B6)*IF(D179="",0,D179),0))*0.1,0),0)+IF(AND((E179="OK"),B179="Go AFK"),IF(C179="Dire Thornpelt",(IF(B179="Go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AFK",IF(D179="",0,D179),0),Z178/60)*60)),0))*0.1,0),0))</f>
        <v/>
      </c>
      <c r="M179" s="7">
        <f>IF(AND((E179="OK"),B179="Go AFK"),MAX(0,MIN(('Rules &amp; Formulas'!B15+25*AJ178),M178+('Rules &amp; Formulas'!B14+0.4*AJ178)*(MIN(IF(B179="Go AFK",IF(D179="",0,D179),0),Z178/60)*60))-(IF(B179="Go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AFK",IF(D179="",0,D179),0),Z178/60)*60)),0))*(IF((IFERROR(VLOOKUP(C179,Monsters!$T$4:$AH$15,8,FALSE),0))=0,0.35,IFERROR(VLOOKUP(C179,Monsters!$T$4:$AH$15,8,FALSE),0))/(1+0.08*AK178))),MIN(('Rules &amp; Formulas'!B15+25*AJ179),M178))</f>
        <v/>
      </c>
      <c r="N179" s="7">
        <f>(1+0.08+0.12*AA179+0.12*AB179+0.16*AC179)</f>
        <v/>
      </c>
      <c r="O179" s="7">
        <f>((AD179&gt;=1)*1*(1+0.3*AE179))</f>
        <v/>
      </c>
      <c r="P179" s="7">
        <f>IF(OR(B179="Hunt",B179="Go AFK"),(('Rules &amp; Formulas'!B4*N178*('Rules &amp; Formulas'!B5+O178)*IFERROR(VLOOKUP(C179,Monsters!$T$4:$AH$15,10,FALSE),0)*IFERROR(VLOOKUP(C179,Monsters!$T$4:$AH$15,9,FALSE),0))*'Rules &amp; Formulas'!B6),"")</f>
        <v/>
      </c>
      <c r="Q179" s="7">
        <f>IF(OR(B179="Hunt",B179="Go AFK"),('Rules &amp; Formulas'!B4*N178*('Rules &amp; Formulas'!B5+O178)*IFERROR(VLOOKUP(C179,Monsters!$T$4:$AH$15,10,FALSE),0)*IFERROR(VLOOKUP(C179,Monsters!$T$4:$AH$15,9,FALSE),0)),"")</f>
        <v/>
      </c>
      <c r="R179" s="7">
        <f>IF(AND((E179="OK"),B179="Hunt"),IF(B179="Hunt",(('Rules &amp; Formulas'!B4*N178*('Rules &amp; Formulas'!B5+O178)*IFERROR(VLOOKUP(C179,Monsters!$T$4:$AH$15,10,FALSE),0)*IFERROR(VLOOKUP(C179,Monsters!$T$4:$AH$15,9,FALSE),0))*'Rules &amp; Formulas'!B6)*IF(D179="",0,D179),0),IF(AND((E179="OK"),B179="Go AFK"),IF(B179="Go AFK",MIN(IF((IF((IFERROR(VLOOKUP(C179,Monsters!$T$4:$AH$15,8,FALSE),0))=0,0.35,IFERROR(VLOOKUP(C179,Monsters!$T$4:$AH$15,8,FALSE),0))/(1+0.08*AK178))&lt;=0,999999,FLOOR(MIN(('Rules &amp; Formulas'!B15+25*AJ178),M178+('Rules &amp; Formulas'!B14+0.4*AJ178)*(MIN(IF(B179="Go AFK",IF(D179="",0,D179),0),Z178/60)*60))/(IF((IFERROR(VLOOKUP(C179,Monsters!$T$4:$AH$15,8,FALSE),0))=0,0.35,IFERROR(VLOOKUP(C179,Monsters!$T$4:$AH$15,8,FALSE),0))/(1+0.08*AK178)),1)),('Rules &amp; Formulas'!B4*N178*('Rules &amp; Formulas'!B5+O178)*IFERROR(VLOOKUP(C179,Monsters!$T$4:$AH$15,10,FALSE),0)*IFERROR(VLOOKUP(C179,Monsters!$T$4:$AH$15,9,FALSE),0))*(MIN(IF(B179="Go AFK",IF(D179="",0,D179),0),Z178/60)*60)),0),0))</f>
        <v/>
      </c>
      <c r="S179" s="7">
        <f>(105/'Rules &amp; Formulas'!B10)*'Rules &amp; Formulas'!B11</f>
        <v/>
      </c>
      <c r="T179" s="7">
        <f>IF(AD178&gt;=1,(MAX(1,ROUND('Rules &amp; Formulas'!B18*(1+0.3*AE178)*(1+0.4*AF178),0)))*(1000/'Rules &amp; Formulas'!B19)*MIN(0.95,'Rules &amp; Formulas'!B20*SQRT(1+0.55*(AG178&gt;=1))),0)</f>
        <v/>
      </c>
      <c r="U179" s="7">
        <f>S179+T179</f>
        <v/>
      </c>
      <c r="V179" s="7">
        <f>IF(I178&gt;=IF((IFERROR(VLOOKUP(C179,Monsters!$T$4:$AH$15,15,FALSE),0))=0,120,IFERROR(VLOOKUP(C179,Monsters!$T$4:$AH$15,15,FALSE),0)),"YES","no")</f>
        <v/>
      </c>
      <c r="W179" s="7">
        <f>IF(AND(B179="Fight boss",E179="OK"),IF((((105/'Rules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Formulas'!B20*SQRT(1+0.55*(AG178&gt;=1))),0)))),"")</f>
        <v/>
      </c>
      <c r="X179" s="7">
        <f>IF(AND(B179="Fight boss",E179="OK"),IF((IF((((105/'Rules &amp; Formulas'!B10)*'Rules &amp; Formulas'!B11+IF(AD178&gt;=1,(MAX(1,ROUND('Rules &amp; Formulas'!B18*(1+0.3*AE178)*(1+0.4*AF178),0)))*(1000/'Rules &amp; Formulas'!B19)*MIN(0.95,'Rules &amp; Formulas'!B20*SQRT(1+0.55*(AG178&gt;=1))),0)))&lt;=0,9999,(IFERROR(VLOOKUP(C179,Monsters!$T$4:$AH$15,2,FALSE),0))/(((105/'Rules &amp; Formulas'!B10)*'Rules &amp; Formulas'!B11+IF(AD178&gt;=1,(MAX(1,ROUND('Rules &amp; Formulas'!B18*(1+0.3*AE178)*(1+0.4*AF178),0)))*(1000/'Rules &amp; Formulas'!B19)*MIN(0.95,'Rules &amp; Formulas'!B20*SQRT(1+0.55*(AG178&gt;=1))),0))))&lt;='Rules &amp; Formulas'!B12),"WIN","LOSE"),"")</f>
        <v/>
      </c>
      <c r="Y179" s="7">
        <f>IF(B179="Go AFK",MIN(IF(B179="Go AFK",IF(D179="",0,D179),0),Z178/60),"")</f>
        <v/>
      </c>
      <c r="Z179" s="7">
        <f>('Rules &amp; Formulas'!B13+30*AI179)</f>
        <v/>
      </c>
      <c r="AA179">
        <f>COUNTIFS($B$3:$B179,"Buy upgrade",$C$3:$C179,"Idle Power")</f>
        <v/>
      </c>
      <c r="AB179">
        <f>COUNTIFS($B$3:$B179,"Buy upgrade",$C$3:$C179,"Iron Blade")</f>
        <v/>
      </c>
      <c r="AC179">
        <f>COUNTIFS($B$3:$B179,"Buy upgrade",$C$3:$C179,"Steel Blade")</f>
        <v/>
      </c>
      <c r="AD179">
        <f>COUNTIFS($B$3:$B179,"Hire hunter",$C$3:$C179,"Briar")+COUNTIFS($B$3:$B179,"Buy upgrade",$C$3:$C179,"Hire Briar")</f>
        <v/>
      </c>
      <c r="AE179">
        <f>COUNTIFS($B$3:$B179,"Buy upgrade",$C$3:$C179,"Hunter Power")</f>
        <v/>
      </c>
      <c r="AF179">
        <f>COUNTIFS($B$3:$B179,"Buy upgrade",$C$3:$C179,"Bigger Hits")</f>
        <v/>
      </c>
      <c r="AG179">
        <f>COUNTIFS($B$3:$B179,"Buy upgrade",$C$3:$C179,"Swift Walk")</f>
        <v/>
      </c>
      <c r="AH179">
        <f>COUNTIFS($B$3:$B179,"Buy upgrade",$C$3:$C179,"Loot Luck")</f>
        <v/>
      </c>
      <c r="AI179">
        <f>COUNTIFS($B$3:$B179,"Buy upgrade",$C$3:$C179,"Offline Cap")</f>
        <v/>
      </c>
      <c r="AJ179">
        <f>COUNTIFS($B$3:$B179,"Buy upgrade",$C$3:$C179,"Bigger Food Stock")</f>
        <v/>
      </c>
      <c r="AK179">
        <f>COUNTIFS($B$3:$B179,"Buy upgrade",$C$3:$C179,"Food Efficiency")</f>
        <v/>
      </c>
    </row>
    <row r="180">
      <c r="A180" t="n">
        <v>178</v>
      </c>
      <c r="B180" s="6" t="n"/>
      <c r="C180" s="6" t="n"/>
      <c r="D180" s="6" t="n"/>
      <c r="E180" s="7">
        <f>IF(B180="","",IF(OR(B180="Hunt",B180="Go AFK"),IF(C180="","Can't","OK"),IF(B180="Fight boss",IF(I179&lt;IF((IFERROR(VLOOKUP(C180,Monsters!$T$4:$AH$15,15,FALSE),0))=0,120,IFERROR(VLOOKUP(C180,Monsters!$T$4:$AH$15,15,FALSE),0)),"Can't","OK"),IF(B180="Hire hunter",IF(AND(C180="Briar",AD179&gt;=1),"Can't",IF(H179&lt;IF(C180="Briar",140,IF(C180="Quill",3650,IF(C180="Moss",4850,IF(C180="Ember",12200,0)))),"Can't","OK")),IF(OR(B180="Buy upgrade",B180="Forge/Scrapwork buy"),IF(IFERROR(VLOOKUP(C180,Upgrades!$N$4:$T$47,2,FALSE),0)="points","Can't",IF(IFERROR(VLOOKUP(C180,Upgrades!$N$4:$T$47,2,FALSE),0)="gold",IF(H179&lt;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buy",$C$3:$C179,C180))),1),0),"Can't","OK"),IF(IFERROR(VLOOKUP(C180,Upgrades!$N$4:$T$47,2,FALSE),0)="scraps",IF(J179&lt;IFERROR(FLOOR(IFERROR(VLOOKUP(C180,Upgrades!$N$4:$T$47,3,FALSE),0)*(IFERROR(VLOOKUP(C180,Upgrades!$N$4:$T$47,4,FALSE),0)^(COUNTIFS($B$3:$B179,"Buy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buy",$C$3:$C179,C180))),1),0),"Can't","OK"),IF(IFERROR(VLOOKUP(C180,Upgrades!$N$4:$T$47,2,FALSE),0)="mats","Can't","OK")))),"Check")))))</f>
        <v/>
      </c>
      <c r="F180" s="7">
        <f>IF(B180="","",IF(AND(B180="Fight boss",I179&lt;IF((IFERROR(VLOOKUP(C180,Monsters!$T$4:$AH$15,15,FALSE),0))=0,120,IFERROR(VLOOKUP(C180,Monsters!$T$4:$AH$15,15,FALSE),0))),"Can't — need "&amp;TEXT(IF((IFERROR(VLOOKUP(C180,Monsters!$T$4:$AH$15,15,FALSE),0))=0,120,IFERROR(VLOOKUP(C180,Monsters!$T$4:$AH$15,15,FALSE),0))-I179,"0.0")&amp;" more Slayer points on the meter",IF(AND(B180="Hire hunter",C180="Briar",AD179&gt;=1),"Can't — already hired",IF(AND(B180="Hire hunter",H179&lt;IF(C180="Briar",140,IF(C180="Quill",3650,IF(C180="Moss",4850,IF(C180="Ember",12200,0))))),"Can't — need "&amp;TEXT(IF(C180="Briar",140,IF(C180="Quill",3650,IF(C180="Moss",4850,IF(C180="Ember",12200,0))))-H179,"0")&amp;" more gold",IF(AND(OR(B180="Buy upgrade",B180="Forge/Scrapwork buy"),IFERROR(VLOOKUP(C180,Upgrades!$N$4:$T$47,2,FALSE),0)="points"),"Can't — Sp-wallet spends not tracked here",IF(AND(OR(B180="Buy upgrade",B180="Forge/Scrapwork buy"),IFERROR(VLOOKUP(C180,Upgrades!$N$4:$T$47,2,FALSE),0)="gold",H179&lt;IFERROR(FLOOR(IFERROR(VLOOKUP(C180,Upgrades!$N$4:$T$47,3,FALSE),0)*(IFERROR(VLOOKUP(C180,Upgrades!$N$4:$T$47,4,FALSE),0)^(COUNTIFS($B$3:$B179,"Buy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buy",$C$3:$C179,C180))),1),0)),"Can't — need "&amp;TEXT(IFERROR(FLOOR(IFERROR(VLOOKUP(C180,Upgrades!$N$4:$T$47,3,FALSE),0)*(IFERROR(VLOOKUP(C180,Upgrades!$N$4:$T$47,4,FALSE),0)^(COUNTIFS($B$3:$B179,"Buy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buy",$C$3:$C179,C180))),1),0)-H179,"0")&amp;" more gold",IF(AND(OR(B180="Buy upgrade",B180="Forge/Scrapwork buy"),IFERROR(VLOOKUP(C180,Upgrades!$N$4:$T$47,2,FALSE),0)="scraps",J179&lt;IFERROR(FLOOR(IFERROR(VLOOKUP(C180,Upgrades!$N$4:$T$47,3,FALSE),0)*(IFERROR(VLOOKUP(C180,Upgrades!$N$4:$T$47,4,FALSE),0)^(COUNTIFS($B$3:$B179,"Buy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buy",$C$3:$C179,C180))),1),0)),"Can't — need "&amp;TEXT(IFERROR(FLOOR(IFERROR(VLOOKUP(C180,Upgrades!$N$4:$T$47,3,FALSE),0)*(IFERROR(VLOOKUP(C180,Upgrades!$N$4:$T$47,4,FALSE),0)^(COUNTIFS($B$3:$B179,"Buy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buy",$C$3:$C179,C180))),1),0)-J179,"0")&amp;" more scraps",IF(AND(B180="Fight boss",E180="OK",(IF((((105/'Rules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Formulas'!B12)),"WIN — boss down, next Level unlocks",IF(AND(B180="Fight boss",E180="OK"),"LOSE — TTK "&amp;TEXT(IF((((105/'Rules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Formulas'!B20*SQRT(1+0.55*(AG179&gt;=1))),0)))),"0")&amp;"s &gt; patience "&amp;TEXT('Rules &amp; Formulas'!B12,"0")&amp;"s (leave resets HP)",IF(B180="Go AFK","AFK resolved (see AFK counted h)","Applied")))))))))</f>
        <v/>
      </c>
      <c r="G180" s="7">
        <f>IF(AND((E180="OK"),B180="Fight boss",(IF((((105/'Rules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Formulas'!B12),C180="Elder Thornpelt"),2,IF(AND((E180="OK"),B180="Fight boss",(IF((((105/'Rules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Formulas'!B12),C180="Ashfang Alpha"),3,G179))</f>
        <v/>
      </c>
      <c r="H180" s="7">
        <f>MAX(0,H179+IF(AND((E180="OK"),B180="Hunt"),(IF(B180="Hunt",(('Rules &amp; Formulas'!B4*N179*('Rules &amp; Formulas'!B5+O179)*IFERROR(VLOOKUP(C180,Monsters!$T$4:$AH$15,10,FALSE),0)*IFERROR(VLOOKUP(C180,Monsters!$T$4:$AH$15,9,FALSE),0))*'Rules &amp; Formulas'!B6)*IF(D180="",0,D180),0))*(IFERROR(VLOOKUP(C180,Monsters!$T$4:$AH$15,3,FALSE),0))*(1+0.1*AH179)+(IF(OR(B180&lt;&gt;"Hunt",IFERROR(VLOOKUP(C180,Monsters!$T$4:$AH$15,6,FALSE),0)=0),0,FLOOR((IF(B180="Hunt",(('Rules &amp; Formulas'!B4*N179*('Rules &amp; Formulas'!B5+O179)*IFERROR(VLOOKUP(C180,Monsters!$T$4:$AH$15,10,FALSE),0)*IFERROR(VLOOKUP(C180,Monsters!$T$4:$AH$15,9,FALSE),0))*'Rules &amp; Formulas'!B6)*IF(D180="",0,D180),0))/MAX(1,IFERROR(VLOOKUP(C180,Monsters!$T$4:$AH$15,6,FALSE),0)),1)))*(IFERROR(VLOOKUP(C180,Monsters!$T$4:$AH$15,7,FALSE),0))*0.5*(1+0.1*AH179),0)+IF(AND((E180="OK"),B180="Go AFK"),(IF(B180="Go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AFK",IF(D180="",0,D180),0),Z179/60)*60)),0))*(IFERROR(VLOOKUP(C180,Monsters!$T$4:$AH$15,3,FALSE),0))*(1+0.1*AH179)+(IF(OR(B180&lt;&gt;"Go AFK",IFERROR(VLOOKUP(C180,Monsters!$T$4:$AH$15,6,FALSE),0)=0),0,FLOOR((IF(B180="Go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AFK",IF(D180="",0,D180),0),Z179/60)*60)),0))/MAX(1,IFERROR(VLOOKUP(C180,Monsters!$T$4:$AH$15,6,FALSE),0)),1)))*(IFERROR(VLOOKUP(C180,Monsters!$T$4:$AH$15,7,FALSE),0))*0.5*(1+0.1*AH179),0)+IF(AND((E180="OK"),B180="Fight boss",(IF((((105/'Rules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Formulas'!B12)),IFERROR(VLOOKUP(C180,Monsters!$T$4:$AH$15,3,FALSE),0),0)-IF(AND((E180="OK"),OR(B180="Buy upgrade",B180="Forge/Scrapwork buy"),IFERROR(VLOOKUP(C180,Upgrades!$N$4:$T$47,2,FALSE),0)="gold"),IFERROR(FLOOR(IFERROR(VLOOKUP(C180,Upgrades!$N$4:$T$47,3,FALSE),0)*(IFERROR(VLOOKUP(C180,Upgrades!$N$4:$T$47,4,FALSE),0)^(COUNTIFS($B$3:$B179,"Buy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buy",$C$3:$C179,C180))),1),0),0)-IF(AND((E180="OK"),B180="Hire hunter"),IF(C180="Briar",140,IF(C180="Quill",3650,IF(C180="Moss",4850,IF(C180="Ember",12200,0)))),0))</f>
        <v/>
      </c>
      <c r="I180" s="7">
        <f>IF(AND((E180="OK"),B180="Fight boss",(IF((((105/'Rules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Formulas'!B12)),0,MIN(IF(G179&lt;=1,120,IF(G179=2,280,600)),I179+IF(AND((E180="OK"),B180="Hunt"),((IF(B180="Hunt",(('Rules &amp; Formulas'!B4*N179*('Rules &amp; Formulas'!B5+O179)*IFERROR(VLOOKUP(C180,Monsters!$T$4:$AH$15,10,FALSE),0)*IFERROR(VLOOKUP(C180,Monsters!$T$4:$AH$15,9,FALSE),0))*'Rules &amp; Formulas'!B6)*IF(D180="",0,D180),0))*(IFERROR(VLOOKUP(C180,Monsters!$T$4:$AH$15,4,FALSE),0))+(IF(OR(B180&lt;&gt;"Hunt",IFERROR(VLOOKUP(C180,Monsters!$T$4:$AH$15,6,FALSE),0)=0),0,FLOOR((IF(B180="Hunt",(('Rules &amp; Formulas'!B4*N179*('Rules &amp; Formulas'!B5+O179)*IFERROR(VLOOKUP(C180,Monsters!$T$4:$AH$15,10,FALSE),0)*IFERROR(VLOOKUP(C180,Monsters!$T$4:$AH$15,9,FALSE),0))*'Rules &amp; Formulas'!B6)*IF(D180="",0,D180),0))/MAX(1,IFERROR(VLOOKUP(C180,Monsters!$T$4:$AH$15,6,FALSE),0)),1)))*(IFERROR(VLOOKUP(C180,Monsters!$T$4:$AH$15,7,FALSE),0))),0)+IF(AND((E180="OK"),B180="Go AFK"),((IF(B180="Go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AFK",IF(D180="",0,D180),0),Z179/60)*60)),0))*(IFERROR(VLOOKUP(C180,Monsters!$T$4:$AH$15,4,FALSE),0))+(IF(OR(B180&lt;&gt;"Go AFK",IFERROR(VLOOKUP(C180,Monsters!$T$4:$AH$15,6,FALSE),0)=0),0,FLOOR((IF(B180="Go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AFK",IF(D180="",0,D180),0),Z179/60)*60)),0))/MAX(1,IFERROR(VLOOKUP(C180,Monsters!$T$4:$AH$15,6,FALSE),0)),1)))*(IFERROR(VLOOKUP(C180,Monsters!$T$4:$AH$15,7,FALSE),0))),0)))</f>
        <v/>
      </c>
      <c r="J180" s="7">
        <f>MAX(0,J179+IF(AND((E180="OK"),B180="Hunt"),(IF(B180="Hunt",(('Rules &amp; Formulas'!B4*N179*('Rules &amp; Formulas'!B5+O179)*IFERROR(VLOOKUP(C180,Monsters!$T$4:$AH$15,10,FALSE),0)*IFERROR(VLOOKUP(C180,Monsters!$T$4:$AH$15,9,FALSE),0))*'Rules &amp; Formulas'!B6)*IF(D180="",0,D180),0))*(IFERROR(VLOOKUP(C180,Monsters!$T$4:$AH$15,5,FALSE),0)),0)+IF(AND((E180="OK"),B180="Go AFK"),(IF(B180="Go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AFK",IF(D180="",0,D180),0),Z179/60)*60)),0))*(IFERROR(VLOOKUP(C180,Monsters!$T$4:$AH$15,5,FALSE),0)),0)-IF(AND((E180="OK"),OR(B180="Buy upgrade",B180="Forge/Scrapwork buy"),IFERROR(VLOOKUP(C180,Upgrades!$N$4:$T$47,2,FALSE),0)="scraps"),IFERROR(FLOOR(IFERROR(VLOOKUP(C180,Upgrades!$N$4:$T$47,3,FALSE),0)*(IFERROR(VLOOKUP(C180,Upgrades!$N$4:$T$47,4,FALSE),0)^(COUNTIFS($B$3:$B179,"Buy upgrade",$C$3:$C179,C180)+COUNTIFS($B$3:$B179,"Hire hunter",$C$3:$C179,C180)+COUNTIFS($B$3:$B179,"Forge/Scrapwork buy",$C$3:$C179,C180))),1),0),0))</f>
        <v/>
      </c>
      <c r="K180" s="7">
        <f>MAX(0,K179+IF(AND((E180="OK"),B180="Hunt"),IF(C180="Thornpelt Bear",(IF(B180="Hunt",(('Rules &amp; Formulas'!B4*N179*('Rules &amp; Formulas'!B5+O179)*IFERROR(VLOOKUP(C180,Monsters!$T$4:$AH$15,10,FALSE),0)*IFERROR(VLOOKUP(C180,Monsters!$T$4:$AH$15,9,FALSE),0))*'Rules &amp; Formulas'!B6)*IF(D180="",0,D180),0))*0.12,0),0)+IF(AND((E180="OK"),B180="Go AFK"),IF(C180="Thornpelt Bear",(IF(B180="Go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AFK",IF(D180="",0,D180),0),Z179/60)*60)),0))*0.12,0),0))</f>
        <v/>
      </c>
      <c r="L180" s="7">
        <f>MAX(0,L179+IF(AND((E180="OK"),B180="Hunt"),IF(C180="Dire Thornpelt",(IF(B180="Hunt",(('Rules &amp; Formulas'!B4*N179*('Rules &amp; Formulas'!B5+O179)*IFERROR(VLOOKUP(C180,Monsters!$T$4:$AH$15,10,FALSE),0)*IFERROR(VLOOKUP(C180,Monsters!$T$4:$AH$15,9,FALSE),0))*'Rules &amp; Formulas'!B6)*IF(D180="",0,D180),0))*0.1,0),0)+IF(AND((E180="OK"),B180="Go AFK"),IF(C180="Dire Thornpelt",(IF(B180="Go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AFK",IF(D180="",0,D180),0),Z179/60)*60)),0))*0.1,0),0))</f>
        <v/>
      </c>
      <c r="M180" s="7">
        <f>IF(AND((E180="OK"),B180="Go AFK"),MAX(0,MIN(('Rules &amp; Formulas'!B15+25*AJ179),M179+('Rules &amp; Formulas'!B14+0.4*AJ179)*(MIN(IF(B180="Go AFK",IF(D180="",0,D180),0),Z179/60)*60))-(IF(B180="Go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AFK",IF(D180="",0,D180),0),Z179/60)*60)),0))*(IF((IFERROR(VLOOKUP(C180,Monsters!$T$4:$AH$15,8,FALSE),0))=0,0.35,IFERROR(VLOOKUP(C180,Monsters!$T$4:$AH$15,8,FALSE),0))/(1+0.08*AK179))),MIN(('Rules &amp; Formulas'!B15+25*AJ180),M179))</f>
        <v/>
      </c>
      <c r="N180" s="7">
        <f>(1+0.08+0.12*AA180+0.12*AB180+0.16*AC180)</f>
        <v/>
      </c>
      <c r="O180" s="7">
        <f>((AD180&gt;=1)*1*(1+0.3*AE180))</f>
        <v/>
      </c>
      <c r="P180" s="7">
        <f>IF(OR(B180="Hunt",B180="Go AFK"),(('Rules &amp; Formulas'!B4*N179*('Rules &amp; Formulas'!B5+O179)*IFERROR(VLOOKUP(C180,Monsters!$T$4:$AH$15,10,FALSE),0)*IFERROR(VLOOKUP(C180,Monsters!$T$4:$AH$15,9,FALSE),0))*'Rules &amp; Formulas'!B6),"")</f>
        <v/>
      </c>
      <c r="Q180" s="7">
        <f>IF(OR(B180="Hunt",B180="Go AFK"),('Rules &amp; Formulas'!B4*N179*('Rules &amp; Formulas'!B5+O179)*IFERROR(VLOOKUP(C180,Monsters!$T$4:$AH$15,10,FALSE),0)*IFERROR(VLOOKUP(C180,Monsters!$T$4:$AH$15,9,FALSE),0)),"")</f>
        <v/>
      </c>
      <c r="R180" s="7">
        <f>IF(AND((E180="OK"),B180="Hunt"),IF(B180="Hunt",(('Rules &amp; Formulas'!B4*N179*('Rules &amp; Formulas'!B5+O179)*IFERROR(VLOOKUP(C180,Monsters!$T$4:$AH$15,10,FALSE),0)*IFERROR(VLOOKUP(C180,Monsters!$T$4:$AH$15,9,FALSE),0))*'Rules &amp; Formulas'!B6)*IF(D180="",0,D180),0),IF(AND((E180="OK"),B180="Go AFK"),IF(B180="Go AFK",MIN(IF((IF((IFERROR(VLOOKUP(C180,Monsters!$T$4:$AH$15,8,FALSE),0))=0,0.35,IFERROR(VLOOKUP(C180,Monsters!$T$4:$AH$15,8,FALSE),0))/(1+0.08*AK179))&lt;=0,999999,FLOOR(MIN(('Rules &amp; Formulas'!B15+25*AJ179),M179+('Rules &amp; Formulas'!B14+0.4*AJ179)*(MIN(IF(B180="Go AFK",IF(D180="",0,D180),0),Z179/60)*60))/(IF((IFERROR(VLOOKUP(C180,Monsters!$T$4:$AH$15,8,FALSE),0))=0,0.35,IFERROR(VLOOKUP(C180,Monsters!$T$4:$AH$15,8,FALSE),0))/(1+0.08*AK179)),1)),('Rules &amp; Formulas'!B4*N179*('Rules &amp; Formulas'!B5+O179)*IFERROR(VLOOKUP(C180,Monsters!$T$4:$AH$15,10,FALSE),0)*IFERROR(VLOOKUP(C180,Monsters!$T$4:$AH$15,9,FALSE),0))*(MIN(IF(B180="Go AFK",IF(D180="",0,D180),0),Z179/60)*60)),0),0))</f>
        <v/>
      </c>
      <c r="S180" s="7">
        <f>(105/'Rules &amp; Formulas'!B10)*'Rules &amp; Formulas'!B11</f>
        <v/>
      </c>
      <c r="T180" s="7">
        <f>IF(AD179&gt;=1,(MAX(1,ROUND('Rules &amp; Formulas'!B18*(1+0.3*AE179)*(1+0.4*AF179),0)))*(1000/'Rules &amp; Formulas'!B19)*MIN(0.95,'Rules &amp; Formulas'!B20*SQRT(1+0.55*(AG179&gt;=1))),0)</f>
        <v/>
      </c>
      <c r="U180" s="7">
        <f>S180+T180</f>
        <v/>
      </c>
      <c r="V180" s="7">
        <f>IF(I179&gt;=IF((IFERROR(VLOOKUP(C180,Monsters!$T$4:$AH$15,15,FALSE),0))=0,120,IFERROR(VLOOKUP(C180,Monsters!$T$4:$AH$15,15,FALSE),0)),"YES","no")</f>
        <v/>
      </c>
      <c r="W180" s="7">
        <f>IF(AND(B180="Fight boss",E180="OK"),IF((((105/'Rules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Formulas'!B20*SQRT(1+0.55*(AG179&gt;=1))),0)))),"")</f>
        <v/>
      </c>
      <c r="X180" s="7">
        <f>IF(AND(B180="Fight boss",E180="OK"),IF((IF((((105/'Rules &amp; Formulas'!B10)*'Rules &amp; Formulas'!B11+IF(AD179&gt;=1,(MAX(1,ROUND('Rules &amp; Formulas'!B18*(1+0.3*AE179)*(1+0.4*AF179),0)))*(1000/'Rules &amp; Formulas'!B19)*MIN(0.95,'Rules &amp; Formulas'!B20*SQRT(1+0.55*(AG179&gt;=1))),0)))&lt;=0,9999,(IFERROR(VLOOKUP(C180,Monsters!$T$4:$AH$15,2,FALSE),0))/(((105/'Rules &amp; Formulas'!B10)*'Rules &amp; Formulas'!B11+IF(AD179&gt;=1,(MAX(1,ROUND('Rules &amp; Formulas'!B18*(1+0.3*AE179)*(1+0.4*AF179),0)))*(1000/'Rules &amp; Formulas'!B19)*MIN(0.95,'Rules &amp; Formulas'!B20*SQRT(1+0.55*(AG179&gt;=1))),0))))&lt;='Rules &amp; Formulas'!B12),"WIN","LOSE"),"")</f>
        <v/>
      </c>
      <c r="Y180" s="7">
        <f>IF(B180="Go AFK",MIN(IF(B180="Go AFK",IF(D180="",0,D180),0),Z179/60),"")</f>
        <v/>
      </c>
      <c r="Z180" s="7">
        <f>('Rules &amp; Formulas'!B13+30*AI180)</f>
        <v/>
      </c>
      <c r="AA180">
        <f>COUNTIFS($B$3:$B180,"Buy upgrade",$C$3:$C180,"Idle Power")</f>
        <v/>
      </c>
      <c r="AB180">
        <f>COUNTIFS($B$3:$B180,"Buy upgrade",$C$3:$C180,"Iron Blade")</f>
        <v/>
      </c>
      <c r="AC180">
        <f>COUNTIFS($B$3:$B180,"Buy upgrade",$C$3:$C180,"Steel Blade")</f>
        <v/>
      </c>
      <c r="AD180">
        <f>COUNTIFS($B$3:$B180,"Hire hunter",$C$3:$C180,"Briar")+COUNTIFS($B$3:$B180,"Buy upgrade",$C$3:$C180,"Hire Briar")</f>
        <v/>
      </c>
      <c r="AE180">
        <f>COUNTIFS($B$3:$B180,"Buy upgrade",$C$3:$C180,"Hunter Power")</f>
        <v/>
      </c>
      <c r="AF180">
        <f>COUNTIFS($B$3:$B180,"Buy upgrade",$C$3:$C180,"Bigger Hits")</f>
        <v/>
      </c>
      <c r="AG180">
        <f>COUNTIFS($B$3:$B180,"Buy upgrade",$C$3:$C180,"Swift Walk")</f>
        <v/>
      </c>
      <c r="AH180">
        <f>COUNTIFS($B$3:$B180,"Buy upgrade",$C$3:$C180,"Loot Luck")</f>
        <v/>
      </c>
      <c r="AI180">
        <f>COUNTIFS($B$3:$B180,"Buy upgrade",$C$3:$C180,"Offline Cap")</f>
        <v/>
      </c>
      <c r="AJ180">
        <f>COUNTIFS($B$3:$B180,"Buy upgrade",$C$3:$C180,"Bigger Food Stock")</f>
        <v/>
      </c>
      <c r="AK180">
        <f>COUNTIFS($B$3:$B180,"Buy upgrade",$C$3:$C180,"Food Efficiency")</f>
        <v/>
      </c>
    </row>
    <row r="181">
      <c r="A181" t="n">
        <v>179</v>
      </c>
      <c r="B181" s="6" t="n"/>
      <c r="C181" s="6" t="n"/>
      <c r="D181" s="6" t="n"/>
      <c r="E181" s="7">
        <f>IF(B181="","",IF(OR(B181="Hunt",B181="Go AFK"),IF(C181="","Can't","OK"),IF(B181="Fight boss",IF(I180&lt;IF((IFERROR(VLOOKUP(C181,Monsters!$T$4:$AH$15,15,FALSE),0))=0,120,IFERROR(VLOOKUP(C181,Monsters!$T$4:$AH$15,15,FALSE),0)),"Can't","OK"),IF(B181="Hire hunter",IF(AND(C181="Briar",AD180&gt;=1),"Can't",IF(H180&lt;IF(C181="Briar",140,IF(C181="Quill",3650,IF(C181="Moss",4850,IF(C181="Ember",12200,0)))),"Can't","OK")),IF(OR(B181="Buy upgrade",B181="Forge/Scrapwork buy"),IF(IFERROR(VLOOKUP(C181,Upgrades!$N$4:$T$47,2,FALSE),0)="points","Can't",IF(IFERROR(VLOOKUP(C181,Upgrades!$N$4:$T$47,2,FALSE),0)="gold",IF(H180&lt;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buy",$C$3:$C180,C181))),1),0),"Can't","OK"),IF(IFERROR(VLOOKUP(C181,Upgrades!$N$4:$T$47,2,FALSE),0)="scraps",IF(J180&lt;IFERROR(FLOOR(IFERROR(VLOOKUP(C181,Upgrades!$N$4:$T$47,3,FALSE),0)*(IFERROR(VLOOKUP(C181,Upgrades!$N$4:$T$47,4,FALSE),0)^(COUNTIFS($B$3:$B180,"Buy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buy",$C$3:$C180,C181))),1),0),"Can't","OK"),IF(IFERROR(VLOOKUP(C181,Upgrades!$N$4:$T$47,2,FALSE),0)="mats","Can't","OK")))),"Check")))))</f>
        <v/>
      </c>
      <c r="F181" s="7">
        <f>IF(B181="","",IF(AND(B181="Fight boss",I180&lt;IF((IFERROR(VLOOKUP(C181,Monsters!$T$4:$AH$15,15,FALSE),0))=0,120,IFERROR(VLOOKUP(C181,Monsters!$T$4:$AH$15,15,FALSE),0))),"Can't — need "&amp;TEXT(IF((IFERROR(VLOOKUP(C181,Monsters!$T$4:$AH$15,15,FALSE),0))=0,120,IFERROR(VLOOKUP(C181,Monsters!$T$4:$AH$15,15,FALSE),0))-I180,"0.0")&amp;" more Slayer points on the meter",IF(AND(B181="Hire hunter",C181="Briar",AD180&gt;=1),"Can't — already hired",IF(AND(B181="Hire hunter",H180&lt;IF(C181="Briar",140,IF(C181="Quill",3650,IF(C181="Moss",4850,IF(C181="Ember",12200,0))))),"Can't — need "&amp;TEXT(IF(C181="Briar",140,IF(C181="Quill",3650,IF(C181="Moss",4850,IF(C181="Ember",12200,0))))-H180,"0")&amp;" more gold",IF(AND(OR(B181="Buy upgrade",B181="Forge/Scrapwork buy"),IFERROR(VLOOKUP(C181,Upgrades!$N$4:$T$47,2,FALSE),0)="points"),"Can't — Sp-wallet spends not tracked here",IF(AND(OR(B181="Buy upgrade",B181="Forge/Scrapwork buy"),IFERROR(VLOOKUP(C181,Upgrades!$N$4:$T$47,2,FALSE),0)="gold",H180&lt;IFERROR(FLOOR(IFERROR(VLOOKUP(C181,Upgrades!$N$4:$T$47,3,FALSE),0)*(IFERROR(VLOOKUP(C181,Upgrades!$N$4:$T$47,4,FALSE),0)^(COUNTIFS($B$3:$B180,"Buy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buy",$C$3:$C180,C181))),1),0)),"Can't — need "&amp;TEXT(IFERROR(FLOOR(IFERROR(VLOOKUP(C181,Upgrades!$N$4:$T$47,3,FALSE),0)*(IFERROR(VLOOKUP(C181,Upgrades!$N$4:$T$47,4,FALSE),0)^(COUNTIFS($B$3:$B180,"Buy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buy",$C$3:$C180,C181))),1),0)-H180,"0")&amp;" more gold",IF(AND(OR(B181="Buy upgrade",B181="Forge/Scrapwork buy"),IFERROR(VLOOKUP(C181,Upgrades!$N$4:$T$47,2,FALSE),0)="scraps",J180&lt;IFERROR(FLOOR(IFERROR(VLOOKUP(C181,Upgrades!$N$4:$T$47,3,FALSE),0)*(IFERROR(VLOOKUP(C181,Upgrades!$N$4:$T$47,4,FALSE),0)^(COUNTIFS($B$3:$B180,"Buy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buy",$C$3:$C180,C181))),1),0)),"Can't — need "&amp;TEXT(IFERROR(FLOOR(IFERROR(VLOOKUP(C181,Upgrades!$N$4:$T$47,3,FALSE),0)*(IFERROR(VLOOKUP(C181,Upgrades!$N$4:$T$47,4,FALSE),0)^(COUNTIFS($B$3:$B180,"Buy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buy",$C$3:$C180,C181))),1),0)-J180,"0")&amp;" more scraps",IF(AND(B181="Fight boss",E181="OK",(IF((((105/'Rules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Formulas'!B12)),"WIN — boss down, next Level unlocks",IF(AND(B181="Fight boss",E181="OK"),"LOSE — TTK "&amp;TEXT(IF((((105/'Rules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Formulas'!B20*SQRT(1+0.55*(AG180&gt;=1))),0)))),"0")&amp;"s &gt; patience "&amp;TEXT('Rules &amp; Formulas'!B12,"0")&amp;"s (leave resets HP)",IF(B181="Go AFK","AFK resolved (see AFK counted h)","Applied")))))))))</f>
        <v/>
      </c>
      <c r="G181" s="7">
        <f>IF(AND((E181="OK"),B181="Fight boss",(IF((((105/'Rules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Formulas'!B12),C181="Elder Thornpelt"),2,IF(AND((E181="OK"),B181="Fight boss",(IF((((105/'Rules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Formulas'!B12),C181="Ashfang Alpha"),3,G180))</f>
        <v/>
      </c>
      <c r="H181" s="7">
        <f>MAX(0,H180+IF(AND((E181="OK"),B181="Hunt"),(IF(B181="Hunt",(('Rules &amp; Formulas'!B4*N180*('Rules &amp; Formulas'!B5+O180)*IFERROR(VLOOKUP(C181,Monsters!$T$4:$AH$15,10,FALSE),0)*IFERROR(VLOOKUP(C181,Monsters!$T$4:$AH$15,9,FALSE),0))*'Rules &amp; Formulas'!B6)*IF(D181="",0,D181),0))*(IFERROR(VLOOKUP(C181,Monsters!$T$4:$AH$15,3,FALSE),0))*(1+0.1*AH180)+(IF(OR(B181&lt;&gt;"Hunt",IFERROR(VLOOKUP(C181,Monsters!$T$4:$AH$15,6,FALSE),0)=0),0,FLOOR((IF(B181="Hunt",(('Rules &amp; Formulas'!B4*N180*('Rules &amp; Formulas'!B5+O180)*IFERROR(VLOOKUP(C181,Monsters!$T$4:$AH$15,10,FALSE),0)*IFERROR(VLOOKUP(C181,Monsters!$T$4:$AH$15,9,FALSE),0))*'Rules &amp; Formulas'!B6)*IF(D181="",0,D181),0))/MAX(1,IFERROR(VLOOKUP(C181,Monsters!$T$4:$AH$15,6,FALSE),0)),1)))*(IFERROR(VLOOKUP(C181,Monsters!$T$4:$AH$15,7,FALSE),0))*0.5*(1+0.1*AH180),0)+IF(AND((E181="OK"),B181="Go AFK"),(IF(B181="Go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AFK",IF(D181="",0,D181),0),Z180/60)*60)),0))*(IFERROR(VLOOKUP(C181,Monsters!$T$4:$AH$15,3,FALSE),0))*(1+0.1*AH180)+(IF(OR(B181&lt;&gt;"Go AFK",IFERROR(VLOOKUP(C181,Monsters!$T$4:$AH$15,6,FALSE),0)=0),0,FLOOR((IF(B181="Go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AFK",IF(D181="",0,D181),0),Z180/60)*60)),0))/MAX(1,IFERROR(VLOOKUP(C181,Monsters!$T$4:$AH$15,6,FALSE),0)),1)))*(IFERROR(VLOOKUP(C181,Monsters!$T$4:$AH$15,7,FALSE),0))*0.5*(1+0.1*AH180),0)+IF(AND((E181="OK"),B181="Fight boss",(IF((((105/'Rules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Formulas'!B12)),IFERROR(VLOOKUP(C181,Monsters!$T$4:$AH$15,3,FALSE),0),0)-IF(AND((E181="OK"),OR(B181="Buy upgrade",B181="Forge/Scrapwork buy"),IFERROR(VLOOKUP(C181,Upgrades!$N$4:$T$47,2,FALSE),0)="gold"),IFERROR(FLOOR(IFERROR(VLOOKUP(C181,Upgrades!$N$4:$T$47,3,FALSE),0)*(IFERROR(VLOOKUP(C181,Upgrades!$N$4:$T$47,4,FALSE),0)^(COUNTIFS($B$3:$B180,"Buy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buy",$C$3:$C180,C181))),1),0),0)-IF(AND((E181="OK"),B181="Hire hunter"),IF(C181="Briar",140,IF(C181="Quill",3650,IF(C181="Moss",4850,IF(C181="Ember",12200,0)))),0))</f>
        <v/>
      </c>
      <c r="I181" s="7">
        <f>IF(AND((E181="OK"),B181="Fight boss",(IF((((105/'Rules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Formulas'!B12)),0,MIN(IF(G180&lt;=1,120,IF(G180=2,280,600)),I180+IF(AND((E181="OK"),B181="Hunt"),((IF(B181="Hunt",(('Rules &amp; Formulas'!B4*N180*('Rules &amp; Formulas'!B5+O180)*IFERROR(VLOOKUP(C181,Monsters!$T$4:$AH$15,10,FALSE),0)*IFERROR(VLOOKUP(C181,Monsters!$T$4:$AH$15,9,FALSE),0))*'Rules &amp; Formulas'!B6)*IF(D181="",0,D181),0))*(IFERROR(VLOOKUP(C181,Monsters!$T$4:$AH$15,4,FALSE),0))+(IF(OR(B181&lt;&gt;"Hunt",IFERROR(VLOOKUP(C181,Monsters!$T$4:$AH$15,6,FALSE),0)=0),0,FLOOR((IF(B181="Hunt",(('Rules &amp; Formulas'!B4*N180*('Rules &amp; Formulas'!B5+O180)*IFERROR(VLOOKUP(C181,Monsters!$T$4:$AH$15,10,FALSE),0)*IFERROR(VLOOKUP(C181,Monsters!$T$4:$AH$15,9,FALSE),0))*'Rules &amp; Formulas'!B6)*IF(D181="",0,D181),0))/MAX(1,IFERROR(VLOOKUP(C181,Monsters!$T$4:$AH$15,6,FALSE),0)),1)))*(IFERROR(VLOOKUP(C181,Monsters!$T$4:$AH$15,7,FALSE),0))),0)+IF(AND((E181="OK"),B181="Go AFK"),((IF(B181="Go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AFK",IF(D181="",0,D181),0),Z180/60)*60)),0))*(IFERROR(VLOOKUP(C181,Monsters!$T$4:$AH$15,4,FALSE),0))+(IF(OR(B181&lt;&gt;"Go AFK",IFERROR(VLOOKUP(C181,Monsters!$T$4:$AH$15,6,FALSE),0)=0),0,FLOOR((IF(B181="Go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AFK",IF(D181="",0,D181),0),Z180/60)*60)),0))/MAX(1,IFERROR(VLOOKUP(C181,Monsters!$T$4:$AH$15,6,FALSE),0)),1)))*(IFERROR(VLOOKUP(C181,Monsters!$T$4:$AH$15,7,FALSE),0))),0)))</f>
        <v/>
      </c>
      <c r="J181" s="7">
        <f>MAX(0,J180+IF(AND((E181="OK"),B181="Hunt"),(IF(B181="Hunt",(('Rules &amp; Formulas'!B4*N180*('Rules &amp; Formulas'!B5+O180)*IFERROR(VLOOKUP(C181,Monsters!$T$4:$AH$15,10,FALSE),0)*IFERROR(VLOOKUP(C181,Monsters!$T$4:$AH$15,9,FALSE),0))*'Rules &amp; Formulas'!B6)*IF(D181="",0,D181),0))*(IFERROR(VLOOKUP(C181,Monsters!$T$4:$AH$15,5,FALSE),0)),0)+IF(AND((E181="OK"),B181="Go AFK"),(IF(B181="Go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AFK",IF(D181="",0,D181),0),Z180/60)*60)),0))*(IFERROR(VLOOKUP(C181,Monsters!$T$4:$AH$15,5,FALSE),0)),0)-IF(AND((E181="OK"),OR(B181="Buy upgrade",B181="Forge/Scrapwork buy"),IFERROR(VLOOKUP(C181,Upgrades!$N$4:$T$47,2,FALSE),0)="scraps"),IFERROR(FLOOR(IFERROR(VLOOKUP(C181,Upgrades!$N$4:$T$47,3,FALSE),0)*(IFERROR(VLOOKUP(C181,Upgrades!$N$4:$T$47,4,FALSE),0)^(COUNTIFS($B$3:$B180,"Buy upgrade",$C$3:$C180,C181)+COUNTIFS($B$3:$B180,"Hire hunter",$C$3:$C180,C181)+COUNTIFS($B$3:$B180,"Forge/Scrapwork buy",$C$3:$C180,C181))),1),0),0))</f>
        <v/>
      </c>
      <c r="K181" s="7">
        <f>MAX(0,K180+IF(AND((E181="OK"),B181="Hunt"),IF(C181="Thornpelt Bear",(IF(B181="Hunt",(('Rules &amp; Formulas'!B4*N180*('Rules &amp; Formulas'!B5+O180)*IFERROR(VLOOKUP(C181,Monsters!$T$4:$AH$15,10,FALSE),0)*IFERROR(VLOOKUP(C181,Monsters!$T$4:$AH$15,9,FALSE),0))*'Rules &amp; Formulas'!B6)*IF(D181="",0,D181),0))*0.12,0),0)+IF(AND((E181="OK"),B181="Go AFK"),IF(C181="Thornpelt Bear",(IF(B181="Go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AFK",IF(D181="",0,D181),0),Z180/60)*60)),0))*0.12,0),0))</f>
        <v/>
      </c>
      <c r="L181" s="7">
        <f>MAX(0,L180+IF(AND((E181="OK"),B181="Hunt"),IF(C181="Dire Thornpelt",(IF(B181="Hunt",(('Rules &amp; Formulas'!B4*N180*('Rules &amp; Formulas'!B5+O180)*IFERROR(VLOOKUP(C181,Monsters!$T$4:$AH$15,10,FALSE),0)*IFERROR(VLOOKUP(C181,Monsters!$T$4:$AH$15,9,FALSE),0))*'Rules &amp; Formulas'!B6)*IF(D181="",0,D181),0))*0.1,0),0)+IF(AND((E181="OK"),B181="Go AFK"),IF(C181="Dire Thornpelt",(IF(B181="Go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AFK",IF(D181="",0,D181),0),Z180/60)*60)),0))*0.1,0),0))</f>
        <v/>
      </c>
      <c r="M181" s="7">
        <f>IF(AND((E181="OK"),B181="Go AFK"),MAX(0,MIN(('Rules &amp; Formulas'!B15+25*AJ180),M180+('Rules &amp; Formulas'!B14+0.4*AJ180)*(MIN(IF(B181="Go AFK",IF(D181="",0,D181),0),Z180/60)*60))-(IF(B181="Go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AFK",IF(D181="",0,D181),0),Z180/60)*60)),0))*(IF((IFERROR(VLOOKUP(C181,Monsters!$T$4:$AH$15,8,FALSE),0))=0,0.35,IFERROR(VLOOKUP(C181,Monsters!$T$4:$AH$15,8,FALSE),0))/(1+0.08*AK180))),MIN(('Rules &amp; Formulas'!B15+25*AJ181),M180))</f>
        <v/>
      </c>
      <c r="N181" s="7">
        <f>(1+0.08+0.12*AA181+0.12*AB181+0.16*AC181)</f>
        <v/>
      </c>
      <c r="O181" s="7">
        <f>((AD181&gt;=1)*1*(1+0.3*AE181))</f>
        <v/>
      </c>
      <c r="P181" s="7">
        <f>IF(OR(B181="Hunt",B181="Go AFK"),(('Rules &amp; Formulas'!B4*N180*('Rules &amp; Formulas'!B5+O180)*IFERROR(VLOOKUP(C181,Monsters!$T$4:$AH$15,10,FALSE),0)*IFERROR(VLOOKUP(C181,Monsters!$T$4:$AH$15,9,FALSE),0))*'Rules &amp; Formulas'!B6),"")</f>
        <v/>
      </c>
      <c r="Q181" s="7">
        <f>IF(OR(B181="Hunt",B181="Go AFK"),('Rules &amp; Formulas'!B4*N180*('Rules &amp; Formulas'!B5+O180)*IFERROR(VLOOKUP(C181,Monsters!$T$4:$AH$15,10,FALSE),0)*IFERROR(VLOOKUP(C181,Monsters!$T$4:$AH$15,9,FALSE),0)),"")</f>
        <v/>
      </c>
      <c r="R181" s="7">
        <f>IF(AND((E181="OK"),B181="Hunt"),IF(B181="Hunt",(('Rules &amp; Formulas'!B4*N180*('Rules &amp; Formulas'!B5+O180)*IFERROR(VLOOKUP(C181,Monsters!$T$4:$AH$15,10,FALSE),0)*IFERROR(VLOOKUP(C181,Monsters!$T$4:$AH$15,9,FALSE),0))*'Rules &amp; Formulas'!B6)*IF(D181="",0,D181),0),IF(AND((E181="OK"),B181="Go AFK"),IF(B181="Go AFK",MIN(IF((IF((IFERROR(VLOOKUP(C181,Monsters!$T$4:$AH$15,8,FALSE),0))=0,0.35,IFERROR(VLOOKUP(C181,Monsters!$T$4:$AH$15,8,FALSE),0))/(1+0.08*AK180))&lt;=0,999999,FLOOR(MIN(('Rules &amp; Formulas'!B15+25*AJ180),M180+('Rules &amp; Formulas'!B14+0.4*AJ180)*(MIN(IF(B181="Go AFK",IF(D181="",0,D181),0),Z180/60)*60))/(IF((IFERROR(VLOOKUP(C181,Monsters!$T$4:$AH$15,8,FALSE),0))=0,0.35,IFERROR(VLOOKUP(C181,Monsters!$T$4:$AH$15,8,FALSE),0))/(1+0.08*AK180)),1)),('Rules &amp; Formulas'!B4*N180*('Rules &amp; Formulas'!B5+O180)*IFERROR(VLOOKUP(C181,Monsters!$T$4:$AH$15,10,FALSE),0)*IFERROR(VLOOKUP(C181,Monsters!$T$4:$AH$15,9,FALSE),0))*(MIN(IF(B181="Go AFK",IF(D181="",0,D181),0),Z180/60)*60)),0),0))</f>
        <v/>
      </c>
      <c r="S181" s="7">
        <f>(105/'Rules &amp; Formulas'!B10)*'Rules &amp; Formulas'!B11</f>
        <v/>
      </c>
      <c r="T181" s="7">
        <f>IF(AD180&gt;=1,(MAX(1,ROUND('Rules &amp; Formulas'!B18*(1+0.3*AE180)*(1+0.4*AF180),0)))*(1000/'Rules &amp; Formulas'!B19)*MIN(0.95,'Rules &amp; Formulas'!B20*SQRT(1+0.55*(AG180&gt;=1))),0)</f>
        <v/>
      </c>
      <c r="U181" s="7">
        <f>S181+T181</f>
        <v/>
      </c>
      <c r="V181" s="7">
        <f>IF(I180&gt;=IF((IFERROR(VLOOKUP(C181,Monsters!$T$4:$AH$15,15,FALSE),0))=0,120,IFERROR(VLOOKUP(C181,Monsters!$T$4:$AH$15,15,FALSE),0)),"YES","no")</f>
        <v/>
      </c>
      <c r="W181" s="7">
        <f>IF(AND(B181="Fight boss",E181="OK"),IF((((105/'Rules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Formulas'!B20*SQRT(1+0.55*(AG180&gt;=1))),0)))),"")</f>
        <v/>
      </c>
      <c r="X181" s="7">
        <f>IF(AND(B181="Fight boss",E181="OK"),IF((IF((((105/'Rules &amp; Formulas'!B10)*'Rules &amp; Formulas'!B11+IF(AD180&gt;=1,(MAX(1,ROUND('Rules &amp; Formulas'!B18*(1+0.3*AE180)*(1+0.4*AF180),0)))*(1000/'Rules &amp; Formulas'!B19)*MIN(0.95,'Rules &amp; Formulas'!B20*SQRT(1+0.55*(AG180&gt;=1))),0)))&lt;=0,9999,(IFERROR(VLOOKUP(C181,Monsters!$T$4:$AH$15,2,FALSE),0))/(((105/'Rules &amp; Formulas'!B10)*'Rules &amp; Formulas'!B11+IF(AD180&gt;=1,(MAX(1,ROUND('Rules &amp; Formulas'!B18*(1+0.3*AE180)*(1+0.4*AF180),0)))*(1000/'Rules &amp; Formulas'!B19)*MIN(0.95,'Rules &amp; Formulas'!B20*SQRT(1+0.55*(AG180&gt;=1))),0))))&lt;='Rules &amp; Formulas'!B12),"WIN","LOSE"),"")</f>
        <v/>
      </c>
      <c r="Y181" s="7">
        <f>IF(B181="Go AFK",MIN(IF(B181="Go AFK",IF(D181="",0,D181),0),Z180/60),"")</f>
        <v/>
      </c>
      <c r="Z181" s="7">
        <f>('Rules &amp; Formulas'!B13+30*AI181)</f>
        <v/>
      </c>
      <c r="AA181">
        <f>COUNTIFS($B$3:$B181,"Buy upgrade",$C$3:$C181,"Idle Power")</f>
        <v/>
      </c>
      <c r="AB181">
        <f>COUNTIFS($B$3:$B181,"Buy upgrade",$C$3:$C181,"Iron Blade")</f>
        <v/>
      </c>
      <c r="AC181">
        <f>COUNTIFS($B$3:$B181,"Buy upgrade",$C$3:$C181,"Steel Blade")</f>
        <v/>
      </c>
      <c r="AD181">
        <f>COUNTIFS($B$3:$B181,"Hire hunter",$C$3:$C181,"Briar")+COUNTIFS($B$3:$B181,"Buy upgrade",$C$3:$C181,"Hire Briar")</f>
        <v/>
      </c>
      <c r="AE181">
        <f>COUNTIFS($B$3:$B181,"Buy upgrade",$C$3:$C181,"Hunter Power")</f>
        <v/>
      </c>
      <c r="AF181">
        <f>COUNTIFS($B$3:$B181,"Buy upgrade",$C$3:$C181,"Bigger Hits")</f>
        <v/>
      </c>
      <c r="AG181">
        <f>COUNTIFS($B$3:$B181,"Buy upgrade",$C$3:$C181,"Swift Walk")</f>
        <v/>
      </c>
      <c r="AH181">
        <f>COUNTIFS($B$3:$B181,"Buy upgrade",$C$3:$C181,"Loot Luck")</f>
        <v/>
      </c>
      <c r="AI181">
        <f>COUNTIFS($B$3:$B181,"Buy upgrade",$C$3:$C181,"Offline Cap")</f>
        <v/>
      </c>
      <c r="AJ181">
        <f>COUNTIFS($B$3:$B181,"Buy upgrade",$C$3:$C181,"Bigger Food Stock")</f>
        <v/>
      </c>
      <c r="AK181">
        <f>COUNTIFS($B$3:$B181,"Buy upgrade",$C$3:$C181,"Food Efficiency")</f>
        <v/>
      </c>
    </row>
    <row r="182">
      <c r="A182" t="n">
        <v>180</v>
      </c>
      <c r="B182" s="6" t="n"/>
      <c r="C182" s="6" t="n"/>
      <c r="D182" s="6" t="n"/>
      <c r="E182" s="7">
        <f>IF(B182="","",IF(OR(B182="Hunt",B182="Go AFK"),IF(C182="","Can't","OK"),IF(B182="Fight boss",IF(I181&lt;IF((IFERROR(VLOOKUP(C182,Monsters!$T$4:$AH$15,15,FALSE),0))=0,120,IFERROR(VLOOKUP(C182,Monsters!$T$4:$AH$15,15,FALSE),0)),"Can't","OK"),IF(B182="Hire hunter",IF(AND(C182="Briar",AD181&gt;=1),"Can't",IF(H181&lt;IF(C182="Briar",140,IF(C182="Quill",3650,IF(C182="Moss",4850,IF(C182="Ember",12200,0)))),"Can't","OK")),IF(OR(B182="Buy upgrade",B182="Forge/Scrapwork buy"),IF(IFERROR(VLOOKUP(C182,Upgrades!$N$4:$T$47,2,FALSE),0)="points","Can't",IF(IFERROR(VLOOKUP(C182,Upgrades!$N$4:$T$47,2,FALSE),0)="gold",IF(H181&lt;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buy",$C$3:$C181,C182))),1),0),"Can't","OK"),IF(IFERROR(VLOOKUP(C182,Upgrades!$N$4:$T$47,2,FALSE),0)="scraps",IF(J181&lt;IFERROR(FLOOR(IFERROR(VLOOKUP(C182,Upgrades!$N$4:$T$47,3,FALSE),0)*(IFERROR(VLOOKUP(C182,Upgrades!$N$4:$T$47,4,FALSE),0)^(COUNTIFS($B$3:$B181,"Buy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buy",$C$3:$C181,C182))),1),0),"Can't","OK"),IF(IFERROR(VLOOKUP(C182,Upgrades!$N$4:$T$47,2,FALSE),0)="mats","Can't","OK")))),"Check")))))</f>
        <v/>
      </c>
      <c r="F182" s="7">
        <f>IF(B182="","",IF(AND(B182="Fight boss",I181&lt;IF((IFERROR(VLOOKUP(C182,Monsters!$T$4:$AH$15,15,FALSE),0))=0,120,IFERROR(VLOOKUP(C182,Monsters!$T$4:$AH$15,15,FALSE),0))),"Can't — need "&amp;TEXT(IF((IFERROR(VLOOKUP(C182,Monsters!$T$4:$AH$15,15,FALSE),0))=0,120,IFERROR(VLOOKUP(C182,Monsters!$T$4:$AH$15,15,FALSE),0))-I181,"0.0")&amp;" more Slayer points on the meter",IF(AND(B182="Hire hunter",C182="Briar",AD181&gt;=1),"Can't — already hired",IF(AND(B182="Hire hunter",H181&lt;IF(C182="Briar",140,IF(C182="Quill",3650,IF(C182="Moss",4850,IF(C182="Ember",12200,0))))),"Can't — need "&amp;TEXT(IF(C182="Briar",140,IF(C182="Quill",3650,IF(C182="Moss",4850,IF(C182="Ember",12200,0))))-H181,"0")&amp;" more gold",IF(AND(OR(B182="Buy upgrade",B182="Forge/Scrapwork buy"),IFERROR(VLOOKUP(C182,Upgrades!$N$4:$T$47,2,FALSE),0)="points"),"Can't — Sp-wallet spends not tracked here",IF(AND(OR(B182="Buy upgrade",B182="Forge/Scrapwork buy"),IFERROR(VLOOKUP(C182,Upgrades!$N$4:$T$47,2,FALSE),0)="gold",H181&lt;IFERROR(FLOOR(IFERROR(VLOOKUP(C182,Upgrades!$N$4:$T$47,3,FALSE),0)*(IFERROR(VLOOKUP(C182,Upgrades!$N$4:$T$47,4,FALSE),0)^(COUNTIFS($B$3:$B181,"Buy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buy",$C$3:$C181,C182))),1),0)),"Can't — need "&amp;TEXT(IFERROR(FLOOR(IFERROR(VLOOKUP(C182,Upgrades!$N$4:$T$47,3,FALSE),0)*(IFERROR(VLOOKUP(C182,Upgrades!$N$4:$T$47,4,FALSE),0)^(COUNTIFS($B$3:$B181,"Buy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buy",$C$3:$C181,C182))),1),0)-H181,"0")&amp;" more gold",IF(AND(OR(B182="Buy upgrade",B182="Forge/Scrapwork buy"),IFERROR(VLOOKUP(C182,Upgrades!$N$4:$T$47,2,FALSE),0)="scraps",J181&lt;IFERROR(FLOOR(IFERROR(VLOOKUP(C182,Upgrades!$N$4:$T$47,3,FALSE),0)*(IFERROR(VLOOKUP(C182,Upgrades!$N$4:$T$47,4,FALSE),0)^(COUNTIFS($B$3:$B181,"Buy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buy",$C$3:$C181,C182))),1),0)),"Can't — need "&amp;TEXT(IFERROR(FLOOR(IFERROR(VLOOKUP(C182,Upgrades!$N$4:$T$47,3,FALSE),0)*(IFERROR(VLOOKUP(C182,Upgrades!$N$4:$T$47,4,FALSE),0)^(COUNTIFS($B$3:$B181,"Buy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buy",$C$3:$C181,C182))),1),0)-J181,"0")&amp;" more scraps",IF(AND(B182="Fight boss",E182="OK",(IF((((105/'Rules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Formulas'!B12)),"WIN — boss down, next Level unlocks",IF(AND(B182="Fight boss",E182="OK"),"LOSE — TTK "&amp;TEXT(IF((((105/'Rules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Formulas'!B20*SQRT(1+0.55*(AG181&gt;=1))),0)))),"0")&amp;"s &gt; patience "&amp;TEXT('Rules &amp; Formulas'!B12,"0")&amp;"s (leave resets HP)",IF(B182="Go AFK","AFK resolved (see AFK counted h)","Applied")))))))))</f>
        <v/>
      </c>
      <c r="G182" s="7">
        <f>IF(AND((E182="OK"),B182="Fight boss",(IF((((105/'Rules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Formulas'!B12),C182="Elder Thornpelt"),2,IF(AND((E182="OK"),B182="Fight boss",(IF((((105/'Rules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Formulas'!B12),C182="Ashfang Alpha"),3,G181))</f>
        <v/>
      </c>
      <c r="H182" s="7">
        <f>MAX(0,H181+IF(AND((E182="OK"),B182="Hunt"),(IF(B182="Hunt",(('Rules &amp; Formulas'!B4*N181*('Rules &amp; Formulas'!B5+O181)*IFERROR(VLOOKUP(C182,Monsters!$T$4:$AH$15,10,FALSE),0)*IFERROR(VLOOKUP(C182,Monsters!$T$4:$AH$15,9,FALSE),0))*'Rules &amp; Formulas'!B6)*IF(D182="",0,D182),0))*(IFERROR(VLOOKUP(C182,Monsters!$T$4:$AH$15,3,FALSE),0))*(1+0.1*AH181)+(IF(OR(B182&lt;&gt;"Hunt",IFERROR(VLOOKUP(C182,Monsters!$T$4:$AH$15,6,FALSE),0)=0),0,FLOOR((IF(B182="Hunt",(('Rules &amp; Formulas'!B4*N181*('Rules &amp; Formulas'!B5+O181)*IFERROR(VLOOKUP(C182,Monsters!$T$4:$AH$15,10,FALSE),0)*IFERROR(VLOOKUP(C182,Monsters!$T$4:$AH$15,9,FALSE),0))*'Rules &amp; Formulas'!B6)*IF(D182="",0,D182),0))/MAX(1,IFERROR(VLOOKUP(C182,Monsters!$T$4:$AH$15,6,FALSE),0)),1)))*(IFERROR(VLOOKUP(C182,Monsters!$T$4:$AH$15,7,FALSE),0))*0.5*(1+0.1*AH181),0)+IF(AND((E182="OK"),B182="Go AFK"),(IF(B182="Go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AFK",IF(D182="",0,D182),0),Z181/60)*60)),0))*(IFERROR(VLOOKUP(C182,Monsters!$T$4:$AH$15,3,FALSE),0))*(1+0.1*AH181)+(IF(OR(B182&lt;&gt;"Go AFK",IFERROR(VLOOKUP(C182,Monsters!$T$4:$AH$15,6,FALSE),0)=0),0,FLOOR((IF(B182="Go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AFK",IF(D182="",0,D182),0),Z181/60)*60)),0))/MAX(1,IFERROR(VLOOKUP(C182,Monsters!$T$4:$AH$15,6,FALSE),0)),1)))*(IFERROR(VLOOKUP(C182,Monsters!$T$4:$AH$15,7,FALSE),0))*0.5*(1+0.1*AH181),0)+IF(AND((E182="OK"),B182="Fight boss",(IF((((105/'Rules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Formulas'!B12)),IFERROR(VLOOKUP(C182,Monsters!$T$4:$AH$15,3,FALSE),0),0)-IF(AND((E182="OK"),OR(B182="Buy upgrade",B182="Forge/Scrapwork buy"),IFERROR(VLOOKUP(C182,Upgrades!$N$4:$T$47,2,FALSE),0)="gold"),IFERROR(FLOOR(IFERROR(VLOOKUP(C182,Upgrades!$N$4:$T$47,3,FALSE),0)*(IFERROR(VLOOKUP(C182,Upgrades!$N$4:$T$47,4,FALSE),0)^(COUNTIFS($B$3:$B181,"Buy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buy",$C$3:$C181,C182))),1),0),0)-IF(AND((E182="OK"),B182="Hire hunter"),IF(C182="Briar",140,IF(C182="Quill",3650,IF(C182="Moss",4850,IF(C182="Ember",12200,0)))),0))</f>
        <v/>
      </c>
      <c r="I182" s="7">
        <f>IF(AND((E182="OK"),B182="Fight boss",(IF((((105/'Rules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Formulas'!B12)),0,MIN(IF(G181&lt;=1,120,IF(G181=2,280,600)),I181+IF(AND((E182="OK"),B182="Hunt"),((IF(B182="Hunt",(('Rules &amp; Formulas'!B4*N181*('Rules &amp; Formulas'!B5+O181)*IFERROR(VLOOKUP(C182,Monsters!$T$4:$AH$15,10,FALSE),0)*IFERROR(VLOOKUP(C182,Monsters!$T$4:$AH$15,9,FALSE),0))*'Rules &amp; Formulas'!B6)*IF(D182="",0,D182),0))*(IFERROR(VLOOKUP(C182,Monsters!$T$4:$AH$15,4,FALSE),0))+(IF(OR(B182&lt;&gt;"Hunt",IFERROR(VLOOKUP(C182,Monsters!$T$4:$AH$15,6,FALSE),0)=0),0,FLOOR((IF(B182="Hunt",(('Rules &amp; Formulas'!B4*N181*('Rules &amp; Formulas'!B5+O181)*IFERROR(VLOOKUP(C182,Monsters!$T$4:$AH$15,10,FALSE),0)*IFERROR(VLOOKUP(C182,Monsters!$T$4:$AH$15,9,FALSE),0))*'Rules &amp; Formulas'!B6)*IF(D182="",0,D182),0))/MAX(1,IFERROR(VLOOKUP(C182,Monsters!$T$4:$AH$15,6,FALSE),0)),1)))*(IFERROR(VLOOKUP(C182,Monsters!$T$4:$AH$15,7,FALSE),0))),0)+IF(AND((E182="OK"),B182="Go AFK"),((IF(B182="Go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AFK",IF(D182="",0,D182),0),Z181/60)*60)),0))*(IFERROR(VLOOKUP(C182,Monsters!$T$4:$AH$15,4,FALSE),0))+(IF(OR(B182&lt;&gt;"Go AFK",IFERROR(VLOOKUP(C182,Monsters!$T$4:$AH$15,6,FALSE),0)=0),0,FLOOR((IF(B182="Go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AFK",IF(D182="",0,D182),0),Z181/60)*60)),0))/MAX(1,IFERROR(VLOOKUP(C182,Monsters!$T$4:$AH$15,6,FALSE),0)),1)))*(IFERROR(VLOOKUP(C182,Monsters!$T$4:$AH$15,7,FALSE),0))),0)))</f>
        <v/>
      </c>
      <c r="J182" s="7">
        <f>MAX(0,J181+IF(AND((E182="OK"),B182="Hunt"),(IF(B182="Hunt",(('Rules &amp; Formulas'!B4*N181*('Rules &amp; Formulas'!B5+O181)*IFERROR(VLOOKUP(C182,Monsters!$T$4:$AH$15,10,FALSE),0)*IFERROR(VLOOKUP(C182,Monsters!$T$4:$AH$15,9,FALSE),0))*'Rules &amp; Formulas'!B6)*IF(D182="",0,D182),0))*(IFERROR(VLOOKUP(C182,Monsters!$T$4:$AH$15,5,FALSE),0)),0)+IF(AND((E182="OK"),B182="Go AFK"),(IF(B182="Go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AFK",IF(D182="",0,D182),0),Z181/60)*60)),0))*(IFERROR(VLOOKUP(C182,Monsters!$T$4:$AH$15,5,FALSE),0)),0)-IF(AND((E182="OK"),OR(B182="Buy upgrade",B182="Forge/Scrapwork buy"),IFERROR(VLOOKUP(C182,Upgrades!$N$4:$T$47,2,FALSE),0)="scraps"),IFERROR(FLOOR(IFERROR(VLOOKUP(C182,Upgrades!$N$4:$T$47,3,FALSE),0)*(IFERROR(VLOOKUP(C182,Upgrades!$N$4:$T$47,4,FALSE),0)^(COUNTIFS($B$3:$B181,"Buy upgrade",$C$3:$C181,C182)+COUNTIFS($B$3:$B181,"Hire hunter",$C$3:$C181,C182)+COUNTIFS($B$3:$B181,"Forge/Scrapwork buy",$C$3:$C181,C182))),1),0),0))</f>
        <v/>
      </c>
      <c r="K182" s="7">
        <f>MAX(0,K181+IF(AND((E182="OK"),B182="Hunt"),IF(C182="Thornpelt Bear",(IF(B182="Hunt",(('Rules &amp; Formulas'!B4*N181*('Rules &amp; Formulas'!B5+O181)*IFERROR(VLOOKUP(C182,Monsters!$T$4:$AH$15,10,FALSE),0)*IFERROR(VLOOKUP(C182,Monsters!$T$4:$AH$15,9,FALSE),0))*'Rules &amp; Formulas'!B6)*IF(D182="",0,D182),0))*0.12,0),0)+IF(AND((E182="OK"),B182="Go AFK"),IF(C182="Thornpelt Bear",(IF(B182="Go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AFK",IF(D182="",0,D182),0),Z181/60)*60)),0))*0.12,0),0))</f>
        <v/>
      </c>
      <c r="L182" s="7">
        <f>MAX(0,L181+IF(AND((E182="OK"),B182="Hunt"),IF(C182="Dire Thornpelt",(IF(B182="Hunt",(('Rules &amp; Formulas'!B4*N181*('Rules &amp; Formulas'!B5+O181)*IFERROR(VLOOKUP(C182,Monsters!$T$4:$AH$15,10,FALSE),0)*IFERROR(VLOOKUP(C182,Monsters!$T$4:$AH$15,9,FALSE),0))*'Rules &amp; Formulas'!B6)*IF(D182="",0,D182),0))*0.1,0),0)+IF(AND((E182="OK"),B182="Go AFK"),IF(C182="Dire Thornpelt",(IF(B182="Go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AFK",IF(D182="",0,D182),0),Z181/60)*60)),0))*0.1,0),0))</f>
        <v/>
      </c>
      <c r="M182" s="7">
        <f>IF(AND((E182="OK"),B182="Go AFK"),MAX(0,MIN(('Rules &amp; Formulas'!B15+25*AJ181),M181+('Rules &amp; Formulas'!B14+0.4*AJ181)*(MIN(IF(B182="Go AFK",IF(D182="",0,D182),0),Z181/60)*60))-(IF(B182="Go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AFK",IF(D182="",0,D182),0),Z181/60)*60)),0))*(IF((IFERROR(VLOOKUP(C182,Monsters!$T$4:$AH$15,8,FALSE),0))=0,0.35,IFERROR(VLOOKUP(C182,Monsters!$T$4:$AH$15,8,FALSE),0))/(1+0.08*AK181))),MIN(('Rules &amp; Formulas'!B15+25*AJ182),M181))</f>
        <v/>
      </c>
      <c r="N182" s="7">
        <f>(1+0.08+0.12*AA182+0.12*AB182+0.16*AC182)</f>
        <v/>
      </c>
      <c r="O182" s="7">
        <f>((AD182&gt;=1)*1*(1+0.3*AE182))</f>
        <v/>
      </c>
      <c r="P182" s="7">
        <f>IF(OR(B182="Hunt",B182="Go AFK"),(('Rules &amp; Formulas'!B4*N181*('Rules &amp; Formulas'!B5+O181)*IFERROR(VLOOKUP(C182,Monsters!$T$4:$AH$15,10,FALSE),0)*IFERROR(VLOOKUP(C182,Monsters!$T$4:$AH$15,9,FALSE),0))*'Rules &amp; Formulas'!B6),"")</f>
        <v/>
      </c>
      <c r="Q182" s="7">
        <f>IF(OR(B182="Hunt",B182="Go AFK"),('Rules &amp; Formulas'!B4*N181*('Rules &amp; Formulas'!B5+O181)*IFERROR(VLOOKUP(C182,Monsters!$T$4:$AH$15,10,FALSE),0)*IFERROR(VLOOKUP(C182,Monsters!$T$4:$AH$15,9,FALSE),0)),"")</f>
        <v/>
      </c>
      <c r="R182" s="7">
        <f>IF(AND((E182="OK"),B182="Hunt"),IF(B182="Hunt",(('Rules &amp; Formulas'!B4*N181*('Rules &amp; Formulas'!B5+O181)*IFERROR(VLOOKUP(C182,Monsters!$T$4:$AH$15,10,FALSE),0)*IFERROR(VLOOKUP(C182,Monsters!$T$4:$AH$15,9,FALSE),0))*'Rules &amp; Formulas'!B6)*IF(D182="",0,D182),0),IF(AND((E182="OK"),B182="Go AFK"),IF(B182="Go AFK",MIN(IF((IF((IFERROR(VLOOKUP(C182,Monsters!$T$4:$AH$15,8,FALSE),0))=0,0.35,IFERROR(VLOOKUP(C182,Monsters!$T$4:$AH$15,8,FALSE),0))/(1+0.08*AK181))&lt;=0,999999,FLOOR(MIN(('Rules &amp; Formulas'!B15+25*AJ181),M181+('Rules &amp; Formulas'!B14+0.4*AJ181)*(MIN(IF(B182="Go AFK",IF(D182="",0,D182),0),Z181/60)*60))/(IF((IFERROR(VLOOKUP(C182,Monsters!$T$4:$AH$15,8,FALSE),0))=0,0.35,IFERROR(VLOOKUP(C182,Monsters!$T$4:$AH$15,8,FALSE),0))/(1+0.08*AK181)),1)),('Rules &amp; Formulas'!B4*N181*('Rules &amp; Formulas'!B5+O181)*IFERROR(VLOOKUP(C182,Monsters!$T$4:$AH$15,10,FALSE),0)*IFERROR(VLOOKUP(C182,Monsters!$T$4:$AH$15,9,FALSE),0))*(MIN(IF(B182="Go AFK",IF(D182="",0,D182),0),Z181/60)*60)),0),0))</f>
        <v/>
      </c>
      <c r="S182" s="7">
        <f>(105/'Rules &amp; Formulas'!B10)*'Rules &amp; Formulas'!B11</f>
        <v/>
      </c>
      <c r="T182" s="7">
        <f>IF(AD181&gt;=1,(MAX(1,ROUND('Rules &amp; Formulas'!B18*(1+0.3*AE181)*(1+0.4*AF181),0)))*(1000/'Rules &amp; Formulas'!B19)*MIN(0.95,'Rules &amp; Formulas'!B20*SQRT(1+0.55*(AG181&gt;=1))),0)</f>
        <v/>
      </c>
      <c r="U182" s="7">
        <f>S182+T182</f>
        <v/>
      </c>
      <c r="V182" s="7">
        <f>IF(I181&gt;=IF((IFERROR(VLOOKUP(C182,Monsters!$T$4:$AH$15,15,FALSE),0))=0,120,IFERROR(VLOOKUP(C182,Monsters!$T$4:$AH$15,15,FALSE),0)),"YES","no")</f>
        <v/>
      </c>
      <c r="W182" s="7">
        <f>IF(AND(B182="Fight boss",E182="OK"),IF((((105/'Rules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Formulas'!B20*SQRT(1+0.55*(AG181&gt;=1))),0)))),"")</f>
        <v/>
      </c>
      <c r="X182" s="7">
        <f>IF(AND(B182="Fight boss",E182="OK"),IF((IF((((105/'Rules &amp; Formulas'!B10)*'Rules &amp; Formulas'!B11+IF(AD181&gt;=1,(MAX(1,ROUND('Rules &amp; Formulas'!B18*(1+0.3*AE181)*(1+0.4*AF181),0)))*(1000/'Rules &amp; Formulas'!B19)*MIN(0.95,'Rules &amp; Formulas'!B20*SQRT(1+0.55*(AG181&gt;=1))),0)))&lt;=0,9999,(IFERROR(VLOOKUP(C182,Monsters!$T$4:$AH$15,2,FALSE),0))/(((105/'Rules &amp; Formulas'!B10)*'Rules &amp; Formulas'!B11+IF(AD181&gt;=1,(MAX(1,ROUND('Rules &amp; Formulas'!B18*(1+0.3*AE181)*(1+0.4*AF181),0)))*(1000/'Rules &amp; Formulas'!B19)*MIN(0.95,'Rules &amp; Formulas'!B20*SQRT(1+0.55*(AG181&gt;=1))),0))))&lt;='Rules &amp; Formulas'!B12),"WIN","LOSE"),"")</f>
        <v/>
      </c>
      <c r="Y182" s="7">
        <f>IF(B182="Go AFK",MIN(IF(B182="Go AFK",IF(D182="",0,D182),0),Z181/60),"")</f>
        <v/>
      </c>
      <c r="Z182" s="7">
        <f>('Rules &amp; Formulas'!B13+30*AI182)</f>
        <v/>
      </c>
      <c r="AA182">
        <f>COUNTIFS($B$3:$B182,"Buy upgrade",$C$3:$C182,"Idle Power")</f>
        <v/>
      </c>
      <c r="AB182">
        <f>COUNTIFS($B$3:$B182,"Buy upgrade",$C$3:$C182,"Iron Blade")</f>
        <v/>
      </c>
      <c r="AC182">
        <f>COUNTIFS($B$3:$B182,"Buy upgrade",$C$3:$C182,"Steel Blade")</f>
        <v/>
      </c>
      <c r="AD182">
        <f>COUNTIFS($B$3:$B182,"Hire hunter",$C$3:$C182,"Briar")+COUNTIFS($B$3:$B182,"Buy upgrade",$C$3:$C182,"Hire Briar")</f>
        <v/>
      </c>
      <c r="AE182">
        <f>COUNTIFS($B$3:$B182,"Buy upgrade",$C$3:$C182,"Hunter Power")</f>
        <v/>
      </c>
      <c r="AF182">
        <f>COUNTIFS($B$3:$B182,"Buy upgrade",$C$3:$C182,"Bigger Hits")</f>
        <v/>
      </c>
      <c r="AG182">
        <f>COUNTIFS($B$3:$B182,"Buy upgrade",$C$3:$C182,"Swift Walk")</f>
        <v/>
      </c>
      <c r="AH182">
        <f>COUNTIFS($B$3:$B182,"Buy upgrade",$C$3:$C182,"Loot Luck")</f>
        <v/>
      </c>
      <c r="AI182">
        <f>COUNTIFS($B$3:$B182,"Buy upgrade",$C$3:$C182,"Offline Cap")</f>
        <v/>
      </c>
      <c r="AJ182">
        <f>COUNTIFS($B$3:$B182,"Buy upgrade",$C$3:$C182,"Bigger Food Stock")</f>
        <v/>
      </c>
      <c r="AK182">
        <f>COUNTIFS($B$3:$B182,"Buy upgrade",$C$3:$C182,"Food Efficiency")</f>
        <v/>
      </c>
    </row>
    <row r="183">
      <c r="A183" t="n">
        <v>181</v>
      </c>
      <c r="B183" s="6" t="n"/>
      <c r="C183" s="6" t="n"/>
      <c r="D183" s="6" t="n"/>
      <c r="E183" s="7">
        <f>IF(B183="","",IF(OR(B183="Hunt",B183="Go AFK"),IF(C183="","Can't","OK"),IF(B183="Fight boss",IF(I182&lt;IF((IFERROR(VLOOKUP(C183,Monsters!$T$4:$AH$15,15,FALSE),0))=0,120,IFERROR(VLOOKUP(C183,Monsters!$T$4:$AH$15,15,FALSE),0)),"Can't","OK"),IF(B183="Hire hunter",IF(AND(C183="Briar",AD182&gt;=1),"Can't",IF(H182&lt;IF(C183="Briar",140,IF(C183="Quill",3650,IF(C183="Moss",4850,IF(C183="Ember",12200,0)))),"Can't","OK")),IF(OR(B183="Buy upgrade",B183="Forge/Scrapwork buy"),IF(IFERROR(VLOOKUP(C183,Upgrades!$N$4:$T$47,2,FALSE),0)="points","Can't",IF(IFERROR(VLOOKUP(C183,Upgrades!$N$4:$T$47,2,FALSE),0)="gold",IF(H182&lt;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buy",$C$3:$C182,C183))),1),0),"Can't","OK"),IF(IFERROR(VLOOKUP(C183,Upgrades!$N$4:$T$47,2,FALSE),0)="scraps",IF(J182&lt;IFERROR(FLOOR(IFERROR(VLOOKUP(C183,Upgrades!$N$4:$T$47,3,FALSE),0)*(IFERROR(VLOOKUP(C183,Upgrades!$N$4:$T$47,4,FALSE),0)^(COUNTIFS($B$3:$B182,"Buy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buy",$C$3:$C182,C183))),1),0),"Can't","OK"),IF(IFERROR(VLOOKUP(C183,Upgrades!$N$4:$T$47,2,FALSE),0)="mats","Can't","OK")))),"Check")))))</f>
        <v/>
      </c>
      <c r="F183" s="7">
        <f>IF(B183="","",IF(AND(B183="Fight boss",I182&lt;IF((IFERROR(VLOOKUP(C183,Monsters!$T$4:$AH$15,15,FALSE),0))=0,120,IFERROR(VLOOKUP(C183,Monsters!$T$4:$AH$15,15,FALSE),0))),"Can't — need "&amp;TEXT(IF((IFERROR(VLOOKUP(C183,Monsters!$T$4:$AH$15,15,FALSE),0))=0,120,IFERROR(VLOOKUP(C183,Monsters!$T$4:$AH$15,15,FALSE),0))-I182,"0.0")&amp;" more Slayer points on the meter",IF(AND(B183="Hire hunter",C183="Briar",AD182&gt;=1),"Can't — already hired",IF(AND(B183="Hire hunter",H182&lt;IF(C183="Briar",140,IF(C183="Quill",3650,IF(C183="Moss",4850,IF(C183="Ember",12200,0))))),"Can't — need "&amp;TEXT(IF(C183="Briar",140,IF(C183="Quill",3650,IF(C183="Moss",4850,IF(C183="Ember",12200,0))))-H182,"0")&amp;" more gold",IF(AND(OR(B183="Buy upgrade",B183="Forge/Scrapwork buy"),IFERROR(VLOOKUP(C183,Upgrades!$N$4:$T$47,2,FALSE),0)="points"),"Can't — Sp-wallet spends not tracked here",IF(AND(OR(B183="Buy upgrade",B183="Forge/Scrapwork buy"),IFERROR(VLOOKUP(C183,Upgrades!$N$4:$T$47,2,FALSE),0)="gold",H182&lt;IFERROR(FLOOR(IFERROR(VLOOKUP(C183,Upgrades!$N$4:$T$47,3,FALSE),0)*(IFERROR(VLOOKUP(C183,Upgrades!$N$4:$T$47,4,FALSE),0)^(COUNTIFS($B$3:$B182,"Buy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buy",$C$3:$C182,C183))),1),0)),"Can't — need "&amp;TEXT(IFERROR(FLOOR(IFERROR(VLOOKUP(C183,Upgrades!$N$4:$T$47,3,FALSE),0)*(IFERROR(VLOOKUP(C183,Upgrades!$N$4:$T$47,4,FALSE),0)^(COUNTIFS($B$3:$B182,"Buy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buy",$C$3:$C182,C183))),1),0)-H182,"0")&amp;" more gold",IF(AND(OR(B183="Buy upgrade",B183="Forge/Scrapwork buy"),IFERROR(VLOOKUP(C183,Upgrades!$N$4:$T$47,2,FALSE),0)="scraps",J182&lt;IFERROR(FLOOR(IFERROR(VLOOKUP(C183,Upgrades!$N$4:$T$47,3,FALSE),0)*(IFERROR(VLOOKUP(C183,Upgrades!$N$4:$T$47,4,FALSE),0)^(COUNTIFS($B$3:$B182,"Buy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buy",$C$3:$C182,C183))),1),0)),"Can't — need "&amp;TEXT(IFERROR(FLOOR(IFERROR(VLOOKUP(C183,Upgrades!$N$4:$T$47,3,FALSE),0)*(IFERROR(VLOOKUP(C183,Upgrades!$N$4:$T$47,4,FALSE),0)^(COUNTIFS($B$3:$B182,"Buy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buy",$C$3:$C182,C183))),1),0)-J182,"0")&amp;" more scraps",IF(AND(B183="Fight boss",E183="OK",(IF((((105/'Rules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Formulas'!B12)),"WIN — boss down, next Level unlocks",IF(AND(B183="Fight boss",E183="OK"),"LOSE — TTK "&amp;TEXT(IF((((105/'Rules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Formulas'!B20*SQRT(1+0.55*(AG182&gt;=1))),0)))),"0")&amp;"s &gt; patience "&amp;TEXT('Rules &amp; Formulas'!B12,"0")&amp;"s (leave resets HP)",IF(B183="Go AFK","AFK resolved (see AFK counted h)","Applied")))))))))</f>
        <v/>
      </c>
      <c r="G183" s="7">
        <f>IF(AND((E183="OK"),B183="Fight boss",(IF((((105/'Rules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Formulas'!B12),C183="Elder Thornpelt"),2,IF(AND((E183="OK"),B183="Fight boss",(IF((((105/'Rules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Formulas'!B12),C183="Ashfang Alpha"),3,G182))</f>
        <v/>
      </c>
      <c r="H183" s="7">
        <f>MAX(0,H182+IF(AND((E183="OK"),B183="Hunt"),(IF(B183="Hunt",(('Rules &amp; Formulas'!B4*N182*('Rules &amp; Formulas'!B5+O182)*IFERROR(VLOOKUP(C183,Monsters!$T$4:$AH$15,10,FALSE),0)*IFERROR(VLOOKUP(C183,Monsters!$T$4:$AH$15,9,FALSE),0))*'Rules &amp; Formulas'!B6)*IF(D183="",0,D183),0))*(IFERROR(VLOOKUP(C183,Monsters!$T$4:$AH$15,3,FALSE),0))*(1+0.1*AH182)+(IF(OR(B183&lt;&gt;"Hunt",IFERROR(VLOOKUP(C183,Monsters!$T$4:$AH$15,6,FALSE),0)=0),0,FLOOR((IF(B183="Hunt",(('Rules &amp; Formulas'!B4*N182*('Rules &amp; Formulas'!B5+O182)*IFERROR(VLOOKUP(C183,Monsters!$T$4:$AH$15,10,FALSE),0)*IFERROR(VLOOKUP(C183,Monsters!$T$4:$AH$15,9,FALSE),0))*'Rules &amp; Formulas'!B6)*IF(D183="",0,D183),0))/MAX(1,IFERROR(VLOOKUP(C183,Monsters!$T$4:$AH$15,6,FALSE),0)),1)))*(IFERROR(VLOOKUP(C183,Monsters!$T$4:$AH$15,7,FALSE),0))*0.5*(1+0.1*AH182),0)+IF(AND((E183="OK"),B183="Go AFK"),(IF(B183="Go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AFK",IF(D183="",0,D183),0),Z182/60)*60)),0))*(IFERROR(VLOOKUP(C183,Monsters!$T$4:$AH$15,3,FALSE),0))*(1+0.1*AH182)+(IF(OR(B183&lt;&gt;"Go AFK",IFERROR(VLOOKUP(C183,Monsters!$T$4:$AH$15,6,FALSE),0)=0),0,FLOOR((IF(B183="Go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AFK",IF(D183="",0,D183),0),Z182/60)*60)),0))/MAX(1,IFERROR(VLOOKUP(C183,Monsters!$T$4:$AH$15,6,FALSE),0)),1)))*(IFERROR(VLOOKUP(C183,Monsters!$T$4:$AH$15,7,FALSE),0))*0.5*(1+0.1*AH182),0)+IF(AND((E183="OK"),B183="Fight boss",(IF((((105/'Rules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Formulas'!B12)),IFERROR(VLOOKUP(C183,Monsters!$T$4:$AH$15,3,FALSE),0),0)-IF(AND((E183="OK"),OR(B183="Buy upgrade",B183="Forge/Scrapwork buy"),IFERROR(VLOOKUP(C183,Upgrades!$N$4:$T$47,2,FALSE),0)="gold"),IFERROR(FLOOR(IFERROR(VLOOKUP(C183,Upgrades!$N$4:$T$47,3,FALSE),0)*(IFERROR(VLOOKUP(C183,Upgrades!$N$4:$T$47,4,FALSE),0)^(COUNTIFS($B$3:$B182,"Buy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buy",$C$3:$C182,C183))),1),0),0)-IF(AND((E183="OK"),B183="Hire hunter"),IF(C183="Briar",140,IF(C183="Quill",3650,IF(C183="Moss",4850,IF(C183="Ember",12200,0)))),0))</f>
        <v/>
      </c>
      <c r="I183" s="7">
        <f>IF(AND((E183="OK"),B183="Fight boss",(IF((((105/'Rules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Formulas'!B12)),0,MIN(IF(G182&lt;=1,120,IF(G182=2,280,600)),I182+IF(AND((E183="OK"),B183="Hunt"),((IF(B183="Hunt",(('Rules &amp; Formulas'!B4*N182*('Rules &amp; Formulas'!B5+O182)*IFERROR(VLOOKUP(C183,Monsters!$T$4:$AH$15,10,FALSE),0)*IFERROR(VLOOKUP(C183,Monsters!$T$4:$AH$15,9,FALSE),0))*'Rules &amp; Formulas'!B6)*IF(D183="",0,D183),0))*(IFERROR(VLOOKUP(C183,Monsters!$T$4:$AH$15,4,FALSE),0))+(IF(OR(B183&lt;&gt;"Hunt",IFERROR(VLOOKUP(C183,Monsters!$T$4:$AH$15,6,FALSE),0)=0),0,FLOOR((IF(B183="Hunt",(('Rules &amp; Formulas'!B4*N182*('Rules &amp; Formulas'!B5+O182)*IFERROR(VLOOKUP(C183,Monsters!$T$4:$AH$15,10,FALSE),0)*IFERROR(VLOOKUP(C183,Monsters!$T$4:$AH$15,9,FALSE),0))*'Rules &amp; Formulas'!B6)*IF(D183="",0,D183),0))/MAX(1,IFERROR(VLOOKUP(C183,Monsters!$T$4:$AH$15,6,FALSE),0)),1)))*(IFERROR(VLOOKUP(C183,Monsters!$T$4:$AH$15,7,FALSE),0))),0)+IF(AND((E183="OK"),B183="Go AFK"),((IF(B183="Go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AFK",IF(D183="",0,D183),0),Z182/60)*60)),0))*(IFERROR(VLOOKUP(C183,Monsters!$T$4:$AH$15,4,FALSE),0))+(IF(OR(B183&lt;&gt;"Go AFK",IFERROR(VLOOKUP(C183,Monsters!$T$4:$AH$15,6,FALSE),0)=0),0,FLOOR((IF(B183="Go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AFK",IF(D183="",0,D183),0),Z182/60)*60)),0))/MAX(1,IFERROR(VLOOKUP(C183,Monsters!$T$4:$AH$15,6,FALSE),0)),1)))*(IFERROR(VLOOKUP(C183,Monsters!$T$4:$AH$15,7,FALSE),0))),0)))</f>
        <v/>
      </c>
      <c r="J183" s="7">
        <f>MAX(0,J182+IF(AND((E183="OK"),B183="Hunt"),(IF(B183="Hunt",(('Rules &amp; Formulas'!B4*N182*('Rules &amp; Formulas'!B5+O182)*IFERROR(VLOOKUP(C183,Monsters!$T$4:$AH$15,10,FALSE),0)*IFERROR(VLOOKUP(C183,Monsters!$T$4:$AH$15,9,FALSE),0))*'Rules &amp; Formulas'!B6)*IF(D183="",0,D183),0))*(IFERROR(VLOOKUP(C183,Monsters!$T$4:$AH$15,5,FALSE),0)),0)+IF(AND((E183="OK"),B183="Go AFK"),(IF(B183="Go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AFK",IF(D183="",0,D183),0),Z182/60)*60)),0))*(IFERROR(VLOOKUP(C183,Monsters!$T$4:$AH$15,5,FALSE),0)),0)-IF(AND((E183="OK"),OR(B183="Buy upgrade",B183="Forge/Scrapwork buy"),IFERROR(VLOOKUP(C183,Upgrades!$N$4:$T$47,2,FALSE),0)="scraps"),IFERROR(FLOOR(IFERROR(VLOOKUP(C183,Upgrades!$N$4:$T$47,3,FALSE),0)*(IFERROR(VLOOKUP(C183,Upgrades!$N$4:$T$47,4,FALSE),0)^(COUNTIFS($B$3:$B182,"Buy upgrade",$C$3:$C182,C183)+COUNTIFS($B$3:$B182,"Hire hunter",$C$3:$C182,C183)+COUNTIFS($B$3:$B182,"Forge/Scrapwork buy",$C$3:$C182,C183))),1),0),0))</f>
        <v/>
      </c>
      <c r="K183" s="7">
        <f>MAX(0,K182+IF(AND((E183="OK"),B183="Hunt"),IF(C183="Thornpelt Bear",(IF(B183="Hunt",(('Rules &amp; Formulas'!B4*N182*('Rules &amp; Formulas'!B5+O182)*IFERROR(VLOOKUP(C183,Monsters!$T$4:$AH$15,10,FALSE),0)*IFERROR(VLOOKUP(C183,Monsters!$T$4:$AH$15,9,FALSE),0))*'Rules &amp; Formulas'!B6)*IF(D183="",0,D183),0))*0.12,0),0)+IF(AND((E183="OK"),B183="Go AFK"),IF(C183="Thornpelt Bear",(IF(B183="Go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AFK",IF(D183="",0,D183),0),Z182/60)*60)),0))*0.12,0),0))</f>
        <v/>
      </c>
      <c r="L183" s="7">
        <f>MAX(0,L182+IF(AND((E183="OK"),B183="Hunt"),IF(C183="Dire Thornpelt",(IF(B183="Hunt",(('Rules &amp; Formulas'!B4*N182*('Rules &amp; Formulas'!B5+O182)*IFERROR(VLOOKUP(C183,Monsters!$T$4:$AH$15,10,FALSE),0)*IFERROR(VLOOKUP(C183,Monsters!$T$4:$AH$15,9,FALSE),0))*'Rules &amp; Formulas'!B6)*IF(D183="",0,D183),0))*0.1,0),0)+IF(AND((E183="OK"),B183="Go AFK"),IF(C183="Dire Thornpelt",(IF(B183="Go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AFK",IF(D183="",0,D183),0),Z182/60)*60)),0))*0.1,0),0))</f>
        <v/>
      </c>
      <c r="M183" s="7">
        <f>IF(AND((E183="OK"),B183="Go AFK"),MAX(0,MIN(('Rules &amp; Formulas'!B15+25*AJ182),M182+('Rules &amp; Formulas'!B14+0.4*AJ182)*(MIN(IF(B183="Go AFK",IF(D183="",0,D183),0),Z182/60)*60))-(IF(B183="Go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AFK",IF(D183="",0,D183),0),Z182/60)*60)),0))*(IF((IFERROR(VLOOKUP(C183,Monsters!$T$4:$AH$15,8,FALSE),0))=0,0.35,IFERROR(VLOOKUP(C183,Monsters!$T$4:$AH$15,8,FALSE),0))/(1+0.08*AK182))),MIN(('Rules &amp; Formulas'!B15+25*AJ183),M182))</f>
        <v/>
      </c>
      <c r="N183" s="7">
        <f>(1+0.08+0.12*AA183+0.12*AB183+0.16*AC183)</f>
        <v/>
      </c>
      <c r="O183" s="7">
        <f>((AD183&gt;=1)*1*(1+0.3*AE183))</f>
        <v/>
      </c>
      <c r="P183" s="7">
        <f>IF(OR(B183="Hunt",B183="Go AFK"),(('Rules &amp; Formulas'!B4*N182*('Rules &amp; Formulas'!B5+O182)*IFERROR(VLOOKUP(C183,Monsters!$T$4:$AH$15,10,FALSE),0)*IFERROR(VLOOKUP(C183,Monsters!$T$4:$AH$15,9,FALSE),0))*'Rules &amp; Formulas'!B6),"")</f>
        <v/>
      </c>
      <c r="Q183" s="7">
        <f>IF(OR(B183="Hunt",B183="Go AFK"),('Rules &amp; Formulas'!B4*N182*('Rules &amp; Formulas'!B5+O182)*IFERROR(VLOOKUP(C183,Monsters!$T$4:$AH$15,10,FALSE),0)*IFERROR(VLOOKUP(C183,Monsters!$T$4:$AH$15,9,FALSE),0)),"")</f>
        <v/>
      </c>
      <c r="R183" s="7">
        <f>IF(AND((E183="OK"),B183="Hunt"),IF(B183="Hunt",(('Rules &amp; Formulas'!B4*N182*('Rules &amp; Formulas'!B5+O182)*IFERROR(VLOOKUP(C183,Monsters!$T$4:$AH$15,10,FALSE),0)*IFERROR(VLOOKUP(C183,Monsters!$T$4:$AH$15,9,FALSE),0))*'Rules &amp; Formulas'!B6)*IF(D183="",0,D183),0),IF(AND((E183="OK"),B183="Go AFK"),IF(B183="Go AFK",MIN(IF((IF((IFERROR(VLOOKUP(C183,Monsters!$T$4:$AH$15,8,FALSE),0))=0,0.35,IFERROR(VLOOKUP(C183,Monsters!$T$4:$AH$15,8,FALSE),0))/(1+0.08*AK182))&lt;=0,999999,FLOOR(MIN(('Rules &amp; Formulas'!B15+25*AJ182),M182+('Rules &amp; Formulas'!B14+0.4*AJ182)*(MIN(IF(B183="Go AFK",IF(D183="",0,D183),0),Z182/60)*60))/(IF((IFERROR(VLOOKUP(C183,Monsters!$T$4:$AH$15,8,FALSE),0))=0,0.35,IFERROR(VLOOKUP(C183,Monsters!$T$4:$AH$15,8,FALSE),0))/(1+0.08*AK182)),1)),('Rules &amp; Formulas'!B4*N182*('Rules &amp; Formulas'!B5+O182)*IFERROR(VLOOKUP(C183,Monsters!$T$4:$AH$15,10,FALSE),0)*IFERROR(VLOOKUP(C183,Monsters!$T$4:$AH$15,9,FALSE),0))*(MIN(IF(B183="Go AFK",IF(D183="",0,D183),0),Z182/60)*60)),0),0))</f>
        <v/>
      </c>
      <c r="S183" s="7">
        <f>(105/'Rules &amp; Formulas'!B10)*'Rules &amp; Formulas'!B11</f>
        <v/>
      </c>
      <c r="T183" s="7">
        <f>IF(AD182&gt;=1,(MAX(1,ROUND('Rules &amp; Formulas'!B18*(1+0.3*AE182)*(1+0.4*AF182),0)))*(1000/'Rules &amp; Formulas'!B19)*MIN(0.95,'Rules &amp; Formulas'!B20*SQRT(1+0.55*(AG182&gt;=1))),0)</f>
        <v/>
      </c>
      <c r="U183" s="7">
        <f>S183+T183</f>
        <v/>
      </c>
      <c r="V183" s="7">
        <f>IF(I182&gt;=IF((IFERROR(VLOOKUP(C183,Monsters!$T$4:$AH$15,15,FALSE),0))=0,120,IFERROR(VLOOKUP(C183,Monsters!$T$4:$AH$15,15,FALSE),0)),"YES","no")</f>
        <v/>
      </c>
      <c r="W183" s="7">
        <f>IF(AND(B183="Fight boss",E183="OK"),IF((((105/'Rules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Formulas'!B20*SQRT(1+0.55*(AG182&gt;=1))),0)))),"")</f>
        <v/>
      </c>
      <c r="X183" s="7">
        <f>IF(AND(B183="Fight boss",E183="OK"),IF((IF((((105/'Rules &amp; Formulas'!B10)*'Rules &amp; Formulas'!B11+IF(AD182&gt;=1,(MAX(1,ROUND('Rules &amp; Formulas'!B18*(1+0.3*AE182)*(1+0.4*AF182),0)))*(1000/'Rules &amp; Formulas'!B19)*MIN(0.95,'Rules &amp; Formulas'!B20*SQRT(1+0.55*(AG182&gt;=1))),0)))&lt;=0,9999,(IFERROR(VLOOKUP(C183,Monsters!$T$4:$AH$15,2,FALSE),0))/(((105/'Rules &amp; Formulas'!B10)*'Rules &amp; Formulas'!B11+IF(AD182&gt;=1,(MAX(1,ROUND('Rules &amp; Formulas'!B18*(1+0.3*AE182)*(1+0.4*AF182),0)))*(1000/'Rules &amp; Formulas'!B19)*MIN(0.95,'Rules &amp; Formulas'!B20*SQRT(1+0.55*(AG182&gt;=1))),0))))&lt;='Rules &amp; Formulas'!B12),"WIN","LOSE"),"")</f>
        <v/>
      </c>
      <c r="Y183" s="7">
        <f>IF(B183="Go AFK",MIN(IF(B183="Go AFK",IF(D183="",0,D183),0),Z182/60),"")</f>
        <v/>
      </c>
      <c r="Z183" s="7">
        <f>('Rules &amp; Formulas'!B13+30*AI183)</f>
        <v/>
      </c>
      <c r="AA183">
        <f>COUNTIFS($B$3:$B183,"Buy upgrade",$C$3:$C183,"Idle Power")</f>
        <v/>
      </c>
      <c r="AB183">
        <f>COUNTIFS($B$3:$B183,"Buy upgrade",$C$3:$C183,"Iron Blade")</f>
        <v/>
      </c>
      <c r="AC183">
        <f>COUNTIFS($B$3:$B183,"Buy upgrade",$C$3:$C183,"Steel Blade")</f>
        <v/>
      </c>
      <c r="AD183">
        <f>COUNTIFS($B$3:$B183,"Hire hunter",$C$3:$C183,"Briar")+COUNTIFS($B$3:$B183,"Buy upgrade",$C$3:$C183,"Hire Briar")</f>
        <v/>
      </c>
      <c r="AE183">
        <f>COUNTIFS($B$3:$B183,"Buy upgrade",$C$3:$C183,"Hunter Power")</f>
        <v/>
      </c>
      <c r="AF183">
        <f>COUNTIFS($B$3:$B183,"Buy upgrade",$C$3:$C183,"Bigger Hits")</f>
        <v/>
      </c>
      <c r="AG183">
        <f>COUNTIFS($B$3:$B183,"Buy upgrade",$C$3:$C183,"Swift Walk")</f>
        <v/>
      </c>
      <c r="AH183">
        <f>COUNTIFS($B$3:$B183,"Buy upgrade",$C$3:$C183,"Loot Luck")</f>
        <v/>
      </c>
      <c r="AI183">
        <f>COUNTIFS($B$3:$B183,"Buy upgrade",$C$3:$C183,"Offline Cap")</f>
        <v/>
      </c>
      <c r="AJ183">
        <f>COUNTIFS($B$3:$B183,"Buy upgrade",$C$3:$C183,"Bigger Food Stock")</f>
        <v/>
      </c>
      <c r="AK183">
        <f>COUNTIFS($B$3:$B183,"Buy upgrade",$C$3:$C183,"Food Efficiency")</f>
        <v/>
      </c>
    </row>
    <row r="184">
      <c r="A184" t="n">
        <v>182</v>
      </c>
      <c r="B184" s="6" t="n"/>
      <c r="C184" s="6" t="n"/>
      <c r="D184" s="6" t="n"/>
      <c r="E184" s="7">
        <f>IF(B184="","",IF(OR(B184="Hunt",B184="Go AFK"),IF(C184="","Can't","OK"),IF(B184="Fight boss",IF(I183&lt;IF((IFERROR(VLOOKUP(C184,Monsters!$T$4:$AH$15,15,FALSE),0))=0,120,IFERROR(VLOOKUP(C184,Monsters!$T$4:$AH$15,15,FALSE),0)),"Can't","OK"),IF(B184="Hire hunter",IF(AND(C184="Briar",AD183&gt;=1),"Can't",IF(H183&lt;IF(C184="Briar",140,IF(C184="Quill",3650,IF(C184="Moss",4850,IF(C184="Ember",12200,0)))),"Can't","OK")),IF(OR(B184="Buy upgrade",B184="Forge/Scrapwork buy"),IF(IFERROR(VLOOKUP(C184,Upgrades!$N$4:$T$47,2,FALSE),0)="points","Can't",IF(IFERROR(VLOOKUP(C184,Upgrades!$N$4:$T$47,2,FALSE),0)="gold",IF(H183&lt;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buy",$C$3:$C183,C184))),1),0),"Can't","OK"),IF(IFERROR(VLOOKUP(C184,Upgrades!$N$4:$T$47,2,FALSE),0)="scraps",IF(J183&lt;IFERROR(FLOOR(IFERROR(VLOOKUP(C184,Upgrades!$N$4:$T$47,3,FALSE),0)*(IFERROR(VLOOKUP(C184,Upgrades!$N$4:$T$47,4,FALSE),0)^(COUNTIFS($B$3:$B183,"Buy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buy",$C$3:$C183,C184))),1),0),"Can't","OK"),IF(IFERROR(VLOOKUP(C184,Upgrades!$N$4:$T$47,2,FALSE),0)="mats","Can't","OK")))),"Check")))))</f>
        <v/>
      </c>
      <c r="F184" s="7">
        <f>IF(B184="","",IF(AND(B184="Fight boss",I183&lt;IF((IFERROR(VLOOKUP(C184,Monsters!$T$4:$AH$15,15,FALSE),0))=0,120,IFERROR(VLOOKUP(C184,Monsters!$T$4:$AH$15,15,FALSE),0))),"Can't — need "&amp;TEXT(IF((IFERROR(VLOOKUP(C184,Monsters!$T$4:$AH$15,15,FALSE),0))=0,120,IFERROR(VLOOKUP(C184,Monsters!$T$4:$AH$15,15,FALSE),0))-I183,"0.0")&amp;" more Slayer points on the meter",IF(AND(B184="Hire hunter",C184="Briar",AD183&gt;=1),"Can't — already hired",IF(AND(B184="Hire hunter",H183&lt;IF(C184="Briar",140,IF(C184="Quill",3650,IF(C184="Moss",4850,IF(C184="Ember",12200,0))))),"Can't — need "&amp;TEXT(IF(C184="Briar",140,IF(C184="Quill",3650,IF(C184="Moss",4850,IF(C184="Ember",12200,0))))-H183,"0")&amp;" more gold",IF(AND(OR(B184="Buy upgrade",B184="Forge/Scrapwork buy"),IFERROR(VLOOKUP(C184,Upgrades!$N$4:$T$47,2,FALSE),0)="points"),"Can't — Sp-wallet spends not tracked here",IF(AND(OR(B184="Buy upgrade",B184="Forge/Scrapwork buy"),IFERROR(VLOOKUP(C184,Upgrades!$N$4:$T$47,2,FALSE),0)="gold",H183&lt;IFERROR(FLOOR(IFERROR(VLOOKUP(C184,Upgrades!$N$4:$T$47,3,FALSE),0)*(IFERROR(VLOOKUP(C184,Upgrades!$N$4:$T$47,4,FALSE),0)^(COUNTIFS($B$3:$B183,"Buy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buy",$C$3:$C183,C184))),1),0)),"Can't — need "&amp;TEXT(IFERROR(FLOOR(IFERROR(VLOOKUP(C184,Upgrades!$N$4:$T$47,3,FALSE),0)*(IFERROR(VLOOKUP(C184,Upgrades!$N$4:$T$47,4,FALSE),0)^(COUNTIFS($B$3:$B183,"Buy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buy",$C$3:$C183,C184))),1),0)-H183,"0")&amp;" more gold",IF(AND(OR(B184="Buy upgrade",B184="Forge/Scrapwork buy"),IFERROR(VLOOKUP(C184,Upgrades!$N$4:$T$47,2,FALSE),0)="scraps",J183&lt;IFERROR(FLOOR(IFERROR(VLOOKUP(C184,Upgrades!$N$4:$T$47,3,FALSE),0)*(IFERROR(VLOOKUP(C184,Upgrades!$N$4:$T$47,4,FALSE),0)^(COUNTIFS($B$3:$B183,"Buy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buy",$C$3:$C183,C184))),1),0)),"Can't — need "&amp;TEXT(IFERROR(FLOOR(IFERROR(VLOOKUP(C184,Upgrades!$N$4:$T$47,3,FALSE),0)*(IFERROR(VLOOKUP(C184,Upgrades!$N$4:$T$47,4,FALSE),0)^(COUNTIFS($B$3:$B183,"Buy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buy",$C$3:$C183,C184))),1),0)-J183,"0")&amp;" more scraps",IF(AND(B184="Fight boss",E184="OK",(IF((((105/'Rules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Formulas'!B12)),"WIN — boss down, next Level unlocks",IF(AND(B184="Fight boss",E184="OK"),"LOSE — TTK "&amp;TEXT(IF((((105/'Rules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Formulas'!B20*SQRT(1+0.55*(AG183&gt;=1))),0)))),"0")&amp;"s &gt; patience "&amp;TEXT('Rules &amp; Formulas'!B12,"0")&amp;"s (leave resets HP)",IF(B184="Go AFK","AFK resolved (see AFK counted h)","Applied")))))))))</f>
        <v/>
      </c>
      <c r="G184" s="7">
        <f>IF(AND((E184="OK"),B184="Fight boss",(IF((((105/'Rules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Formulas'!B12),C184="Elder Thornpelt"),2,IF(AND((E184="OK"),B184="Fight boss",(IF((((105/'Rules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Formulas'!B12),C184="Ashfang Alpha"),3,G183))</f>
        <v/>
      </c>
      <c r="H184" s="7">
        <f>MAX(0,H183+IF(AND((E184="OK"),B184="Hunt"),(IF(B184="Hunt",(('Rules &amp; Formulas'!B4*N183*('Rules &amp; Formulas'!B5+O183)*IFERROR(VLOOKUP(C184,Monsters!$T$4:$AH$15,10,FALSE),0)*IFERROR(VLOOKUP(C184,Monsters!$T$4:$AH$15,9,FALSE),0))*'Rules &amp; Formulas'!B6)*IF(D184="",0,D184),0))*(IFERROR(VLOOKUP(C184,Monsters!$T$4:$AH$15,3,FALSE),0))*(1+0.1*AH183)+(IF(OR(B184&lt;&gt;"Hunt",IFERROR(VLOOKUP(C184,Monsters!$T$4:$AH$15,6,FALSE),0)=0),0,FLOOR((IF(B184="Hunt",(('Rules &amp; Formulas'!B4*N183*('Rules &amp; Formulas'!B5+O183)*IFERROR(VLOOKUP(C184,Monsters!$T$4:$AH$15,10,FALSE),0)*IFERROR(VLOOKUP(C184,Monsters!$T$4:$AH$15,9,FALSE),0))*'Rules &amp; Formulas'!B6)*IF(D184="",0,D184),0))/MAX(1,IFERROR(VLOOKUP(C184,Monsters!$T$4:$AH$15,6,FALSE),0)),1)))*(IFERROR(VLOOKUP(C184,Monsters!$T$4:$AH$15,7,FALSE),0))*0.5*(1+0.1*AH183),0)+IF(AND((E184="OK"),B184="Go AFK"),(IF(B184="Go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AFK",IF(D184="",0,D184),0),Z183/60)*60)),0))*(IFERROR(VLOOKUP(C184,Monsters!$T$4:$AH$15,3,FALSE),0))*(1+0.1*AH183)+(IF(OR(B184&lt;&gt;"Go AFK",IFERROR(VLOOKUP(C184,Monsters!$T$4:$AH$15,6,FALSE),0)=0),0,FLOOR((IF(B184="Go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AFK",IF(D184="",0,D184),0),Z183/60)*60)),0))/MAX(1,IFERROR(VLOOKUP(C184,Monsters!$T$4:$AH$15,6,FALSE),0)),1)))*(IFERROR(VLOOKUP(C184,Monsters!$T$4:$AH$15,7,FALSE),0))*0.5*(1+0.1*AH183),0)+IF(AND((E184="OK"),B184="Fight boss",(IF((((105/'Rules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Formulas'!B12)),IFERROR(VLOOKUP(C184,Monsters!$T$4:$AH$15,3,FALSE),0),0)-IF(AND((E184="OK"),OR(B184="Buy upgrade",B184="Forge/Scrapwork buy"),IFERROR(VLOOKUP(C184,Upgrades!$N$4:$T$47,2,FALSE),0)="gold"),IFERROR(FLOOR(IFERROR(VLOOKUP(C184,Upgrades!$N$4:$T$47,3,FALSE),0)*(IFERROR(VLOOKUP(C184,Upgrades!$N$4:$T$47,4,FALSE),0)^(COUNTIFS($B$3:$B183,"Buy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buy",$C$3:$C183,C184))),1),0),0)-IF(AND((E184="OK"),B184="Hire hunter"),IF(C184="Briar",140,IF(C184="Quill",3650,IF(C184="Moss",4850,IF(C184="Ember",12200,0)))),0))</f>
        <v/>
      </c>
      <c r="I184" s="7">
        <f>IF(AND((E184="OK"),B184="Fight boss",(IF((((105/'Rules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Formulas'!B12)),0,MIN(IF(G183&lt;=1,120,IF(G183=2,280,600)),I183+IF(AND((E184="OK"),B184="Hunt"),((IF(B184="Hunt",(('Rules &amp; Formulas'!B4*N183*('Rules &amp; Formulas'!B5+O183)*IFERROR(VLOOKUP(C184,Monsters!$T$4:$AH$15,10,FALSE),0)*IFERROR(VLOOKUP(C184,Monsters!$T$4:$AH$15,9,FALSE),0))*'Rules &amp; Formulas'!B6)*IF(D184="",0,D184),0))*(IFERROR(VLOOKUP(C184,Monsters!$T$4:$AH$15,4,FALSE),0))+(IF(OR(B184&lt;&gt;"Hunt",IFERROR(VLOOKUP(C184,Monsters!$T$4:$AH$15,6,FALSE),0)=0),0,FLOOR((IF(B184="Hunt",(('Rules &amp; Formulas'!B4*N183*('Rules &amp; Formulas'!B5+O183)*IFERROR(VLOOKUP(C184,Monsters!$T$4:$AH$15,10,FALSE),0)*IFERROR(VLOOKUP(C184,Monsters!$T$4:$AH$15,9,FALSE),0))*'Rules &amp; Formulas'!B6)*IF(D184="",0,D184),0))/MAX(1,IFERROR(VLOOKUP(C184,Monsters!$T$4:$AH$15,6,FALSE),0)),1)))*(IFERROR(VLOOKUP(C184,Monsters!$T$4:$AH$15,7,FALSE),0))),0)+IF(AND((E184="OK"),B184="Go AFK"),((IF(B184="Go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AFK",IF(D184="",0,D184),0),Z183/60)*60)),0))*(IFERROR(VLOOKUP(C184,Monsters!$T$4:$AH$15,4,FALSE),0))+(IF(OR(B184&lt;&gt;"Go AFK",IFERROR(VLOOKUP(C184,Monsters!$T$4:$AH$15,6,FALSE),0)=0),0,FLOOR((IF(B184="Go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AFK",IF(D184="",0,D184),0),Z183/60)*60)),0))/MAX(1,IFERROR(VLOOKUP(C184,Monsters!$T$4:$AH$15,6,FALSE),0)),1)))*(IFERROR(VLOOKUP(C184,Monsters!$T$4:$AH$15,7,FALSE),0))),0)))</f>
        <v/>
      </c>
      <c r="J184" s="7">
        <f>MAX(0,J183+IF(AND((E184="OK"),B184="Hunt"),(IF(B184="Hunt",(('Rules &amp; Formulas'!B4*N183*('Rules &amp; Formulas'!B5+O183)*IFERROR(VLOOKUP(C184,Monsters!$T$4:$AH$15,10,FALSE),0)*IFERROR(VLOOKUP(C184,Monsters!$T$4:$AH$15,9,FALSE),0))*'Rules &amp; Formulas'!B6)*IF(D184="",0,D184),0))*(IFERROR(VLOOKUP(C184,Monsters!$T$4:$AH$15,5,FALSE),0)),0)+IF(AND((E184="OK"),B184="Go AFK"),(IF(B184="Go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AFK",IF(D184="",0,D184),0),Z183/60)*60)),0))*(IFERROR(VLOOKUP(C184,Monsters!$T$4:$AH$15,5,FALSE),0)),0)-IF(AND((E184="OK"),OR(B184="Buy upgrade",B184="Forge/Scrapwork buy"),IFERROR(VLOOKUP(C184,Upgrades!$N$4:$T$47,2,FALSE),0)="scraps"),IFERROR(FLOOR(IFERROR(VLOOKUP(C184,Upgrades!$N$4:$T$47,3,FALSE),0)*(IFERROR(VLOOKUP(C184,Upgrades!$N$4:$T$47,4,FALSE),0)^(COUNTIFS($B$3:$B183,"Buy upgrade",$C$3:$C183,C184)+COUNTIFS($B$3:$B183,"Hire hunter",$C$3:$C183,C184)+COUNTIFS($B$3:$B183,"Forge/Scrapwork buy",$C$3:$C183,C184))),1),0),0))</f>
        <v/>
      </c>
      <c r="K184" s="7">
        <f>MAX(0,K183+IF(AND((E184="OK"),B184="Hunt"),IF(C184="Thornpelt Bear",(IF(B184="Hunt",(('Rules &amp; Formulas'!B4*N183*('Rules &amp; Formulas'!B5+O183)*IFERROR(VLOOKUP(C184,Monsters!$T$4:$AH$15,10,FALSE),0)*IFERROR(VLOOKUP(C184,Monsters!$T$4:$AH$15,9,FALSE),0))*'Rules &amp; Formulas'!B6)*IF(D184="",0,D184),0))*0.12,0),0)+IF(AND((E184="OK"),B184="Go AFK"),IF(C184="Thornpelt Bear",(IF(B184="Go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AFK",IF(D184="",0,D184),0),Z183/60)*60)),0))*0.12,0),0))</f>
        <v/>
      </c>
      <c r="L184" s="7">
        <f>MAX(0,L183+IF(AND((E184="OK"),B184="Hunt"),IF(C184="Dire Thornpelt",(IF(B184="Hunt",(('Rules &amp; Formulas'!B4*N183*('Rules &amp; Formulas'!B5+O183)*IFERROR(VLOOKUP(C184,Monsters!$T$4:$AH$15,10,FALSE),0)*IFERROR(VLOOKUP(C184,Monsters!$T$4:$AH$15,9,FALSE),0))*'Rules &amp; Formulas'!B6)*IF(D184="",0,D184),0))*0.1,0),0)+IF(AND((E184="OK"),B184="Go AFK"),IF(C184="Dire Thornpelt",(IF(B184="Go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AFK",IF(D184="",0,D184),0),Z183/60)*60)),0))*0.1,0),0))</f>
        <v/>
      </c>
      <c r="M184" s="7">
        <f>IF(AND((E184="OK"),B184="Go AFK"),MAX(0,MIN(('Rules &amp; Formulas'!B15+25*AJ183),M183+('Rules &amp; Formulas'!B14+0.4*AJ183)*(MIN(IF(B184="Go AFK",IF(D184="",0,D184),0),Z183/60)*60))-(IF(B184="Go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AFK",IF(D184="",0,D184),0),Z183/60)*60)),0))*(IF((IFERROR(VLOOKUP(C184,Monsters!$T$4:$AH$15,8,FALSE),0))=0,0.35,IFERROR(VLOOKUP(C184,Monsters!$T$4:$AH$15,8,FALSE),0))/(1+0.08*AK183))),MIN(('Rules &amp; Formulas'!B15+25*AJ184),M183))</f>
        <v/>
      </c>
      <c r="N184" s="7">
        <f>(1+0.08+0.12*AA184+0.12*AB184+0.16*AC184)</f>
        <v/>
      </c>
      <c r="O184" s="7">
        <f>((AD184&gt;=1)*1*(1+0.3*AE184))</f>
        <v/>
      </c>
      <c r="P184" s="7">
        <f>IF(OR(B184="Hunt",B184="Go AFK"),(('Rules &amp; Formulas'!B4*N183*('Rules &amp; Formulas'!B5+O183)*IFERROR(VLOOKUP(C184,Monsters!$T$4:$AH$15,10,FALSE),0)*IFERROR(VLOOKUP(C184,Monsters!$T$4:$AH$15,9,FALSE),0))*'Rules &amp; Formulas'!B6),"")</f>
        <v/>
      </c>
      <c r="Q184" s="7">
        <f>IF(OR(B184="Hunt",B184="Go AFK"),('Rules &amp; Formulas'!B4*N183*('Rules &amp; Formulas'!B5+O183)*IFERROR(VLOOKUP(C184,Monsters!$T$4:$AH$15,10,FALSE),0)*IFERROR(VLOOKUP(C184,Monsters!$T$4:$AH$15,9,FALSE),0)),"")</f>
        <v/>
      </c>
      <c r="R184" s="7">
        <f>IF(AND((E184="OK"),B184="Hunt"),IF(B184="Hunt",(('Rules &amp; Formulas'!B4*N183*('Rules &amp; Formulas'!B5+O183)*IFERROR(VLOOKUP(C184,Monsters!$T$4:$AH$15,10,FALSE),0)*IFERROR(VLOOKUP(C184,Monsters!$T$4:$AH$15,9,FALSE),0))*'Rules &amp; Formulas'!B6)*IF(D184="",0,D184),0),IF(AND((E184="OK"),B184="Go AFK"),IF(B184="Go AFK",MIN(IF((IF((IFERROR(VLOOKUP(C184,Monsters!$T$4:$AH$15,8,FALSE),0))=0,0.35,IFERROR(VLOOKUP(C184,Monsters!$T$4:$AH$15,8,FALSE),0))/(1+0.08*AK183))&lt;=0,999999,FLOOR(MIN(('Rules &amp; Formulas'!B15+25*AJ183),M183+('Rules &amp; Formulas'!B14+0.4*AJ183)*(MIN(IF(B184="Go AFK",IF(D184="",0,D184),0),Z183/60)*60))/(IF((IFERROR(VLOOKUP(C184,Monsters!$T$4:$AH$15,8,FALSE),0))=0,0.35,IFERROR(VLOOKUP(C184,Monsters!$T$4:$AH$15,8,FALSE),0))/(1+0.08*AK183)),1)),('Rules &amp; Formulas'!B4*N183*('Rules &amp; Formulas'!B5+O183)*IFERROR(VLOOKUP(C184,Monsters!$T$4:$AH$15,10,FALSE),0)*IFERROR(VLOOKUP(C184,Monsters!$T$4:$AH$15,9,FALSE),0))*(MIN(IF(B184="Go AFK",IF(D184="",0,D184),0),Z183/60)*60)),0),0))</f>
        <v/>
      </c>
      <c r="S184" s="7">
        <f>(105/'Rules &amp; Formulas'!B10)*'Rules &amp; Formulas'!B11</f>
        <v/>
      </c>
      <c r="T184" s="7">
        <f>IF(AD183&gt;=1,(MAX(1,ROUND('Rules &amp; Formulas'!B18*(1+0.3*AE183)*(1+0.4*AF183),0)))*(1000/'Rules &amp; Formulas'!B19)*MIN(0.95,'Rules &amp; Formulas'!B20*SQRT(1+0.55*(AG183&gt;=1))),0)</f>
        <v/>
      </c>
      <c r="U184" s="7">
        <f>S184+T184</f>
        <v/>
      </c>
      <c r="V184" s="7">
        <f>IF(I183&gt;=IF((IFERROR(VLOOKUP(C184,Monsters!$T$4:$AH$15,15,FALSE),0))=0,120,IFERROR(VLOOKUP(C184,Monsters!$T$4:$AH$15,15,FALSE),0)),"YES","no")</f>
        <v/>
      </c>
      <c r="W184" s="7">
        <f>IF(AND(B184="Fight boss",E184="OK"),IF((((105/'Rules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Formulas'!B20*SQRT(1+0.55*(AG183&gt;=1))),0)))),"")</f>
        <v/>
      </c>
      <c r="X184" s="7">
        <f>IF(AND(B184="Fight boss",E184="OK"),IF((IF((((105/'Rules &amp; Formulas'!B10)*'Rules &amp; Formulas'!B11+IF(AD183&gt;=1,(MAX(1,ROUND('Rules &amp; Formulas'!B18*(1+0.3*AE183)*(1+0.4*AF183),0)))*(1000/'Rules &amp; Formulas'!B19)*MIN(0.95,'Rules &amp; Formulas'!B20*SQRT(1+0.55*(AG183&gt;=1))),0)))&lt;=0,9999,(IFERROR(VLOOKUP(C184,Monsters!$T$4:$AH$15,2,FALSE),0))/(((105/'Rules &amp; Formulas'!B10)*'Rules &amp; Formulas'!B11+IF(AD183&gt;=1,(MAX(1,ROUND('Rules &amp; Formulas'!B18*(1+0.3*AE183)*(1+0.4*AF183),0)))*(1000/'Rules &amp; Formulas'!B19)*MIN(0.95,'Rules &amp; Formulas'!B20*SQRT(1+0.55*(AG183&gt;=1))),0))))&lt;='Rules &amp; Formulas'!B12),"WIN","LOSE"),"")</f>
        <v/>
      </c>
      <c r="Y184" s="7">
        <f>IF(B184="Go AFK",MIN(IF(B184="Go AFK",IF(D184="",0,D184),0),Z183/60),"")</f>
        <v/>
      </c>
      <c r="Z184" s="7">
        <f>('Rules &amp; Formulas'!B13+30*AI184)</f>
        <v/>
      </c>
      <c r="AA184">
        <f>COUNTIFS($B$3:$B184,"Buy upgrade",$C$3:$C184,"Idle Power")</f>
        <v/>
      </c>
      <c r="AB184">
        <f>COUNTIFS($B$3:$B184,"Buy upgrade",$C$3:$C184,"Iron Blade")</f>
        <v/>
      </c>
      <c r="AC184">
        <f>COUNTIFS($B$3:$B184,"Buy upgrade",$C$3:$C184,"Steel Blade")</f>
        <v/>
      </c>
      <c r="AD184">
        <f>COUNTIFS($B$3:$B184,"Hire hunter",$C$3:$C184,"Briar")+COUNTIFS($B$3:$B184,"Buy upgrade",$C$3:$C184,"Hire Briar")</f>
        <v/>
      </c>
      <c r="AE184">
        <f>COUNTIFS($B$3:$B184,"Buy upgrade",$C$3:$C184,"Hunter Power")</f>
        <v/>
      </c>
      <c r="AF184">
        <f>COUNTIFS($B$3:$B184,"Buy upgrade",$C$3:$C184,"Bigger Hits")</f>
        <v/>
      </c>
      <c r="AG184">
        <f>COUNTIFS($B$3:$B184,"Buy upgrade",$C$3:$C184,"Swift Walk")</f>
        <v/>
      </c>
      <c r="AH184">
        <f>COUNTIFS($B$3:$B184,"Buy upgrade",$C$3:$C184,"Loot Luck")</f>
        <v/>
      </c>
      <c r="AI184">
        <f>COUNTIFS($B$3:$B184,"Buy upgrade",$C$3:$C184,"Offline Cap")</f>
        <v/>
      </c>
      <c r="AJ184">
        <f>COUNTIFS($B$3:$B184,"Buy upgrade",$C$3:$C184,"Bigger Food Stock")</f>
        <v/>
      </c>
      <c r="AK184">
        <f>COUNTIFS($B$3:$B184,"Buy upgrade",$C$3:$C184,"Food Efficiency")</f>
        <v/>
      </c>
    </row>
    <row r="185">
      <c r="A185" t="n">
        <v>183</v>
      </c>
      <c r="B185" s="6" t="n"/>
      <c r="C185" s="6" t="n"/>
      <c r="D185" s="6" t="n"/>
      <c r="E185" s="7">
        <f>IF(B185="","",IF(OR(B185="Hunt",B185="Go AFK"),IF(C185="","Can't","OK"),IF(B185="Fight boss",IF(I184&lt;IF((IFERROR(VLOOKUP(C185,Monsters!$T$4:$AH$15,15,FALSE),0))=0,120,IFERROR(VLOOKUP(C185,Monsters!$T$4:$AH$15,15,FALSE),0)),"Can't","OK"),IF(B185="Hire hunter",IF(AND(C185="Briar",AD184&gt;=1),"Can't",IF(H184&lt;IF(C185="Briar",140,IF(C185="Quill",3650,IF(C185="Moss",4850,IF(C185="Ember",12200,0)))),"Can't","OK")),IF(OR(B185="Buy upgrade",B185="Forge/Scrapwork buy"),IF(IFERROR(VLOOKUP(C185,Upgrades!$N$4:$T$47,2,FALSE),0)="points","Can't",IF(IFERROR(VLOOKUP(C185,Upgrades!$N$4:$T$47,2,FALSE),0)="gold",IF(H184&lt;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buy",$C$3:$C184,C185))),1),0),"Can't","OK"),IF(IFERROR(VLOOKUP(C185,Upgrades!$N$4:$T$47,2,FALSE),0)="scraps",IF(J184&lt;IFERROR(FLOOR(IFERROR(VLOOKUP(C185,Upgrades!$N$4:$T$47,3,FALSE),0)*(IFERROR(VLOOKUP(C185,Upgrades!$N$4:$T$47,4,FALSE),0)^(COUNTIFS($B$3:$B184,"Buy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buy",$C$3:$C184,C185))),1),0),"Can't","OK"),IF(IFERROR(VLOOKUP(C185,Upgrades!$N$4:$T$47,2,FALSE),0)="mats","Can't","OK")))),"Check")))))</f>
        <v/>
      </c>
      <c r="F185" s="7">
        <f>IF(B185="","",IF(AND(B185="Fight boss",I184&lt;IF((IFERROR(VLOOKUP(C185,Monsters!$T$4:$AH$15,15,FALSE),0))=0,120,IFERROR(VLOOKUP(C185,Monsters!$T$4:$AH$15,15,FALSE),0))),"Can't — need "&amp;TEXT(IF((IFERROR(VLOOKUP(C185,Monsters!$T$4:$AH$15,15,FALSE),0))=0,120,IFERROR(VLOOKUP(C185,Monsters!$T$4:$AH$15,15,FALSE),0))-I184,"0.0")&amp;" more Slayer points on the meter",IF(AND(B185="Hire hunter",C185="Briar",AD184&gt;=1),"Can't — already hired",IF(AND(B185="Hire hunter",H184&lt;IF(C185="Briar",140,IF(C185="Quill",3650,IF(C185="Moss",4850,IF(C185="Ember",12200,0))))),"Can't — need "&amp;TEXT(IF(C185="Briar",140,IF(C185="Quill",3650,IF(C185="Moss",4850,IF(C185="Ember",12200,0))))-H184,"0")&amp;" more gold",IF(AND(OR(B185="Buy upgrade",B185="Forge/Scrapwork buy"),IFERROR(VLOOKUP(C185,Upgrades!$N$4:$T$47,2,FALSE),0)="points"),"Can't — Sp-wallet spends not tracked here",IF(AND(OR(B185="Buy upgrade",B185="Forge/Scrapwork buy"),IFERROR(VLOOKUP(C185,Upgrades!$N$4:$T$47,2,FALSE),0)="gold",H184&lt;IFERROR(FLOOR(IFERROR(VLOOKUP(C185,Upgrades!$N$4:$T$47,3,FALSE),0)*(IFERROR(VLOOKUP(C185,Upgrades!$N$4:$T$47,4,FALSE),0)^(COUNTIFS($B$3:$B184,"Buy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buy",$C$3:$C184,C185))),1),0)),"Can't — need "&amp;TEXT(IFERROR(FLOOR(IFERROR(VLOOKUP(C185,Upgrades!$N$4:$T$47,3,FALSE),0)*(IFERROR(VLOOKUP(C185,Upgrades!$N$4:$T$47,4,FALSE),0)^(COUNTIFS($B$3:$B184,"Buy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buy",$C$3:$C184,C185))),1),0)-H184,"0")&amp;" more gold",IF(AND(OR(B185="Buy upgrade",B185="Forge/Scrapwork buy"),IFERROR(VLOOKUP(C185,Upgrades!$N$4:$T$47,2,FALSE),0)="scraps",J184&lt;IFERROR(FLOOR(IFERROR(VLOOKUP(C185,Upgrades!$N$4:$T$47,3,FALSE),0)*(IFERROR(VLOOKUP(C185,Upgrades!$N$4:$T$47,4,FALSE),0)^(COUNTIFS($B$3:$B184,"Buy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buy",$C$3:$C184,C185))),1),0)),"Can't — need "&amp;TEXT(IFERROR(FLOOR(IFERROR(VLOOKUP(C185,Upgrades!$N$4:$T$47,3,FALSE),0)*(IFERROR(VLOOKUP(C185,Upgrades!$N$4:$T$47,4,FALSE),0)^(COUNTIFS($B$3:$B184,"Buy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buy",$C$3:$C184,C185))),1),0)-J184,"0")&amp;" more scraps",IF(AND(B185="Fight boss",E185="OK",(IF((((105/'Rules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Formulas'!B12)),"WIN — boss down, next Level unlocks",IF(AND(B185="Fight boss",E185="OK"),"LOSE — TTK "&amp;TEXT(IF((((105/'Rules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Formulas'!B20*SQRT(1+0.55*(AG184&gt;=1))),0)))),"0")&amp;"s &gt; patience "&amp;TEXT('Rules &amp; Formulas'!B12,"0")&amp;"s (leave resets HP)",IF(B185="Go AFK","AFK resolved (see AFK counted h)","Applied")))))))))</f>
        <v/>
      </c>
      <c r="G185" s="7">
        <f>IF(AND((E185="OK"),B185="Fight boss",(IF((((105/'Rules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Formulas'!B12),C185="Elder Thornpelt"),2,IF(AND((E185="OK"),B185="Fight boss",(IF((((105/'Rules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Formulas'!B12),C185="Ashfang Alpha"),3,G184))</f>
        <v/>
      </c>
      <c r="H185" s="7">
        <f>MAX(0,H184+IF(AND((E185="OK"),B185="Hunt"),(IF(B185="Hunt",(('Rules &amp; Formulas'!B4*N184*('Rules &amp; Formulas'!B5+O184)*IFERROR(VLOOKUP(C185,Monsters!$T$4:$AH$15,10,FALSE),0)*IFERROR(VLOOKUP(C185,Monsters!$T$4:$AH$15,9,FALSE),0))*'Rules &amp; Formulas'!B6)*IF(D185="",0,D185),0))*(IFERROR(VLOOKUP(C185,Monsters!$T$4:$AH$15,3,FALSE),0))*(1+0.1*AH184)+(IF(OR(B185&lt;&gt;"Hunt",IFERROR(VLOOKUP(C185,Monsters!$T$4:$AH$15,6,FALSE),0)=0),0,FLOOR((IF(B185="Hunt",(('Rules &amp; Formulas'!B4*N184*('Rules &amp; Formulas'!B5+O184)*IFERROR(VLOOKUP(C185,Monsters!$T$4:$AH$15,10,FALSE),0)*IFERROR(VLOOKUP(C185,Monsters!$T$4:$AH$15,9,FALSE),0))*'Rules &amp; Formulas'!B6)*IF(D185="",0,D185),0))/MAX(1,IFERROR(VLOOKUP(C185,Monsters!$T$4:$AH$15,6,FALSE),0)),1)))*(IFERROR(VLOOKUP(C185,Monsters!$T$4:$AH$15,7,FALSE),0))*0.5*(1+0.1*AH184),0)+IF(AND((E185="OK"),B185="Go AFK"),(IF(B185="Go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AFK",IF(D185="",0,D185),0),Z184/60)*60)),0))*(IFERROR(VLOOKUP(C185,Monsters!$T$4:$AH$15,3,FALSE),0))*(1+0.1*AH184)+(IF(OR(B185&lt;&gt;"Go AFK",IFERROR(VLOOKUP(C185,Monsters!$T$4:$AH$15,6,FALSE),0)=0),0,FLOOR((IF(B185="Go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AFK",IF(D185="",0,D185),0),Z184/60)*60)),0))/MAX(1,IFERROR(VLOOKUP(C185,Monsters!$T$4:$AH$15,6,FALSE),0)),1)))*(IFERROR(VLOOKUP(C185,Monsters!$T$4:$AH$15,7,FALSE),0))*0.5*(1+0.1*AH184),0)+IF(AND((E185="OK"),B185="Fight boss",(IF((((105/'Rules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Formulas'!B12)),IFERROR(VLOOKUP(C185,Monsters!$T$4:$AH$15,3,FALSE),0),0)-IF(AND((E185="OK"),OR(B185="Buy upgrade",B185="Forge/Scrapwork buy"),IFERROR(VLOOKUP(C185,Upgrades!$N$4:$T$47,2,FALSE),0)="gold"),IFERROR(FLOOR(IFERROR(VLOOKUP(C185,Upgrades!$N$4:$T$47,3,FALSE),0)*(IFERROR(VLOOKUP(C185,Upgrades!$N$4:$T$47,4,FALSE),0)^(COUNTIFS($B$3:$B184,"Buy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buy",$C$3:$C184,C185))),1),0),0)-IF(AND((E185="OK"),B185="Hire hunter"),IF(C185="Briar",140,IF(C185="Quill",3650,IF(C185="Moss",4850,IF(C185="Ember",12200,0)))),0))</f>
        <v/>
      </c>
      <c r="I185" s="7">
        <f>IF(AND((E185="OK"),B185="Fight boss",(IF((((105/'Rules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Formulas'!B12)),0,MIN(IF(G184&lt;=1,120,IF(G184=2,280,600)),I184+IF(AND((E185="OK"),B185="Hunt"),((IF(B185="Hunt",(('Rules &amp; Formulas'!B4*N184*('Rules &amp; Formulas'!B5+O184)*IFERROR(VLOOKUP(C185,Monsters!$T$4:$AH$15,10,FALSE),0)*IFERROR(VLOOKUP(C185,Monsters!$T$4:$AH$15,9,FALSE),0))*'Rules &amp; Formulas'!B6)*IF(D185="",0,D185),0))*(IFERROR(VLOOKUP(C185,Monsters!$T$4:$AH$15,4,FALSE),0))+(IF(OR(B185&lt;&gt;"Hunt",IFERROR(VLOOKUP(C185,Monsters!$T$4:$AH$15,6,FALSE),0)=0),0,FLOOR((IF(B185="Hunt",(('Rules &amp; Formulas'!B4*N184*('Rules &amp; Formulas'!B5+O184)*IFERROR(VLOOKUP(C185,Monsters!$T$4:$AH$15,10,FALSE),0)*IFERROR(VLOOKUP(C185,Monsters!$T$4:$AH$15,9,FALSE),0))*'Rules &amp; Formulas'!B6)*IF(D185="",0,D185),0))/MAX(1,IFERROR(VLOOKUP(C185,Monsters!$T$4:$AH$15,6,FALSE),0)),1)))*(IFERROR(VLOOKUP(C185,Monsters!$T$4:$AH$15,7,FALSE),0))),0)+IF(AND((E185="OK"),B185="Go AFK"),((IF(B185="Go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AFK",IF(D185="",0,D185),0),Z184/60)*60)),0))*(IFERROR(VLOOKUP(C185,Monsters!$T$4:$AH$15,4,FALSE),0))+(IF(OR(B185&lt;&gt;"Go AFK",IFERROR(VLOOKUP(C185,Monsters!$T$4:$AH$15,6,FALSE),0)=0),0,FLOOR((IF(B185="Go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AFK",IF(D185="",0,D185),0),Z184/60)*60)),0))/MAX(1,IFERROR(VLOOKUP(C185,Monsters!$T$4:$AH$15,6,FALSE),0)),1)))*(IFERROR(VLOOKUP(C185,Monsters!$T$4:$AH$15,7,FALSE),0))),0)))</f>
        <v/>
      </c>
      <c r="J185" s="7">
        <f>MAX(0,J184+IF(AND((E185="OK"),B185="Hunt"),(IF(B185="Hunt",(('Rules &amp; Formulas'!B4*N184*('Rules &amp; Formulas'!B5+O184)*IFERROR(VLOOKUP(C185,Monsters!$T$4:$AH$15,10,FALSE),0)*IFERROR(VLOOKUP(C185,Monsters!$T$4:$AH$15,9,FALSE),0))*'Rules &amp; Formulas'!B6)*IF(D185="",0,D185),0))*(IFERROR(VLOOKUP(C185,Monsters!$T$4:$AH$15,5,FALSE),0)),0)+IF(AND((E185="OK"),B185="Go AFK"),(IF(B185="Go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AFK",IF(D185="",0,D185),0),Z184/60)*60)),0))*(IFERROR(VLOOKUP(C185,Monsters!$T$4:$AH$15,5,FALSE),0)),0)-IF(AND((E185="OK"),OR(B185="Buy upgrade",B185="Forge/Scrapwork buy"),IFERROR(VLOOKUP(C185,Upgrades!$N$4:$T$47,2,FALSE),0)="scraps"),IFERROR(FLOOR(IFERROR(VLOOKUP(C185,Upgrades!$N$4:$T$47,3,FALSE),0)*(IFERROR(VLOOKUP(C185,Upgrades!$N$4:$T$47,4,FALSE),0)^(COUNTIFS($B$3:$B184,"Buy upgrade",$C$3:$C184,C185)+COUNTIFS($B$3:$B184,"Hire hunter",$C$3:$C184,C185)+COUNTIFS($B$3:$B184,"Forge/Scrapwork buy",$C$3:$C184,C185))),1),0),0))</f>
        <v/>
      </c>
      <c r="K185" s="7">
        <f>MAX(0,K184+IF(AND((E185="OK"),B185="Hunt"),IF(C185="Thornpelt Bear",(IF(B185="Hunt",(('Rules &amp; Formulas'!B4*N184*('Rules &amp; Formulas'!B5+O184)*IFERROR(VLOOKUP(C185,Monsters!$T$4:$AH$15,10,FALSE),0)*IFERROR(VLOOKUP(C185,Monsters!$T$4:$AH$15,9,FALSE),0))*'Rules &amp; Formulas'!B6)*IF(D185="",0,D185),0))*0.12,0),0)+IF(AND((E185="OK"),B185="Go AFK"),IF(C185="Thornpelt Bear",(IF(B185="Go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AFK",IF(D185="",0,D185),0),Z184/60)*60)),0))*0.12,0),0))</f>
        <v/>
      </c>
      <c r="L185" s="7">
        <f>MAX(0,L184+IF(AND((E185="OK"),B185="Hunt"),IF(C185="Dire Thornpelt",(IF(B185="Hunt",(('Rules &amp; Formulas'!B4*N184*('Rules &amp; Formulas'!B5+O184)*IFERROR(VLOOKUP(C185,Monsters!$T$4:$AH$15,10,FALSE),0)*IFERROR(VLOOKUP(C185,Monsters!$T$4:$AH$15,9,FALSE),0))*'Rules &amp; Formulas'!B6)*IF(D185="",0,D185),0))*0.1,0),0)+IF(AND((E185="OK"),B185="Go AFK"),IF(C185="Dire Thornpelt",(IF(B185="Go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AFK",IF(D185="",0,D185),0),Z184/60)*60)),0))*0.1,0),0))</f>
        <v/>
      </c>
      <c r="M185" s="7">
        <f>IF(AND((E185="OK"),B185="Go AFK"),MAX(0,MIN(('Rules &amp; Formulas'!B15+25*AJ184),M184+('Rules &amp; Formulas'!B14+0.4*AJ184)*(MIN(IF(B185="Go AFK",IF(D185="",0,D185),0),Z184/60)*60))-(IF(B185="Go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AFK",IF(D185="",0,D185),0),Z184/60)*60)),0))*(IF((IFERROR(VLOOKUP(C185,Monsters!$T$4:$AH$15,8,FALSE),0))=0,0.35,IFERROR(VLOOKUP(C185,Monsters!$T$4:$AH$15,8,FALSE),0))/(1+0.08*AK184))),MIN(('Rules &amp; Formulas'!B15+25*AJ185),M184))</f>
        <v/>
      </c>
      <c r="N185" s="7">
        <f>(1+0.08+0.12*AA185+0.12*AB185+0.16*AC185)</f>
        <v/>
      </c>
      <c r="O185" s="7">
        <f>((AD185&gt;=1)*1*(1+0.3*AE185))</f>
        <v/>
      </c>
      <c r="P185" s="7">
        <f>IF(OR(B185="Hunt",B185="Go AFK"),(('Rules &amp; Formulas'!B4*N184*('Rules &amp; Formulas'!B5+O184)*IFERROR(VLOOKUP(C185,Monsters!$T$4:$AH$15,10,FALSE),0)*IFERROR(VLOOKUP(C185,Monsters!$T$4:$AH$15,9,FALSE),0))*'Rules &amp; Formulas'!B6),"")</f>
        <v/>
      </c>
      <c r="Q185" s="7">
        <f>IF(OR(B185="Hunt",B185="Go AFK"),('Rules &amp; Formulas'!B4*N184*('Rules &amp; Formulas'!B5+O184)*IFERROR(VLOOKUP(C185,Monsters!$T$4:$AH$15,10,FALSE),0)*IFERROR(VLOOKUP(C185,Monsters!$T$4:$AH$15,9,FALSE),0)),"")</f>
        <v/>
      </c>
      <c r="R185" s="7">
        <f>IF(AND((E185="OK"),B185="Hunt"),IF(B185="Hunt",(('Rules &amp; Formulas'!B4*N184*('Rules &amp; Formulas'!B5+O184)*IFERROR(VLOOKUP(C185,Monsters!$T$4:$AH$15,10,FALSE),0)*IFERROR(VLOOKUP(C185,Monsters!$T$4:$AH$15,9,FALSE),0))*'Rules &amp; Formulas'!B6)*IF(D185="",0,D185),0),IF(AND((E185="OK"),B185="Go AFK"),IF(B185="Go AFK",MIN(IF((IF((IFERROR(VLOOKUP(C185,Monsters!$T$4:$AH$15,8,FALSE),0))=0,0.35,IFERROR(VLOOKUP(C185,Monsters!$T$4:$AH$15,8,FALSE),0))/(1+0.08*AK184))&lt;=0,999999,FLOOR(MIN(('Rules &amp; Formulas'!B15+25*AJ184),M184+('Rules &amp; Formulas'!B14+0.4*AJ184)*(MIN(IF(B185="Go AFK",IF(D185="",0,D185),0),Z184/60)*60))/(IF((IFERROR(VLOOKUP(C185,Monsters!$T$4:$AH$15,8,FALSE),0))=0,0.35,IFERROR(VLOOKUP(C185,Monsters!$T$4:$AH$15,8,FALSE),0))/(1+0.08*AK184)),1)),('Rules &amp; Formulas'!B4*N184*('Rules &amp; Formulas'!B5+O184)*IFERROR(VLOOKUP(C185,Monsters!$T$4:$AH$15,10,FALSE),0)*IFERROR(VLOOKUP(C185,Monsters!$T$4:$AH$15,9,FALSE),0))*(MIN(IF(B185="Go AFK",IF(D185="",0,D185),0),Z184/60)*60)),0),0))</f>
        <v/>
      </c>
      <c r="S185" s="7">
        <f>(105/'Rules &amp; Formulas'!B10)*'Rules &amp; Formulas'!B11</f>
        <v/>
      </c>
      <c r="T185" s="7">
        <f>IF(AD184&gt;=1,(MAX(1,ROUND('Rules &amp; Formulas'!B18*(1+0.3*AE184)*(1+0.4*AF184),0)))*(1000/'Rules &amp; Formulas'!B19)*MIN(0.95,'Rules &amp; Formulas'!B20*SQRT(1+0.55*(AG184&gt;=1))),0)</f>
        <v/>
      </c>
      <c r="U185" s="7">
        <f>S185+T185</f>
        <v/>
      </c>
      <c r="V185" s="7">
        <f>IF(I184&gt;=IF((IFERROR(VLOOKUP(C185,Monsters!$T$4:$AH$15,15,FALSE),0))=0,120,IFERROR(VLOOKUP(C185,Monsters!$T$4:$AH$15,15,FALSE),0)),"YES","no")</f>
        <v/>
      </c>
      <c r="W185" s="7">
        <f>IF(AND(B185="Fight boss",E185="OK"),IF((((105/'Rules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Formulas'!B20*SQRT(1+0.55*(AG184&gt;=1))),0)))),"")</f>
        <v/>
      </c>
      <c r="X185" s="7">
        <f>IF(AND(B185="Fight boss",E185="OK"),IF((IF((((105/'Rules &amp; Formulas'!B10)*'Rules &amp; Formulas'!B11+IF(AD184&gt;=1,(MAX(1,ROUND('Rules &amp; Formulas'!B18*(1+0.3*AE184)*(1+0.4*AF184),0)))*(1000/'Rules &amp; Formulas'!B19)*MIN(0.95,'Rules &amp; Formulas'!B20*SQRT(1+0.55*(AG184&gt;=1))),0)))&lt;=0,9999,(IFERROR(VLOOKUP(C185,Monsters!$T$4:$AH$15,2,FALSE),0))/(((105/'Rules &amp; Formulas'!B10)*'Rules &amp; Formulas'!B11+IF(AD184&gt;=1,(MAX(1,ROUND('Rules &amp; Formulas'!B18*(1+0.3*AE184)*(1+0.4*AF184),0)))*(1000/'Rules &amp; Formulas'!B19)*MIN(0.95,'Rules &amp; Formulas'!B20*SQRT(1+0.55*(AG184&gt;=1))),0))))&lt;='Rules &amp; Formulas'!B12),"WIN","LOSE"),"")</f>
        <v/>
      </c>
      <c r="Y185" s="7">
        <f>IF(B185="Go AFK",MIN(IF(B185="Go AFK",IF(D185="",0,D185),0),Z184/60),"")</f>
        <v/>
      </c>
      <c r="Z185" s="7">
        <f>('Rules &amp; Formulas'!B13+30*AI185)</f>
        <v/>
      </c>
      <c r="AA185">
        <f>COUNTIFS($B$3:$B185,"Buy upgrade",$C$3:$C185,"Idle Power")</f>
        <v/>
      </c>
      <c r="AB185">
        <f>COUNTIFS($B$3:$B185,"Buy upgrade",$C$3:$C185,"Iron Blade")</f>
        <v/>
      </c>
      <c r="AC185">
        <f>COUNTIFS($B$3:$B185,"Buy upgrade",$C$3:$C185,"Steel Blade")</f>
        <v/>
      </c>
      <c r="AD185">
        <f>COUNTIFS($B$3:$B185,"Hire hunter",$C$3:$C185,"Briar")+COUNTIFS($B$3:$B185,"Buy upgrade",$C$3:$C185,"Hire Briar")</f>
        <v/>
      </c>
      <c r="AE185">
        <f>COUNTIFS($B$3:$B185,"Buy upgrade",$C$3:$C185,"Hunter Power")</f>
        <v/>
      </c>
      <c r="AF185">
        <f>COUNTIFS($B$3:$B185,"Buy upgrade",$C$3:$C185,"Bigger Hits")</f>
        <v/>
      </c>
      <c r="AG185">
        <f>COUNTIFS($B$3:$B185,"Buy upgrade",$C$3:$C185,"Swift Walk")</f>
        <v/>
      </c>
      <c r="AH185">
        <f>COUNTIFS($B$3:$B185,"Buy upgrade",$C$3:$C185,"Loot Luck")</f>
        <v/>
      </c>
      <c r="AI185">
        <f>COUNTIFS($B$3:$B185,"Buy upgrade",$C$3:$C185,"Offline Cap")</f>
        <v/>
      </c>
      <c r="AJ185">
        <f>COUNTIFS($B$3:$B185,"Buy upgrade",$C$3:$C185,"Bigger Food Stock")</f>
        <v/>
      </c>
      <c r="AK185">
        <f>COUNTIFS($B$3:$B185,"Buy upgrade",$C$3:$C185,"Food Efficiency")</f>
        <v/>
      </c>
    </row>
    <row r="186">
      <c r="A186" t="n">
        <v>184</v>
      </c>
      <c r="B186" s="6" t="n"/>
      <c r="C186" s="6" t="n"/>
      <c r="D186" s="6" t="n"/>
      <c r="E186" s="7">
        <f>IF(B186="","",IF(OR(B186="Hunt",B186="Go AFK"),IF(C186="","Can't","OK"),IF(B186="Fight boss",IF(I185&lt;IF((IFERROR(VLOOKUP(C186,Monsters!$T$4:$AH$15,15,FALSE),0))=0,120,IFERROR(VLOOKUP(C186,Monsters!$T$4:$AH$15,15,FALSE),0)),"Can't","OK"),IF(B186="Hire hunter",IF(AND(C186="Briar",AD185&gt;=1),"Can't",IF(H185&lt;IF(C186="Briar",140,IF(C186="Quill",3650,IF(C186="Moss",4850,IF(C186="Ember",12200,0)))),"Can't","OK")),IF(OR(B186="Buy upgrade",B186="Forge/Scrapwork buy"),IF(IFERROR(VLOOKUP(C186,Upgrades!$N$4:$T$47,2,FALSE),0)="points","Can't",IF(IFERROR(VLOOKUP(C186,Upgrades!$N$4:$T$47,2,FALSE),0)="gold",IF(H185&lt;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buy",$C$3:$C185,C186))),1),0),"Can't","OK"),IF(IFERROR(VLOOKUP(C186,Upgrades!$N$4:$T$47,2,FALSE),0)="scraps",IF(J185&lt;IFERROR(FLOOR(IFERROR(VLOOKUP(C186,Upgrades!$N$4:$T$47,3,FALSE),0)*(IFERROR(VLOOKUP(C186,Upgrades!$N$4:$T$47,4,FALSE),0)^(COUNTIFS($B$3:$B185,"Buy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buy",$C$3:$C185,C186))),1),0),"Can't","OK"),IF(IFERROR(VLOOKUP(C186,Upgrades!$N$4:$T$47,2,FALSE),0)="mats","Can't","OK")))),"Check")))))</f>
        <v/>
      </c>
      <c r="F186" s="7">
        <f>IF(B186="","",IF(AND(B186="Fight boss",I185&lt;IF((IFERROR(VLOOKUP(C186,Monsters!$T$4:$AH$15,15,FALSE),0))=0,120,IFERROR(VLOOKUP(C186,Monsters!$T$4:$AH$15,15,FALSE),0))),"Can't — need "&amp;TEXT(IF((IFERROR(VLOOKUP(C186,Monsters!$T$4:$AH$15,15,FALSE),0))=0,120,IFERROR(VLOOKUP(C186,Monsters!$T$4:$AH$15,15,FALSE),0))-I185,"0.0")&amp;" more Slayer points on the meter",IF(AND(B186="Hire hunter",C186="Briar",AD185&gt;=1),"Can't — already hired",IF(AND(B186="Hire hunter",H185&lt;IF(C186="Briar",140,IF(C186="Quill",3650,IF(C186="Moss",4850,IF(C186="Ember",12200,0))))),"Can't — need "&amp;TEXT(IF(C186="Briar",140,IF(C186="Quill",3650,IF(C186="Moss",4850,IF(C186="Ember",12200,0))))-H185,"0")&amp;" more gold",IF(AND(OR(B186="Buy upgrade",B186="Forge/Scrapwork buy"),IFERROR(VLOOKUP(C186,Upgrades!$N$4:$T$47,2,FALSE),0)="points"),"Can't — Sp-wallet spends not tracked here",IF(AND(OR(B186="Buy upgrade",B186="Forge/Scrapwork buy"),IFERROR(VLOOKUP(C186,Upgrades!$N$4:$T$47,2,FALSE),0)="gold",H185&lt;IFERROR(FLOOR(IFERROR(VLOOKUP(C186,Upgrades!$N$4:$T$47,3,FALSE),0)*(IFERROR(VLOOKUP(C186,Upgrades!$N$4:$T$47,4,FALSE),0)^(COUNTIFS($B$3:$B185,"Buy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buy",$C$3:$C185,C186))),1),0)),"Can't — need "&amp;TEXT(IFERROR(FLOOR(IFERROR(VLOOKUP(C186,Upgrades!$N$4:$T$47,3,FALSE),0)*(IFERROR(VLOOKUP(C186,Upgrades!$N$4:$T$47,4,FALSE),0)^(COUNTIFS($B$3:$B185,"Buy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buy",$C$3:$C185,C186))),1),0)-H185,"0")&amp;" more gold",IF(AND(OR(B186="Buy upgrade",B186="Forge/Scrapwork buy"),IFERROR(VLOOKUP(C186,Upgrades!$N$4:$T$47,2,FALSE),0)="scraps",J185&lt;IFERROR(FLOOR(IFERROR(VLOOKUP(C186,Upgrades!$N$4:$T$47,3,FALSE),0)*(IFERROR(VLOOKUP(C186,Upgrades!$N$4:$T$47,4,FALSE),0)^(COUNTIFS($B$3:$B185,"Buy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buy",$C$3:$C185,C186))),1),0)),"Can't — need "&amp;TEXT(IFERROR(FLOOR(IFERROR(VLOOKUP(C186,Upgrades!$N$4:$T$47,3,FALSE),0)*(IFERROR(VLOOKUP(C186,Upgrades!$N$4:$T$47,4,FALSE),0)^(COUNTIFS($B$3:$B185,"Buy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buy",$C$3:$C185,C186))),1),0)-J185,"0")&amp;" more scraps",IF(AND(B186="Fight boss",E186="OK",(IF((((105/'Rules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Formulas'!B12)),"WIN — boss down, next Level unlocks",IF(AND(B186="Fight boss",E186="OK"),"LOSE — TTK "&amp;TEXT(IF((((105/'Rules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Formulas'!B20*SQRT(1+0.55*(AG185&gt;=1))),0)))),"0")&amp;"s &gt; patience "&amp;TEXT('Rules &amp; Formulas'!B12,"0")&amp;"s (leave resets HP)",IF(B186="Go AFK","AFK resolved (see AFK counted h)","Applied")))))))))</f>
        <v/>
      </c>
      <c r="G186" s="7">
        <f>IF(AND((E186="OK"),B186="Fight boss",(IF((((105/'Rules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Formulas'!B12),C186="Elder Thornpelt"),2,IF(AND((E186="OK"),B186="Fight boss",(IF((((105/'Rules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Formulas'!B12),C186="Ashfang Alpha"),3,G185))</f>
        <v/>
      </c>
      <c r="H186" s="7">
        <f>MAX(0,H185+IF(AND((E186="OK"),B186="Hunt"),(IF(B186="Hunt",(('Rules &amp; Formulas'!B4*N185*('Rules &amp; Formulas'!B5+O185)*IFERROR(VLOOKUP(C186,Monsters!$T$4:$AH$15,10,FALSE),0)*IFERROR(VLOOKUP(C186,Monsters!$T$4:$AH$15,9,FALSE),0))*'Rules &amp; Formulas'!B6)*IF(D186="",0,D186),0))*(IFERROR(VLOOKUP(C186,Monsters!$T$4:$AH$15,3,FALSE),0))*(1+0.1*AH185)+(IF(OR(B186&lt;&gt;"Hunt",IFERROR(VLOOKUP(C186,Monsters!$T$4:$AH$15,6,FALSE),0)=0),0,FLOOR((IF(B186="Hunt",(('Rules &amp; Formulas'!B4*N185*('Rules &amp; Formulas'!B5+O185)*IFERROR(VLOOKUP(C186,Monsters!$T$4:$AH$15,10,FALSE),0)*IFERROR(VLOOKUP(C186,Monsters!$T$4:$AH$15,9,FALSE),0))*'Rules &amp; Formulas'!B6)*IF(D186="",0,D186),0))/MAX(1,IFERROR(VLOOKUP(C186,Monsters!$T$4:$AH$15,6,FALSE),0)),1)))*(IFERROR(VLOOKUP(C186,Monsters!$T$4:$AH$15,7,FALSE),0))*0.5*(1+0.1*AH185),0)+IF(AND((E186="OK"),B186="Go AFK"),(IF(B186="Go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AFK",IF(D186="",0,D186),0),Z185/60)*60)),0))*(IFERROR(VLOOKUP(C186,Monsters!$T$4:$AH$15,3,FALSE),0))*(1+0.1*AH185)+(IF(OR(B186&lt;&gt;"Go AFK",IFERROR(VLOOKUP(C186,Monsters!$T$4:$AH$15,6,FALSE),0)=0),0,FLOOR((IF(B186="Go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AFK",IF(D186="",0,D186),0),Z185/60)*60)),0))/MAX(1,IFERROR(VLOOKUP(C186,Monsters!$T$4:$AH$15,6,FALSE),0)),1)))*(IFERROR(VLOOKUP(C186,Monsters!$T$4:$AH$15,7,FALSE),0))*0.5*(1+0.1*AH185),0)+IF(AND((E186="OK"),B186="Fight boss",(IF((((105/'Rules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Formulas'!B12)),IFERROR(VLOOKUP(C186,Monsters!$T$4:$AH$15,3,FALSE),0),0)-IF(AND((E186="OK"),OR(B186="Buy upgrade",B186="Forge/Scrapwork buy"),IFERROR(VLOOKUP(C186,Upgrades!$N$4:$T$47,2,FALSE),0)="gold"),IFERROR(FLOOR(IFERROR(VLOOKUP(C186,Upgrades!$N$4:$T$47,3,FALSE),0)*(IFERROR(VLOOKUP(C186,Upgrades!$N$4:$T$47,4,FALSE),0)^(COUNTIFS($B$3:$B185,"Buy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buy",$C$3:$C185,C186))),1),0),0)-IF(AND((E186="OK"),B186="Hire hunter"),IF(C186="Briar",140,IF(C186="Quill",3650,IF(C186="Moss",4850,IF(C186="Ember",12200,0)))),0))</f>
        <v/>
      </c>
      <c r="I186" s="7">
        <f>IF(AND((E186="OK"),B186="Fight boss",(IF((((105/'Rules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Formulas'!B12)),0,MIN(IF(G185&lt;=1,120,IF(G185=2,280,600)),I185+IF(AND((E186="OK"),B186="Hunt"),((IF(B186="Hunt",(('Rules &amp; Formulas'!B4*N185*('Rules &amp; Formulas'!B5+O185)*IFERROR(VLOOKUP(C186,Monsters!$T$4:$AH$15,10,FALSE),0)*IFERROR(VLOOKUP(C186,Monsters!$T$4:$AH$15,9,FALSE),0))*'Rules &amp; Formulas'!B6)*IF(D186="",0,D186),0))*(IFERROR(VLOOKUP(C186,Monsters!$T$4:$AH$15,4,FALSE),0))+(IF(OR(B186&lt;&gt;"Hunt",IFERROR(VLOOKUP(C186,Monsters!$T$4:$AH$15,6,FALSE),0)=0),0,FLOOR((IF(B186="Hunt",(('Rules &amp; Formulas'!B4*N185*('Rules &amp; Formulas'!B5+O185)*IFERROR(VLOOKUP(C186,Monsters!$T$4:$AH$15,10,FALSE),0)*IFERROR(VLOOKUP(C186,Monsters!$T$4:$AH$15,9,FALSE),0))*'Rules &amp; Formulas'!B6)*IF(D186="",0,D186),0))/MAX(1,IFERROR(VLOOKUP(C186,Monsters!$T$4:$AH$15,6,FALSE),0)),1)))*(IFERROR(VLOOKUP(C186,Monsters!$T$4:$AH$15,7,FALSE),0))),0)+IF(AND((E186="OK"),B186="Go AFK"),((IF(B186="Go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AFK",IF(D186="",0,D186),0),Z185/60)*60)),0))*(IFERROR(VLOOKUP(C186,Monsters!$T$4:$AH$15,4,FALSE),0))+(IF(OR(B186&lt;&gt;"Go AFK",IFERROR(VLOOKUP(C186,Monsters!$T$4:$AH$15,6,FALSE),0)=0),0,FLOOR((IF(B186="Go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AFK",IF(D186="",0,D186),0),Z185/60)*60)),0))/MAX(1,IFERROR(VLOOKUP(C186,Monsters!$T$4:$AH$15,6,FALSE),0)),1)))*(IFERROR(VLOOKUP(C186,Monsters!$T$4:$AH$15,7,FALSE),0))),0)))</f>
        <v/>
      </c>
      <c r="J186" s="7">
        <f>MAX(0,J185+IF(AND((E186="OK"),B186="Hunt"),(IF(B186="Hunt",(('Rules &amp; Formulas'!B4*N185*('Rules &amp; Formulas'!B5+O185)*IFERROR(VLOOKUP(C186,Monsters!$T$4:$AH$15,10,FALSE),0)*IFERROR(VLOOKUP(C186,Monsters!$T$4:$AH$15,9,FALSE),0))*'Rules &amp; Formulas'!B6)*IF(D186="",0,D186),0))*(IFERROR(VLOOKUP(C186,Monsters!$T$4:$AH$15,5,FALSE),0)),0)+IF(AND((E186="OK"),B186="Go AFK"),(IF(B186="Go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AFK",IF(D186="",0,D186),0),Z185/60)*60)),0))*(IFERROR(VLOOKUP(C186,Monsters!$T$4:$AH$15,5,FALSE),0)),0)-IF(AND((E186="OK"),OR(B186="Buy upgrade",B186="Forge/Scrapwork buy"),IFERROR(VLOOKUP(C186,Upgrades!$N$4:$T$47,2,FALSE),0)="scraps"),IFERROR(FLOOR(IFERROR(VLOOKUP(C186,Upgrades!$N$4:$T$47,3,FALSE),0)*(IFERROR(VLOOKUP(C186,Upgrades!$N$4:$T$47,4,FALSE),0)^(COUNTIFS($B$3:$B185,"Buy upgrade",$C$3:$C185,C186)+COUNTIFS($B$3:$B185,"Hire hunter",$C$3:$C185,C186)+COUNTIFS($B$3:$B185,"Forge/Scrapwork buy",$C$3:$C185,C186))),1),0),0))</f>
        <v/>
      </c>
      <c r="K186" s="7">
        <f>MAX(0,K185+IF(AND((E186="OK"),B186="Hunt"),IF(C186="Thornpelt Bear",(IF(B186="Hunt",(('Rules &amp; Formulas'!B4*N185*('Rules &amp; Formulas'!B5+O185)*IFERROR(VLOOKUP(C186,Monsters!$T$4:$AH$15,10,FALSE),0)*IFERROR(VLOOKUP(C186,Monsters!$T$4:$AH$15,9,FALSE),0))*'Rules &amp; Formulas'!B6)*IF(D186="",0,D186),0))*0.12,0),0)+IF(AND((E186="OK"),B186="Go AFK"),IF(C186="Thornpelt Bear",(IF(B186="Go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AFK",IF(D186="",0,D186),0),Z185/60)*60)),0))*0.12,0),0))</f>
        <v/>
      </c>
      <c r="L186" s="7">
        <f>MAX(0,L185+IF(AND((E186="OK"),B186="Hunt"),IF(C186="Dire Thornpelt",(IF(B186="Hunt",(('Rules &amp; Formulas'!B4*N185*('Rules &amp; Formulas'!B5+O185)*IFERROR(VLOOKUP(C186,Monsters!$T$4:$AH$15,10,FALSE),0)*IFERROR(VLOOKUP(C186,Monsters!$T$4:$AH$15,9,FALSE),0))*'Rules &amp; Formulas'!B6)*IF(D186="",0,D186),0))*0.1,0),0)+IF(AND((E186="OK"),B186="Go AFK"),IF(C186="Dire Thornpelt",(IF(B186="Go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AFK",IF(D186="",0,D186),0),Z185/60)*60)),0))*0.1,0),0))</f>
        <v/>
      </c>
      <c r="M186" s="7">
        <f>IF(AND((E186="OK"),B186="Go AFK"),MAX(0,MIN(('Rules &amp; Formulas'!B15+25*AJ185),M185+('Rules &amp; Formulas'!B14+0.4*AJ185)*(MIN(IF(B186="Go AFK",IF(D186="",0,D186),0),Z185/60)*60))-(IF(B186="Go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AFK",IF(D186="",0,D186),0),Z185/60)*60)),0))*(IF((IFERROR(VLOOKUP(C186,Monsters!$T$4:$AH$15,8,FALSE),0))=0,0.35,IFERROR(VLOOKUP(C186,Monsters!$T$4:$AH$15,8,FALSE),0))/(1+0.08*AK185))),MIN(('Rules &amp; Formulas'!B15+25*AJ186),M185))</f>
        <v/>
      </c>
      <c r="N186" s="7">
        <f>(1+0.08+0.12*AA186+0.12*AB186+0.16*AC186)</f>
        <v/>
      </c>
      <c r="O186" s="7">
        <f>((AD186&gt;=1)*1*(1+0.3*AE186))</f>
        <v/>
      </c>
      <c r="P186" s="7">
        <f>IF(OR(B186="Hunt",B186="Go AFK"),(('Rules &amp; Formulas'!B4*N185*('Rules &amp; Formulas'!B5+O185)*IFERROR(VLOOKUP(C186,Monsters!$T$4:$AH$15,10,FALSE),0)*IFERROR(VLOOKUP(C186,Monsters!$T$4:$AH$15,9,FALSE),0))*'Rules &amp; Formulas'!B6),"")</f>
        <v/>
      </c>
      <c r="Q186" s="7">
        <f>IF(OR(B186="Hunt",B186="Go AFK"),('Rules &amp; Formulas'!B4*N185*('Rules &amp; Formulas'!B5+O185)*IFERROR(VLOOKUP(C186,Monsters!$T$4:$AH$15,10,FALSE),0)*IFERROR(VLOOKUP(C186,Monsters!$T$4:$AH$15,9,FALSE),0)),"")</f>
        <v/>
      </c>
      <c r="R186" s="7">
        <f>IF(AND((E186="OK"),B186="Hunt"),IF(B186="Hunt",(('Rules &amp; Formulas'!B4*N185*('Rules &amp; Formulas'!B5+O185)*IFERROR(VLOOKUP(C186,Monsters!$T$4:$AH$15,10,FALSE),0)*IFERROR(VLOOKUP(C186,Monsters!$T$4:$AH$15,9,FALSE),0))*'Rules &amp; Formulas'!B6)*IF(D186="",0,D186),0),IF(AND((E186="OK"),B186="Go AFK"),IF(B186="Go AFK",MIN(IF((IF((IFERROR(VLOOKUP(C186,Monsters!$T$4:$AH$15,8,FALSE),0))=0,0.35,IFERROR(VLOOKUP(C186,Monsters!$T$4:$AH$15,8,FALSE),0))/(1+0.08*AK185))&lt;=0,999999,FLOOR(MIN(('Rules &amp; Formulas'!B15+25*AJ185),M185+('Rules &amp; Formulas'!B14+0.4*AJ185)*(MIN(IF(B186="Go AFK",IF(D186="",0,D186),0),Z185/60)*60))/(IF((IFERROR(VLOOKUP(C186,Monsters!$T$4:$AH$15,8,FALSE),0))=0,0.35,IFERROR(VLOOKUP(C186,Monsters!$T$4:$AH$15,8,FALSE),0))/(1+0.08*AK185)),1)),('Rules &amp; Formulas'!B4*N185*('Rules &amp; Formulas'!B5+O185)*IFERROR(VLOOKUP(C186,Monsters!$T$4:$AH$15,10,FALSE),0)*IFERROR(VLOOKUP(C186,Monsters!$T$4:$AH$15,9,FALSE),0))*(MIN(IF(B186="Go AFK",IF(D186="",0,D186),0),Z185/60)*60)),0),0))</f>
        <v/>
      </c>
      <c r="S186" s="7">
        <f>(105/'Rules &amp; Formulas'!B10)*'Rules &amp; Formulas'!B11</f>
        <v/>
      </c>
      <c r="T186" s="7">
        <f>IF(AD185&gt;=1,(MAX(1,ROUND('Rules &amp; Formulas'!B18*(1+0.3*AE185)*(1+0.4*AF185),0)))*(1000/'Rules &amp; Formulas'!B19)*MIN(0.95,'Rules &amp; Formulas'!B20*SQRT(1+0.55*(AG185&gt;=1))),0)</f>
        <v/>
      </c>
      <c r="U186" s="7">
        <f>S186+T186</f>
        <v/>
      </c>
      <c r="V186" s="7">
        <f>IF(I185&gt;=IF((IFERROR(VLOOKUP(C186,Monsters!$T$4:$AH$15,15,FALSE),0))=0,120,IFERROR(VLOOKUP(C186,Monsters!$T$4:$AH$15,15,FALSE),0)),"YES","no")</f>
        <v/>
      </c>
      <c r="W186" s="7">
        <f>IF(AND(B186="Fight boss",E186="OK"),IF((((105/'Rules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Formulas'!B20*SQRT(1+0.55*(AG185&gt;=1))),0)))),"")</f>
        <v/>
      </c>
      <c r="X186" s="7">
        <f>IF(AND(B186="Fight boss",E186="OK"),IF((IF((((105/'Rules &amp; Formulas'!B10)*'Rules &amp; Formulas'!B11+IF(AD185&gt;=1,(MAX(1,ROUND('Rules &amp; Formulas'!B18*(1+0.3*AE185)*(1+0.4*AF185),0)))*(1000/'Rules &amp; Formulas'!B19)*MIN(0.95,'Rules &amp; Formulas'!B20*SQRT(1+0.55*(AG185&gt;=1))),0)))&lt;=0,9999,(IFERROR(VLOOKUP(C186,Monsters!$T$4:$AH$15,2,FALSE),0))/(((105/'Rules &amp; Formulas'!B10)*'Rules &amp; Formulas'!B11+IF(AD185&gt;=1,(MAX(1,ROUND('Rules &amp; Formulas'!B18*(1+0.3*AE185)*(1+0.4*AF185),0)))*(1000/'Rules &amp; Formulas'!B19)*MIN(0.95,'Rules &amp; Formulas'!B20*SQRT(1+0.55*(AG185&gt;=1))),0))))&lt;='Rules &amp; Formulas'!B12),"WIN","LOSE"),"")</f>
        <v/>
      </c>
      <c r="Y186" s="7">
        <f>IF(B186="Go AFK",MIN(IF(B186="Go AFK",IF(D186="",0,D186),0),Z185/60),"")</f>
        <v/>
      </c>
      <c r="Z186" s="7">
        <f>('Rules &amp; Formulas'!B13+30*AI186)</f>
        <v/>
      </c>
      <c r="AA186">
        <f>COUNTIFS($B$3:$B186,"Buy upgrade",$C$3:$C186,"Idle Power")</f>
        <v/>
      </c>
      <c r="AB186">
        <f>COUNTIFS($B$3:$B186,"Buy upgrade",$C$3:$C186,"Iron Blade")</f>
        <v/>
      </c>
      <c r="AC186">
        <f>COUNTIFS($B$3:$B186,"Buy upgrade",$C$3:$C186,"Steel Blade")</f>
        <v/>
      </c>
      <c r="AD186">
        <f>COUNTIFS($B$3:$B186,"Hire hunter",$C$3:$C186,"Briar")+COUNTIFS($B$3:$B186,"Buy upgrade",$C$3:$C186,"Hire Briar")</f>
        <v/>
      </c>
      <c r="AE186">
        <f>COUNTIFS($B$3:$B186,"Buy upgrade",$C$3:$C186,"Hunter Power")</f>
        <v/>
      </c>
      <c r="AF186">
        <f>COUNTIFS($B$3:$B186,"Buy upgrade",$C$3:$C186,"Bigger Hits")</f>
        <v/>
      </c>
      <c r="AG186">
        <f>COUNTIFS($B$3:$B186,"Buy upgrade",$C$3:$C186,"Swift Walk")</f>
        <v/>
      </c>
      <c r="AH186">
        <f>COUNTIFS($B$3:$B186,"Buy upgrade",$C$3:$C186,"Loot Luck")</f>
        <v/>
      </c>
      <c r="AI186">
        <f>COUNTIFS($B$3:$B186,"Buy upgrade",$C$3:$C186,"Offline Cap")</f>
        <v/>
      </c>
      <c r="AJ186">
        <f>COUNTIFS($B$3:$B186,"Buy upgrade",$C$3:$C186,"Bigger Food Stock")</f>
        <v/>
      </c>
      <c r="AK186">
        <f>COUNTIFS($B$3:$B186,"Buy upgrade",$C$3:$C186,"Food Efficiency")</f>
        <v/>
      </c>
    </row>
    <row r="187">
      <c r="A187" t="n">
        <v>185</v>
      </c>
      <c r="B187" s="6" t="n"/>
      <c r="C187" s="6" t="n"/>
      <c r="D187" s="6" t="n"/>
      <c r="E187" s="7">
        <f>IF(B187="","",IF(OR(B187="Hunt",B187="Go AFK"),IF(C187="","Can't","OK"),IF(B187="Fight boss",IF(I186&lt;IF((IFERROR(VLOOKUP(C187,Monsters!$T$4:$AH$15,15,FALSE),0))=0,120,IFERROR(VLOOKUP(C187,Monsters!$T$4:$AH$15,15,FALSE),0)),"Can't","OK"),IF(B187="Hire hunter",IF(AND(C187="Briar",AD186&gt;=1),"Can't",IF(H186&lt;IF(C187="Briar",140,IF(C187="Quill",3650,IF(C187="Moss",4850,IF(C187="Ember",12200,0)))),"Can't","OK")),IF(OR(B187="Buy upgrade",B187="Forge/Scrapwork buy"),IF(IFERROR(VLOOKUP(C187,Upgrades!$N$4:$T$47,2,FALSE),0)="points","Can't",IF(IFERROR(VLOOKUP(C187,Upgrades!$N$4:$T$47,2,FALSE),0)="gold",IF(H186&lt;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buy",$C$3:$C186,C187))),1),0),"Can't","OK"),IF(IFERROR(VLOOKUP(C187,Upgrades!$N$4:$T$47,2,FALSE),0)="scraps",IF(J186&lt;IFERROR(FLOOR(IFERROR(VLOOKUP(C187,Upgrades!$N$4:$T$47,3,FALSE),0)*(IFERROR(VLOOKUP(C187,Upgrades!$N$4:$T$47,4,FALSE),0)^(COUNTIFS($B$3:$B186,"Buy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buy",$C$3:$C186,C187))),1),0),"Can't","OK"),IF(IFERROR(VLOOKUP(C187,Upgrades!$N$4:$T$47,2,FALSE),0)="mats","Can't","OK")))),"Check")))))</f>
        <v/>
      </c>
      <c r="F187" s="7">
        <f>IF(B187="","",IF(AND(B187="Fight boss",I186&lt;IF((IFERROR(VLOOKUP(C187,Monsters!$T$4:$AH$15,15,FALSE),0))=0,120,IFERROR(VLOOKUP(C187,Monsters!$T$4:$AH$15,15,FALSE),0))),"Can't — need "&amp;TEXT(IF((IFERROR(VLOOKUP(C187,Monsters!$T$4:$AH$15,15,FALSE),0))=0,120,IFERROR(VLOOKUP(C187,Monsters!$T$4:$AH$15,15,FALSE),0))-I186,"0.0")&amp;" more Slayer points on the meter",IF(AND(B187="Hire hunter",C187="Briar",AD186&gt;=1),"Can't — already hired",IF(AND(B187="Hire hunter",H186&lt;IF(C187="Briar",140,IF(C187="Quill",3650,IF(C187="Moss",4850,IF(C187="Ember",12200,0))))),"Can't — need "&amp;TEXT(IF(C187="Briar",140,IF(C187="Quill",3650,IF(C187="Moss",4850,IF(C187="Ember",12200,0))))-H186,"0")&amp;" more gold",IF(AND(OR(B187="Buy upgrade",B187="Forge/Scrapwork buy"),IFERROR(VLOOKUP(C187,Upgrades!$N$4:$T$47,2,FALSE),0)="points"),"Can't — Sp-wallet spends not tracked here",IF(AND(OR(B187="Buy upgrade",B187="Forge/Scrapwork buy"),IFERROR(VLOOKUP(C187,Upgrades!$N$4:$T$47,2,FALSE),0)="gold",H186&lt;IFERROR(FLOOR(IFERROR(VLOOKUP(C187,Upgrades!$N$4:$T$47,3,FALSE),0)*(IFERROR(VLOOKUP(C187,Upgrades!$N$4:$T$47,4,FALSE),0)^(COUNTIFS($B$3:$B186,"Buy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buy",$C$3:$C186,C187))),1),0)),"Can't — need "&amp;TEXT(IFERROR(FLOOR(IFERROR(VLOOKUP(C187,Upgrades!$N$4:$T$47,3,FALSE),0)*(IFERROR(VLOOKUP(C187,Upgrades!$N$4:$T$47,4,FALSE),0)^(COUNTIFS($B$3:$B186,"Buy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buy",$C$3:$C186,C187))),1),0)-H186,"0")&amp;" more gold",IF(AND(OR(B187="Buy upgrade",B187="Forge/Scrapwork buy"),IFERROR(VLOOKUP(C187,Upgrades!$N$4:$T$47,2,FALSE),0)="scraps",J186&lt;IFERROR(FLOOR(IFERROR(VLOOKUP(C187,Upgrades!$N$4:$T$47,3,FALSE),0)*(IFERROR(VLOOKUP(C187,Upgrades!$N$4:$T$47,4,FALSE),0)^(COUNTIFS($B$3:$B186,"Buy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buy",$C$3:$C186,C187))),1),0)),"Can't — need "&amp;TEXT(IFERROR(FLOOR(IFERROR(VLOOKUP(C187,Upgrades!$N$4:$T$47,3,FALSE),0)*(IFERROR(VLOOKUP(C187,Upgrades!$N$4:$T$47,4,FALSE),0)^(COUNTIFS($B$3:$B186,"Buy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buy",$C$3:$C186,C187))),1),0)-J186,"0")&amp;" more scraps",IF(AND(B187="Fight boss",E187="OK",(IF((((105/'Rules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Formulas'!B12)),"WIN — boss down, next Level unlocks",IF(AND(B187="Fight boss",E187="OK"),"LOSE — TTK "&amp;TEXT(IF((((105/'Rules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Formulas'!B20*SQRT(1+0.55*(AG186&gt;=1))),0)))),"0")&amp;"s &gt; patience "&amp;TEXT('Rules &amp; Formulas'!B12,"0")&amp;"s (leave resets HP)",IF(B187="Go AFK","AFK resolved (see AFK counted h)","Applied")))))))))</f>
        <v/>
      </c>
      <c r="G187" s="7">
        <f>IF(AND((E187="OK"),B187="Fight boss",(IF((((105/'Rules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Formulas'!B12),C187="Elder Thornpelt"),2,IF(AND((E187="OK"),B187="Fight boss",(IF((((105/'Rules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Formulas'!B12),C187="Ashfang Alpha"),3,G186))</f>
        <v/>
      </c>
      <c r="H187" s="7">
        <f>MAX(0,H186+IF(AND((E187="OK"),B187="Hunt"),(IF(B187="Hunt",(('Rules &amp; Formulas'!B4*N186*('Rules &amp; Formulas'!B5+O186)*IFERROR(VLOOKUP(C187,Monsters!$T$4:$AH$15,10,FALSE),0)*IFERROR(VLOOKUP(C187,Monsters!$T$4:$AH$15,9,FALSE),0))*'Rules &amp; Formulas'!B6)*IF(D187="",0,D187),0))*(IFERROR(VLOOKUP(C187,Monsters!$T$4:$AH$15,3,FALSE),0))*(1+0.1*AH186)+(IF(OR(B187&lt;&gt;"Hunt",IFERROR(VLOOKUP(C187,Monsters!$T$4:$AH$15,6,FALSE),0)=0),0,FLOOR((IF(B187="Hunt",(('Rules &amp; Formulas'!B4*N186*('Rules &amp; Formulas'!B5+O186)*IFERROR(VLOOKUP(C187,Monsters!$T$4:$AH$15,10,FALSE),0)*IFERROR(VLOOKUP(C187,Monsters!$T$4:$AH$15,9,FALSE),0))*'Rules &amp; Formulas'!B6)*IF(D187="",0,D187),0))/MAX(1,IFERROR(VLOOKUP(C187,Monsters!$T$4:$AH$15,6,FALSE),0)),1)))*(IFERROR(VLOOKUP(C187,Monsters!$T$4:$AH$15,7,FALSE),0))*0.5*(1+0.1*AH186),0)+IF(AND((E187="OK"),B187="Go AFK"),(IF(B187="Go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AFK",IF(D187="",0,D187),0),Z186/60)*60)),0))*(IFERROR(VLOOKUP(C187,Monsters!$T$4:$AH$15,3,FALSE),0))*(1+0.1*AH186)+(IF(OR(B187&lt;&gt;"Go AFK",IFERROR(VLOOKUP(C187,Monsters!$T$4:$AH$15,6,FALSE),0)=0),0,FLOOR((IF(B187="Go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AFK",IF(D187="",0,D187),0),Z186/60)*60)),0))/MAX(1,IFERROR(VLOOKUP(C187,Monsters!$T$4:$AH$15,6,FALSE),0)),1)))*(IFERROR(VLOOKUP(C187,Monsters!$T$4:$AH$15,7,FALSE),0))*0.5*(1+0.1*AH186),0)+IF(AND((E187="OK"),B187="Fight boss",(IF((((105/'Rules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Formulas'!B12)),IFERROR(VLOOKUP(C187,Monsters!$T$4:$AH$15,3,FALSE),0),0)-IF(AND((E187="OK"),OR(B187="Buy upgrade",B187="Forge/Scrapwork buy"),IFERROR(VLOOKUP(C187,Upgrades!$N$4:$T$47,2,FALSE),0)="gold"),IFERROR(FLOOR(IFERROR(VLOOKUP(C187,Upgrades!$N$4:$T$47,3,FALSE),0)*(IFERROR(VLOOKUP(C187,Upgrades!$N$4:$T$47,4,FALSE),0)^(COUNTIFS($B$3:$B186,"Buy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buy",$C$3:$C186,C187))),1),0),0)-IF(AND((E187="OK"),B187="Hire hunter"),IF(C187="Briar",140,IF(C187="Quill",3650,IF(C187="Moss",4850,IF(C187="Ember",12200,0)))),0))</f>
        <v/>
      </c>
      <c r="I187" s="7">
        <f>IF(AND((E187="OK"),B187="Fight boss",(IF((((105/'Rules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Formulas'!B12)),0,MIN(IF(G186&lt;=1,120,IF(G186=2,280,600)),I186+IF(AND((E187="OK"),B187="Hunt"),((IF(B187="Hunt",(('Rules &amp; Formulas'!B4*N186*('Rules &amp; Formulas'!B5+O186)*IFERROR(VLOOKUP(C187,Monsters!$T$4:$AH$15,10,FALSE),0)*IFERROR(VLOOKUP(C187,Monsters!$T$4:$AH$15,9,FALSE),0))*'Rules &amp; Formulas'!B6)*IF(D187="",0,D187),0))*(IFERROR(VLOOKUP(C187,Monsters!$T$4:$AH$15,4,FALSE),0))+(IF(OR(B187&lt;&gt;"Hunt",IFERROR(VLOOKUP(C187,Monsters!$T$4:$AH$15,6,FALSE),0)=0),0,FLOOR((IF(B187="Hunt",(('Rules &amp; Formulas'!B4*N186*('Rules &amp; Formulas'!B5+O186)*IFERROR(VLOOKUP(C187,Monsters!$T$4:$AH$15,10,FALSE),0)*IFERROR(VLOOKUP(C187,Monsters!$T$4:$AH$15,9,FALSE),0))*'Rules &amp; Formulas'!B6)*IF(D187="",0,D187),0))/MAX(1,IFERROR(VLOOKUP(C187,Monsters!$T$4:$AH$15,6,FALSE),0)),1)))*(IFERROR(VLOOKUP(C187,Monsters!$T$4:$AH$15,7,FALSE),0))),0)+IF(AND((E187="OK"),B187="Go AFK"),((IF(B187="Go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AFK",IF(D187="",0,D187),0),Z186/60)*60)),0))*(IFERROR(VLOOKUP(C187,Monsters!$T$4:$AH$15,4,FALSE),0))+(IF(OR(B187&lt;&gt;"Go AFK",IFERROR(VLOOKUP(C187,Monsters!$T$4:$AH$15,6,FALSE),0)=0),0,FLOOR((IF(B187="Go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AFK",IF(D187="",0,D187),0),Z186/60)*60)),0))/MAX(1,IFERROR(VLOOKUP(C187,Monsters!$T$4:$AH$15,6,FALSE),0)),1)))*(IFERROR(VLOOKUP(C187,Monsters!$T$4:$AH$15,7,FALSE),0))),0)))</f>
        <v/>
      </c>
      <c r="J187" s="7">
        <f>MAX(0,J186+IF(AND((E187="OK"),B187="Hunt"),(IF(B187="Hunt",(('Rules &amp; Formulas'!B4*N186*('Rules &amp; Formulas'!B5+O186)*IFERROR(VLOOKUP(C187,Monsters!$T$4:$AH$15,10,FALSE),0)*IFERROR(VLOOKUP(C187,Monsters!$T$4:$AH$15,9,FALSE),0))*'Rules &amp; Formulas'!B6)*IF(D187="",0,D187),0))*(IFERROR(VLOOKUP(C187,Monsters!$T$4:$AH$15,5,FALSE),0)),0)+IF(AND((E187="OK"),B187="Go AFK"),(IF(B187="Go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AFK",IF(D187="",0,D187),0),Z186/60)*60)),0))*(IFERROR(VLOOKUP(C187,Monsters!$T$4:$AH$15,5,FALSE),0)),0)-IF(AND((E187="OK"),OR(B187="Buy upgrade",B187="Forge/Scrapwork buy"),IFERROR(VLOOKUP(C187,Upgrades!$N$4:$T$47,2,FALSE),0)="scraps"),IFERROR(FLOOR(IFERROR(VLOOKUP(C187,Upgrades!$N$4:$T$47,3,FALSE),0)*(IFERROR(VLOOKUP(C187,Upgrades!$N$4:$T$47,4,FALSE),0)^(COUNTIFS($B$3:$B186,"Buy upgrade",$C$3:$C186,C187)+COUNTIFS($B$3:$B186,"Hire hunter",$C$3:$C186,C187)+COUNTIFS($B$3:$B186,"Forge/Scrapwork buy",$C$3:$C186,C187))),1),0),0))</f>
        <v/>
      </c>
      <c r="K187" s="7">
        <f>MAX(0,K186+IF(AND((E187="OK"),B187="Hunt"),IF(C187="Thornpelt Bear",(IF(B187="Hunt",(('Rules &amp; Formulas'!B4*N186*('Rules &amp; Formulas'!B5+O186)*IFERROR(VLOOKUP(C187,Monsters!$T$4:$AH$15,10,FALSE),0)*IFERROR(VLOOKUP(C187,Monsters!$T$4:$AH$15,9,FALSE),0))*'Rules &amp; Formulas'!B6)*IF(D187="",0,D187),0))*0.12,0),0)+IF(AND((E187="OK"),B187="Go AFK"),IF(C187="Thornpelt Bear",(IF(B187="Go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AFK",IF(D187="",0,D187),0),Z186/60)*60)),0))*0.12,0),0))</f>
        <v/>
      </c>
      <c r="L187" s="7">
        <f>MAX(0,L186+IF(AND((E187="OK"),B187="Hunt"),IF(C187="Dire Thornpelt",(IF(B187="Hunt",(('Rules &amp; Formulas'!B4*N186*('Rules &amp; Formulas'!B5+O186)*IFERROR(VLOOKUP(C187,Monsters!$T$4:$AH$15,10,FALSE),0)*IFERROR(VLOOKUP(C187,Monsters!$T$4:$AH$15,9,FALSE),0))*'Rules &amp; Formulas'!B6)*IF(D187="",0,D187),0))*0.1,0),0)+IF(AND((E187="OK"),B187="Go AFK"),IF(C187="Dire Thornpelt",(IF(B187="Go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AFK",IF(D187="",0,D187),0),Z186/60)*60)),0))*0.1,0),0))</f>
        <v/>
      </c>
      <c r="M187" s="7">
        <f>IF(AND((E187="OK"),B187="Go AFK"),MAX(0,MIN(('Rules &amp; Formulas'!B15+25*AJ186),M186+('Rules &amp; Formulas'!B14+0.4*AJ186)*(MIN(IF(B187="Go AFK",IF(D187="",0,D187),0),Z186/60)*60))-(IF(B187="Go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AFK",IF(D187="",0,D187),0),Z186/60)*60)),0))*(IF((IFERROR(VLOOKUP(C187,Monsters!$T$4:$AH$15,8,FALSE),0))=0,0.35,IFERROR(VLOOKUP(C187,Monsters!$T$4:$AH$15,8,FALSE),0))/(1+0.08*AK186))),MIN(('Rules &amp; Formulas'!B15+25*AJ187),M186))</f>
        <v/>
      </c>
      <c r="N187" s="7">
        <f>(1+0.08+0.12*AA187+0.12*AB187+0.16*AC187)</f>
        <v/>
      </c>
      <c r="O187" s="7">
        <f>((AD187&gt;=1)*1*(1+0.3*AE187))</f>
        <v/>
      </c>
      <c r="P187" s="7">
        <f>IF(OR(B187="Hunt",B187="Go AFK"),(('Rules &amp; Formulas'!B4*N186*('Rules &amp; Formulas'!B5+O186)*IFERROR(VLOOKUP(C187,Monsters!$T$4:$AH$15,10,FALSE),0)*IFERROR(VLOOKUP(C187,Monsters!$T$4:$AH$15,9,FALSE),0))*'Rules &amp; Formulas'!B6),"")</f>
        <v/>
      </c>
      <c r="Q187" s="7">
        <f>IF(OR(B187="Hunt",B187="Go AFK"),('Rules &amp; Formulas'!B4*N186*('Rules &amp; Formulas'!B5+O186)*IFERROR(VLOOKUP(C187,Monsters!$T$4:$AH$15,10,FALSE),0)*IFERROR(VLOOKUP(C187,Monsters!$T$4:$AH$15,9,FALSE),0)),"")</f>
        <v/>
      </c>
      <c r="R187" s="7">
        <f>IF(AND((E187="OK"),B187="Hunt"),IF(B187="Hunt",(('Rules &amp; Formulas'!B4*N186*('Rules &amp; Formulas'!B5+O186)*IFERROR(VLOOKUP(C187,Monsters!$T$4:$AH$15,10,FALSE),0)*IFERROR(VLOOKUP(C187,Monsters!$T$4:$AH$15,9,FALSE),0))*'Rules &amp; Formulas'!B6)*IF(D187="",0,D187),0),IF(AND((E187="OK"),B187="Go AFK"),IF(B187="Go AFK",MIN(IF((IF((IFERROR(VLOOKUP(C187,Monsters!$T$4:$AH$15,8,FALSE),0))=0,0.35,IFERROR(VLOOKUP(C187,Monsters!$T$4:$AH$15,8,FALSE),0))/(1+0.08*AK186))&lt;=0,999999,FLOOR(MIN(('Rules &amp; Formulas'!B15+25*AJ186),M186+('Rules &amp; Formulas'!B14+0.4*AJ186)*(MIN(IF(B187="Go AFK",IF(D187="",0,D187),0),Z186/60)*60))/(IF((IFERROR(VLOOKUP(C187,Monsters!$T$4:$AH$15,8,FALSE),0))=0,0.35,IFERROR(VLOOKUP(C187,Monsters!$T$4:$AH$15,8,FALSE),0))/(1+0.08*AK186)),1)),('Rules &amp; Formulas'!B4*N186*('Rules &amp; Formulas'!B5+O186)*IFERROR(VLOOKUP(C187,Monsters!$T$4:$AH$15,10,FALSE),0)*IFERROR(VLOOKUP(C187,Monsters!$T$4:$AH$15,9,FALSE),0))*(MIN(IF(B187="Go AFK",IF(D187="",0,D187),0),Z186/60)*60)),0),0))</f>
        <v/>
      </c>
      <c r="S187" s="7">
        <f>(105/'Rules &amp; Formulas'!B10)*'Rules &amp; Formulas'!B11</f>
        <v/>
      </c>
      <c r="T187" s="7">
        <f>IF(AD186&gt;=1,(MAX(1,ROUND('Rules &amp; Formulas'!B18*(1+0.3*AE186)*(1+0.4*AF186),0)))*(1000/'Rules &amp; Formulas'!B19)*MIN(0.95,'Rules &amp; Formulas'!B20*SQRT(1+0.55*(AG186&gt;=1))),0)</f>
        <v/>
      </c>
      <c r="U187" s="7">
        <f>S187+T187</f>
        <v/>
      </c>
      <c r="V187" s="7">
        <f>IF(I186&gt;=IF((IFERROR(VLOOKUP(C187,Monsters!$T$4:$AH$15,15,FALSE),0))=0,120,IFERROR(VLOOKUP(C187,Monsters!$T$4:$AH$15,15,FALSE),0)),"YES","no")</f>
        <v/>
      </c>
      <c r="W187" s="7">
        <f>IF(AND(B187="Fight boss",E187="OK"),IF((((105/'Rules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Formulas'!B20*SQRT(1+0.55*(AG186&gt;=1))),0)))),"")</f>
        <v/>
      </c>
      <c r="X187" s="7">
        <f>IF(AND(B187="Fight boss",E187="OK"),IF((IF((((105/'Rules &amp; Formulas'!B10)*'Rules &amp; Formulas'!B11+IF(AD186&gt;=1,(MAX(1,ROUND('Rules &amp; Formulas'!B18*(1+0.3*AE186)*(1+0.4*AF186),0)))*(1000/'Rules &amp; Formulas'!B19)*MIN(0.95,'Rules &amp; Formulas'!B20*SQRT(1+0.55*(AG186&gt;=1))),0)))&lt;=0,9999,(IFERROR(VLOOKUP(C187,Monsters!$T$4:$AH$15,2,FALSE),0))/(((105/'Rules &amp; Formulas'!B10)*'Rules &amp; Formulas'!B11+IF(AD186&gt;=1,(MAX(1,ROUND('Rules &amp; Formulas'!B18*(1+0.3*AE186)*(1+0.4*AF186),0)))*(1000/'Rules &amp; Formulas'!B19)*MIN(0.95,'Rules &amp; Formulas'!B20*SQRT(1+0.55*(AG186&gt;=1))),0))))&lt;='Rules &amp; Formulas'!B12),"WIN","LOSE"),"")</f>
        <v/>
      </c>
      <c r="Y187" s="7">
        <f>IF(B187="Go AFK",MIN(IF(B187="Go AFK",IF(D187="",0,D187),0),Z186/60),"")</f>
        <v/>
      </c>
      <c r="Z187" s="7">
        <f>('Rules &amp; Formulas'!B13+30*AI187)</f>
        <v/>
      </c>
      <c r="AA187">
        <f>COUNTIFS($B$3:$B187,"Buy upgrade",$C$3:$C187,"Idle Power")</f>
        <v/>
      </c>
      <c r="AB187">
        <f>COUNTIFS($B$3:$B187,"Buy upgrade",$C$3:$C187,"Iron Blade")</f>
        <v/>
      </c>
      <c r="AC187">
        <f>COUNTIFS($B$3:$B187,"Buy upgrade",$C$3:$C187,"Steel Blade")</f>
        <v/>
      </c>
      <c r="AD187">
        <f>COUNTIFS($B$3:$B187,"Hire hunter",$C$3:$C187,"Briar")+COUNTIFS($B$3:$B187,"Buy upgrade",$C$3:$C187,"Hire Briar")</f>
        <v/>
      </c>
      <c r="AE187">
        <f>COUNTIFS($B$3:$B187,"Buy upgrade",$C$3:$C187,"Hunter Power")</f>
        <v/>
      </c>
      <c r="AF187">
        <f>COUNTIFS($B$3:$B187,"Buy upgrade",$C$3:$C187,"Bigger Hits")</f>
        <v/>
      </c>
      <c r="AG187">
        <f>COUNTIFS($B$3:$B187,"Buy upgrade",$C$3:$C187,"Swift Walk")</f>
        <v/>
      </c>
      <c r="AH187">
        <f>COUNTIFS($B$3:$B187,"Buy upgrade",$C$3:$C187,"Loot Luck")</f>
        <v/>
      </c>
      <c r="AI187">
        <f>COUNTIFS($B$3:$B187,"Buy upgrade",$C$3:$C187,"Offline Cap")</f>
        <v/>
      </c>
      <c r="AJ187">
        <f>COUNTIFS($B$3:$B187,"Buy upgrade",$C$3:$C187,"Bigger Food Stock")</f>
        <v/>
      </c>
      <c r="AK187">
        <f>COUNTIFS($B$3:$B187,"Buy upgrade",$C$3:$C187,"Food Efficiency")</f>
        <v/>
      </c>
    </row>
    <row r="188">
      <c r="A188" t="n">
        <v>186</v>
      </c>
      <c r="B188" s="6" t="n"/>
      <c r="C188" s="6" t="n"/>
      <c r="D188" s="6" t="n"/>
      <c r="E188" s="7">
        <f>IF(B188="","",IF(OR(B188="Hunt",B188="Go AFK"),IF(C188="","Can't","OK"),IF(B188="Fight boss",IF(I187&lt;IF((IFERROR(VLOOKUP(C188,Monsters!$T$4:$AH$15,15,FALSE),0))=0,120,IFERROR(VLOOKUP(C188,Monsters!$T$4:$AH$15,15,FALSE),0)),"Can't","OK"),IF(B188="Hire hunter",IF(AND(C188="Briar",AD187&gt;=1),"Can't",IF(H187&lt;IF(C188="Briar",140,IF(C188="Quill",3650,IF(C188="Moss",4850,IF(C188="Ember",12200,0)))),"Can't","OK")),IF(OR(B188="Buy upgrade",B188="Forge/Scrapwork buy"),IF(IFERROR(VLOOKUP(C188,Upgrades!$N$4:$T$47,2,FALSE),0)="points","Can't",IF(IFERROR(VLOOKUP(C188,Upgrades!$N$4:$T$47,2,FALSE),0)="gold",IF(H187&lt;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buy",$C$3:$C187,C188))),1),0),"Can't","OK"),IF(IFERROR(VLOOKUP(C188,Upgrades!$N$4:$T$47,2,FALSE),0)="scraps",IF(J187&lt;IFERROR(FLOOR(IFERROR(VLOOKUP(C188,Upgrades!$N$4:$T$47,3,FALSE),0)*(IFERROR(VLOOKUP(C188,Upgrades!$N$4:$T$47,4,FALSE),0)^(COUNTIFS($B$3:$B187,"Buy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buy",$C$3:$C187,C188))),1),0),"Can't","OK"),IF(IFERROR(VLOOKUP(C188,Upgrades!$N$4:$T$47,2,FALSE),0)="mats","Can't","OK")))),"Check")))))</f>
        <v/>
      </c>
      <c r="F188" s="7">
        <f>IF(B188="","",IF(AND(B188="Fight boss",I187&lt;IF((IFERROR(VLOOKUP(C188,Monsters!$T$4:$AH$15,15,FALSE),0))=0,120,IFERROR(VLOOKUP(C188,Monsters!$T$4:$AH$15,15,FALSE),0))),"Can't — need "&amp;TEXT(IF((IFERROR(VLOOKUP(C188,Monsters!$T$4:$AH$15,15,FALSE),0))=0,120,IFERROR(VLOOKUP(C188,Monsters!$T$4:$AH$15,15,FALSE),0))-I187,"0.0")&amp;" more Slayer points on the meter",IF(AND(B188="Hire hunter",C188="Briar",AD187&gt;=1),"Can't — already hired",IF(AND(B188="Hire hunter",H187&lt;IF(C188="Briar",140,IF(C188="Quill",3650,IF(C188="Moss",4850,IF(C188="Ember",12200,0))))),"Can't — need "&amp;TEXT(IF(C188="Briar",140,IF(C188="Quill",3650,IF(C188="Moss",4850,IF(C188="Ember",12200,0))))-H187,"0")&amp;" more gold",IF(AND(OR(B188="Buy upgrade",B188="Forge/Scrapwork buy"),IFERROR(VLOOKUP(C188,Upgrades!$N$4:$T$47,2,FALSE),0)="points"),"Can't — Sp-wallet spends not tracked here",IF(AND(OR(B188="Buy upgrade",B188="Forge/Scrapwork buy"),IFERROR(VLOOKUP(C188,Upgrades!$N$4:$T$47,2,FALSE),0)="gold",H187&lt;IFERROR(FLOOR(IFERROR(VLOOKUP(C188,Upgrades!$N$4:$T$47,3,FALSE),0)*(IFERROR(VLOOKUP(C188,Upgrades!$N$4:$T$47,4,FALSE),0)^(COUNTIFS($B$3:$B187,"Buy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buy",$C$3:$C187,C188))),1),0)),"Can't — need "&amp;TEXT(IFERROR(FLOOR(IFERROR(VLOOKUP(C188,Upgrades!$N$4:$T$47,3,FALSE),0)*(IFERROR(VLOOKUP(C188,Upgrades!$N$4:$T$47,4,FALSE),0)^(COUNTIFS($B$3:$B187,"Buy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buy",$C$3:$C187,C188))),1),0)-H187,"0")&amp;" more gold",IF(AND(OR(B188="Buy upgrade",B188="Forge/Scrapwork buy"),IFERROR(VLOOKUP(C188,Upgrades!$N$4:$T$47,2,FALSE),0)="scraps",J187&lt;IFERROR(FLOOR(IFERROR(VLOOKUP(C188,Upgrades!$N$4:$T$47,3,FALSE),0)*(IFERROR(VLOOKUP(C188,Upgrades!$N$4:$T$47,4,FALSE),0)^(COUNTIFS($B$3:$B187,"Buy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buy",$C$3:$C187,C188))),1),0)),"Can't — need "&amp;TEXT(IFERROR(FLOOR(IFERROR(VLOOKUP(C188,Upgrades!$N$4:$T$47,3,FALSE),0)*(IFERROR(VLOOKUP(C188,Upgrades!$N$4:$T$47,4,FALSE),0)^(COUNTIFS($B$3:$B187,"Buy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buy",$C$3:$C187,C188))),1),0)-J187,"0")&amp;" more scraps",IF(AND(B188="Fight boss",E188="OK",(IF((((105/'Rules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Formulas'!B12)),"WIN — boss down, next Level unlocks",IF(AND(B188="Fight boss",E188="OK"),"LOSE — TTK "&amp;TEXT(IF((((105/'Rules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Formulas'!B20*SQRT(1+0.55*(AG187&gt;=1))),0)))),"0")&amp;"s &gt; patience "&amp;TEXT('Rules &amp; Formulas'!B12,"0")&amp;"s (leave resets HP)",IF(B188="Go AFK","AFK resolved (see AFK counted h)","Applied")))))))))</f>
        <v/>
      </c>
      <c r="G188" s="7">
        <f>IF(AND((E188="OK"),B188="Fight boss",(IF((((105/'Rules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Formulas'!B12),C188="Elder Thornpelt"),2,IF(AND((E188="OK"),B188="Fight boss",(IF((((105/'Rules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Formulas'!B12),C188="Ashfang Alpha"),3,G187))</f>
        <v/>
      </c>
      <c r="H188" s="7">
        <f>MAX(0,H187+IF(AND((E188="OK"),B188="Hunt"),(IF(B188="Hunt",(('Rules &amp; Formulas'!B4*N187*('Rules &amp; Formulas'!B5+O187)*IFERROR(VLOOKUP(C188,Monsters!$T$4:$AH$15,10,FALSE),0)*IFERROR(VLOOKUP(C188,Monsters!$T$4:$AH$15,9,FALSE),0))*'Rules &amp; Formulas'!B6)*IF(D188="",0,D188),0))*(IFERROR(VLOOKUP(C188,Monsters!$T$4:$AH$15,3,FALSE),0))*(1+0.1*AH187)+(IF(OR(B188&lt;&gt;"Hunt",IFERROR(VLOOKUP(C188,Monsters!$T$4:$AH$15,6,FALSE),0)=0),0,FLOOR((IF(B188="Hunt",(('Rules &amp; Formulas'!B4*N187*('Rules &amp; Formulas'!B5+O187)*IFERROR(VLOOKUP(C188,Monsters!$T$4:$AH$15,10,FALSE),0)*IFERROR(VLOOKUP(C188,Monsters!$T$4:$AH$15,9,FALSE),0))*'Rules &amp; Formulas'!B6)*IF(D188="",0,D188),0))/MAX(1,IFERROR(VLOOKUP(C188,Monsters!$T$4:$AH$15,6,FALSE),0)),1)))*(IFERROR(VLOOKUP(C188,Monsters!$T$4:$AH$15,7,FALSE),0))*0.5*(1+0.1*AH187),0)+IF(AND((E188="OK"),B188="Go AFK"),(IF(B188="Go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AFK",IF(D188="",0,D188),0),Z187/60)*60)),0))*(IFERROR(VLOOKUP(C188,Monsters!$T$4:$AH$15,3,FALSE),0))*(1+0.1*AH187)+(IF(OR(B188&lt;&gt;"Go AFK",IFERROR(VLOOKUP(C188,Monsters!$T$4:$AH$15,6,FALSE),0)=0),0,FLOOR((IF(B188="Go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AFK",IF(D188="",0,D188),0),Z187/60)*60)),0))/MAX(1,IFERROR(VLOOKUP(C188,Monsters!$T$4:$AH$15,6,FALSE),0)),1)))*(IFERROR(VLOOKUP(C188,Monsters!$T$4:$AH$15,7,FALSE),0))*0.5*(1+0.1*AH187),0)+IF(AND((E188="OK"),B188="Fight boss",(IF((((105/'Rules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Formulas'!B12)),IFERROR(VLOOKUP(C188,Monsters!$T$4:$AH$15,3,FALSE),0),0)-IF(AND((E188="OK"),OR(B188="Buy upgrade",B188="Forge/Scrapwork buy"),IFERROR(VLOOKUP(C188,Upgrades!$N$4:$T$47,2,FALSE),0)="gold"),IFERROR(FLOOR(IFERROR(VLOOKUP(C188,Upgrades!$N$4:$T$47,3,FALSE),0)*(IFERROR(VLOOKUP(C188,Upgrades!$N$4:$T$47,4,FALSE),0)^(COUNTIFS($B$3:$B187,"Buy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buy",$C$3:$C187,C188))),1),0),0)-IF(AND((E188="OK"),B188="Hire hunter"),IF(C188="Briar",140,IF(C188="Quill",3650,IF(C188="Moss",4850,IF(C188="Ember",12200,0)))),0))</f>
        <v/>
      </c>
      <c r="I188" s="7">
        <f>IF(AND((E188="OK"),B188="Fight boss",(IF((((105/'Rules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Formulas'!B12)),0,MIN(IF(G187&lt;=1,120,IF(G187=2,280,600)),I187+IF(AND((E188="OK"),B188="Hunt"),((IF(B188="Hunt",(('Rules &amp; Formulas'!B4*N187*('Rules &amp; Formulas'!B5+O187)*IFERROR(VLOOKUP(C188,Monsters!$T$4:$AH$15,10,FALSE),0)*IFERROR(VLOOKUP(C188,Monsters!$T$4:$AH$15,9,FALSE),0))*'Rules &amp; Formulas'!B6)*IF(D188="",0,D188),0))*(IFERROR(VLOOKUP(C188,Monsters!$T$4:$AH$15,4,FALSE),0))+(IF(OR(B188&lt;&gt;"Hunt",IFERROR(VLOOKUP(C188,Monsters!$T$4:$AH$15,6,FALSE),0)=0),0,FLOOR((IF(B188="Hunt",(('Rules &amp; Formulas'!B4*N187*('Rules &amp; Formulas'!B5+O187)*IFERROR(VLOOKUP(C188,Monsters!$T$4:$AH$15,10,FALSE),0)*IFERROR(VLOOKUP(C188,Monsters!$T$4:$AH$15,9,FALSE),0))*'Rules &amp; Formulas'!B6)*IF(D188="",0,D188),0))/MAX(1,IFERROR(VLOOKUP(C188,Monsters!$T$4:$AH$15,6,FALSE),0)),1)))*(IFERROR(VLOOKUP(C188,Monsters!$T$4:$AH$15,7,FALSE),0))),0)+IF(AND((E188="OK"),B188="Go AFK"),((IF(B188="Go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AFK",IF(D188="",0,D188),0),Z187/60)*60)),0))*(IFERROR(VLOOKUP(C188,Monsters!$T$4:$AH$15,4,FALSE),0))+(IF(OR(B188&lt;&gt;"Go AFK",IFERROR(VLOOKUP(C188,Monsters!$T$4:$AH$15,6,FALSE),0)=0),0,FLOOR((IF(B188="Go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AFK",IF(D188="",0,D188),0),Z187/60)*60)),0))/MAX(1,IFERROR(VLOOKUP(C188,Monsters!$T$4:$AH$15,6,FALSE),0)),1)))*(IFERROR(VLOOKUP(C188,Monsters!$T$4:$AH$15,7,FALSE),0))),0)))</f>
        <v/>
      </c>
      <c r="J188" s="7">
        <f>MAX(0,J187+IF(AND((E188="OK"),B188="Hunt"),(IF(B188="Hunt",(('Rules &amp; Formulas'!B4*N187*('Rules &amp; Formulas'!B5+O187)*IFERROR(VLOOKUP(C188,Monsters!$T$4:$AH$15,10,FALSE),0)*IFERROR(VLOOKUP(C188,Monsters!$T$4:$AH$15,9,FALSE),0))*'Rules &amp; Formulas'!B6)*IF(D188="",0,D188),0))*(IFERROR(VLOOKUP(C188,Monsters!$T$4:$AH$15,5,FALSE),0)),0)+IF(AND((E188="OK"),B188="Go AFK"),(IF(B188="Go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AFK",IF(D188="",0,D188),0),Z187/60)*60)),0))*(IFERROR(VLOOKUP(C188,Monsters!$T$4:$AH$15,5,FALSE),0)),0)-IF(AND((E188="OK"),OR(B188="Buy upgrade",B188="Forge/Scrapwork buy"),IFERROR(VLOOKUP(C188,Upgrades!$N$4:$T$47,2,FALSE),0)="scraps"),IFERROR(FLOOR(IFERROR(VLOOKUP(C188,Upgrades!$N$4:$T$47,3,FALSE),0)*(IFERROR(VLOOKUP(C188,Upgrades!$N$4:$T$47,4,FALSE),0)^(COUNTIFS($B$3:$B187,"Buy upgrade",$C$3:$C187,C188)+COUNTIFS($B$3:$B187,"Hire hunter",$C$3:$C187,C188)+COUNTIFS($B$3:$B187,"Forge/Scrapwork buy",$C$3:$C187,C188))),1),0),0))</f>
        <v/>
      </c>
      <c r="K188" s="7">
        <f>MAX(0,K187+IF(AND((E188="OK"),B188="Hunt"),IF(C188="Thornpelt Bear",(IF(B188="Hunt",(('Rules &amp; Formulas'!B4*N187*('Rules &amp; Formulas'!B5+O187)*IFERROR(VLOOKUP(C188,Monsters!$T$4:$AH$15,10,FALSE),0)*IFERROR(VLOOKUP(C188,Monsters!$T$4:$AH$15,9,FALSE),0))*'Rules &amp; Formulas'!B6)*IF(D188="",0,D188),0))*0.12,0),0)+IF(AND((E188="OK"),B188="Go AFK"),IF(C188="Thornpelt Bear",(IF(B188="Go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AFK",IF(D188="",0,D188),0),Z187/60)*60)),0))*0.12,0),0))</f>
        <v/>
      </c>
      <c r="L188" s="7">
        <f>MAX(0,L187+IF(AND((E188="OK"),B188="Hunt"),IF(C188="Dire Thornpelt",(IF(B188="Hunt",(('Rules &amp; Formulas'!B4*N187*('Rules &amp; Formulas'!B5+O187)*IFERROR(VLOOKUP(C188,Monsters!$T$4:$AH$15,10,FALSE),0)*IFERROR(VLOOKUP(C188,Monsters!$T$4:$AH$15,9,FALSE),0))*'Rules &amp; Formulas'!B6)*IF(D188="",0,D188),0))*0.1,0),0)+IF(AND((E188="OK"),B188="Go AFK"),IF(C188="Dire Thornpelt",(IF(B188="Go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AFK",IF(D188="",0,D188),0),Z187/60)*60)),0))*0.1,0),0))</f>
        <v/>
      </c>
      <c r="M188" s="7">
        <f>IF(AND((E188="OK"),B188="Go AFK"),MAX(0,MIN(('Rules &amp; Formulas'!B15+25*AJ187),M187+('Rules &amp; Formulas'!B14+0.4*AJ187)*(MIN(IF(B188="Go AFK",IF(D188="",0,D188),0),Z187/60)*60))-(IF(B188="Go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AFK",IF(D188="",0,D188),0),Z187/60)*60)),0))*(IF((IFERROR(VLOOKUP(C188,Monsters!$T$4:$AH$15,8,FALSE),0))=0,0.35,IFERROR(VLOOKUP(C188,Monsters!$T$4:$AH$15,8,FALSE),0))/(1+0.08*AK187))),MIN(('Rules &amp; Formulas'!B15+25*AJ188),M187))</f>
        <v/>
      </c>
      <c r="N188" s="7">
        <f>(1+0.08+0.12*AA188+0.12*AB188+0.16*AC188)</f>
        <v/>
      </c>
      <c r="O188" s="7">
        <f>((AD188&gt;=1)*1*(1+0.3*AE188))</f>
        <v/>
      </c>
      <c r="P188" s="7">
        <f>IF(OR(B188="Hunt",B188="Go AFK"),(('Rules &amp; Formulas'!B4*N187*('Rules &amp; Formulas'!B5+O187)*IFERROR(VLOOKUP(C188,Monsters!$T$4:$AH$15,10,FALSE),0)*IFERROR(VLOOKUP(C188,Monsters!$T$4:$AH$15,9,FALSE),0))*'Rules &amp; Formulas'!B6),"")</f>
        <v/>
      </c>
      <c r="Q188" s="7">
        <f>IF(OR(B188="Hunt",B188="Go AFK"),('Rules &amp; Formulas'!B4*N187*('Rules &amp; Formulas'!B5+O187)*IFERROR(VLOOKUP(C188,Monsters!$T$4:$AH$15,10,FALSE),0)*IFERROR(VLOOKUP(C188,Monsters!$T$4:$AH$15,9,FALSE),0)),"")</f>
        <v/>
      </c>
      <c r="R188" s="7">
        <f>IF(AND((E188="OK"),B188="Hunt"),IF(B188="Hunt",(('Rules &amp; Formulas'!B4*N187*('Rules &amp; Formulas'!B5+O187)*IFERROR(VLOOKUP(C188,Monsters!$T$4:$AH$15,10,FALSE),0)*IFERROR(VLOOKUP(C188,Monsters!$T$4:$AH$15,9,FALSE),0))*'Rules &amp; Formulas'!B6)*IF(D188="",0,D188),0),IF(AND((E188="OK"),B188="Go AFK"),IF(B188="Go AFK",MIN(IF((IF((IFERROR(VLOOKUP(C188,Monsters!$T$4:$AH$15,8,FALSE),0))=0,0.35,IFERROR(VLOOKUP(C188,Monsters!$T$4:$AH$15,8,FALSE),0))/(1+0.08*AK187))&lt;=0,999999,FLOOR(MIN(('Rules &amp; Formulas'!B15+25*AJ187),M187+('Rules &amp; Formulas'!B14+0.4*AJ187)*(MIN(IF(B188="Go AFK",IF(D188="",0,D188),0),Z187/60)*60))/(IF((IFERROR(VLOOKUP(C188,Monsters!$T$4:$AH$15,8,FALSE),0))=0,0.35,IFERROR(VLOOKUP(C188,Monsters!$T$4:$AH$15,8,FALSE),0))/(1+0.08*AK187)),1)),('Rules &amp; Formulas'!B4*N187*('Rules &amp; Formulas'!B5+O187)*IFERROR(VLOOKUP(C188,Monsters!$T$4:$AH$15,10,FALSE),0)*IFERROR(VLOOKUP(C188,Monsters!$T$4:$AH$15,9,FALSE),0))*(MIN(IF(B188="Go AFK",IF(D188="",0,D188),0),Z187/60)*60)),0),0))</f>
        <v/>
      </c>
      <c r="S188" s="7">
        <f>(105/'Rules &amp; Formulas'!B10)*'Rules &amp; Formulas'!B11</f>
        <v/>
      </c>
      <c r="T188" s="7">
        <f>IF(AD187&gt;=1,(MAX(1,ROUND('Rules &amp; Formulas'!B18*(1+0.3*AE187)*(1+0.4*AF187),0)))*(1000/'Rules &amp; Formulas'!B19)*MIN(0.95,'Rules &amp; Formulas'!B20*SQRT(1+0.55*(AG187&gt;=1))),0)</f>
        <v/>
      </c>
      <c r="U188" s="7">
        <f>S188+T188</f>
        <v/>
      </c>
      <c r="V188" s="7">
        <f>IF(I187&gt;=IF((IFERROR(VLOOKUP(C188,Monsters!$T$4:$AH$15,15,FALSE),0))=0,120,IFERROR(VLOOKUP(C188,Monsters!$T$4:$AH$15,15,FALSE),0)),"YES","no")</f>
        <v/>
      </c>
      <c r="W188" s="7">
        <f>IF(AND(B188="Fight boss",E188="OK"),IF((((105/'Rules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Formulas'!B20*SQRT(1+0.55*(AG187&gt;=1))),0)))),"")</f>
        <v/>
      </c>
      <c r="X188" s="7">
        <f>IF(AND(B188="Fight boss",E188="OK"),IF((IF((((105/'Rules &amp; Formulas'!B10)*'Rules &amp; Formulas'!B11+IF(AD187&gt;=1,(MAX(1,ROUND('Rules &amp; Formulas'!B18*(1+0.3*AE187)*(1+0.4*AF187),0)))*(1000/'Rules &amp; Formulas'!B19)*MIN(0.95,'Rules &amp; Formulas'!B20*SQRT(1+0.55*(AG187&gt;=1))),0)))&lt;=0,9999,(IFERROR(VLOOKUP(C188,Monsters!$T$4:$AH$15,2,FALSE),0))/(((105/'Rules &amp; Formulas'!B10)*'Rules &amp; Formulas'!B11+IF(AD187&gt;=1,(MAX(1,ROUND('Rules &amp; Formulas'!B18*(1+0.3*AE187)*(1+0.4*AF187),0)))*(1000/'Rules &amp; Formulas'!B19)*MIN(0.95,'Rules &amp; Formulas'!B20*SQRT(1+0.55*(AG187&gt;=1))),0))))&lt;='Rules &amp; Formulas'!B12),"WIN","LOSE"),"")</f>
        <v/>
      </c>
      <c r="Y188" s="7">
        <f>IF(B188="Go AFK",MIN(IF(B188="Go AFK",IF(D188="",0,D188),0),Z187/60),"")</f>
        <v/>
      </c>
      <c r="Z188" s="7">
        <f>('Rules &amp; Formulas'!B13+30*AI188)</f>
        <v/>
      </c>
      <c r="AA188">
        <f>COUNTIFS($B$3:$B188,"Buy upgrade",$C$3:$C188,"Idle Power")</f>
        <v/>
      </c>
      <c r="AB188">
        <f>COUNTIFS($B$3:$B188,"Buy upgrade",$C$3:$C188,"Iron Blade")</f>
        <v/>
      </c>
      <c r="AC188">
        <f>COUNTIFS($B$3:$B188,"Buy upgrade",$C$3:$C188,"Steel Blade")</f>
        <v/>
      </c>
      <c r="AD188">
        <f>COUNTIFS($B$3:$B188,"Hire hunter",$C$3:$C188,"Briar")+COUNTIFS($B$3:$B188,"Buy upgrade",$C$3:$C188,"Hire Briar")</f>
        <v/>
      </c>
      <c r="AE188">
        <f>COUNTIFS($B$3:$B188,"Buy upgrade",$C$3:$C188,"Hunter Power")</f>
        <v/>
      </c>
      <c r="AF188">
        <f>COUNTIFS($B$3:$B188,"Buy upgrade",$C$3:$C188,"Bigger Hits")</f>
        <v/>
      </c>
      <c r="AG188">
        <f>COUNTIFS($B$3:$B188,"Buy upgrade",$C$3:$C188,"Swift Walk")</f>
        <v/>
      </c>
      <c r="AH188">
        <f>COUNTIFS($B$3:$B188,"Buy upgrade",$C$3:$C188,"Loot Luck")</f>
        <v/>
      </c>
      <c r="AI188">
        <f>COUNTIFS($B$3:$B188,"Buy upgrade",$C$3:$C188,"Offline Cap")</f>
        <v/>
      </c>
      <c r="AJ188">
        <f>COUNTIFS($B$3:$B188,"Buy upgrade",$C$3:$C188,"Bigger Food Stock")</f>
        <v/>
      </c>
      <c r="AK188">
        <f>COUNTIFS($B$3:$B188,"Buy upgrade",$C$3:$C188,"Food Efficiency")</f>
        <v/>
      </c>
    </row>
    <row r="189">
      <c r="A189" t="n">
        <v>187</v>
      </c>
      <c r="B189" s="6" t="n"/>
      <c r="C189" s="6" t="n"/>
      <c r="D189" s="6" t="n"/>
      <c r="E189" s="7">
        <f>IF(B189="","",IF(OR(B189="Hunt",B189="Go AFK"),IF(C189="","Can't","OK"),IF(B189="Fight boss",IF(I188&lt;IF((IFERROR(VLOOKUP(C189,Monsters!$T$4:$AH$15,15,FALSE),0))=0,120,IFERROR(VLOOKUP(C189,Monsters!$T$4:$AH$15,15,FALSE),0)),"Can't","OK"),IF(B189="Hire hunter",IF(AND(C189="Briar",AD188&gt;=1),"Can't",IF(H188&lt;IF(C189="Briar",140,IF(C189="Quill",3650,IF(C189="Moss",4850,IF(C189="Ember",12200,0)))),"Can't","OK")),IF(OR(B189="Buy upgrade",B189="Forge/Scrapwork buy"),IF(IFERROR(VLOOKUP(C189,Upgrades!$N$4:$T$47,2,FALSE),0)="points","Can't",IF(IFERROR(VLOOKUP(C189,Upgrades!$N$4:$T$47,2,FALSE),0)="gold",IF(H188&lt;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buy",$C$3:$C188,C189))),1),0),"Can't","OK"),IF(IFERROR(VLOOKUP(C189,Upgrades!$N$4:$T$47,2,FALSE),0)="scraps",IF(J188&lt;IFERROR(FLOOR(IFERROR(VLOOKUP(C189,Upgrades!$N$4:$T$47,3,FALSE),0)*(IFERROR(VLOOKUP(C189,Upgrades!$N$4:$T$47,4,FALSE),0)^(COUNTIFS($B$3:$B188,"Buy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buy",$C$3:$C188,C189))),1),0),"Can't","OK"),IF(IFERROR(VLOOKUP(C189,Upgrades!$N$4:$T$47,2,FALSE),0)="mats","Can't","OK")))),"Check")))))</f>
        <v/>
      </c>
      <c r="F189" s="7">
        <f>IF(B189="","",IF(AND(B189="Fight boss",I188&lt;IF((IFERROR(VLOOKUP(C189,Monsters!$T$4:$AH$15,15,FALSE),0))=0,120,IFERROR(VLOOKUP(C189,Monsters!$T$4:$AH$15,15,FALSE),0))),"Can't — need "&amp;TEXT(IF((IFERROR(VLOOKUP(C189,Monsters!$T$4:$AH$15,15,FALSE),0))=0,120,IFERROR(VLOOKUP(C189,Monsters!$T$4:$AH$15,15,FALSE),0))-I188,"0.0")&amp;" more Slayer points on the meter",IF(AND(B189="Hire hunter",C189="Briar",AD188&gt;=1),"Can't — already hired",IF(AND(B189="Hire hunter",H188&lt;IF(C189="Briar",140,IF(C189="Quill",3650,IF(C189="Moss",4850,IF(C189="Ember",12200,0))))),"Can't — need "&amp;TEXT(IF(C189="Briar",140,IF(C189="Quill",3650,IF(C189="Moss",4850,IF(C189="Ember",12200,0))))-H188,"0")&amp;" more gold",IF(AND(OR(B189="Buy upgrade",B189="Forge/Scrapwork buy"),IFERROR(VLOOKUP(C189,Upgrades!$N$4:$T$47,2,FALSE),0)="points"),"Can't — Sp-wallet spends not tracked here",IF(AND(OR(B189="Buy upgrade",B189="Forge/Scrapwork buy"),IFERROR(VLOOKUP(C189,Upgrades!$N$4:$T$47,2,FALSE),0)="gold",H188&lt;IFERROR(FLOOR(IFERROR(VLOOKUP(C189,Upgrades!$N$4:$T$47,3,FALSE),0)*(IFERROR(VLOOKUP(C189,Upgrades!$N$4:$T$47,4,FALSE),0)^(COUNTIFS($B$3:$B188,"Buy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buy",$C$3:$C188,C189))),1),0)),"Can't — need "&amp;TEXT(IFERROR(FLOOR(IFERROR(VLOOKUP(C189,Upgrades!$N$4:$T$47,3,FALSE),0)*(IFERROR(VLOOKUP(C189,Upgrades!$N$4:$T$47,4,FALSE),0)^(COUNTIFS($B$3:$B188,"Buy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buy",$C$3:$C188,C189))),1),0)-H188,"0")&amp;" more gold",IF(AND(OR(B189="Buy upgrade",B189="Forge/Scrapwork buy"),IFERROR(VLOOKUP(C189,Upgrades!$N$4:$T$47,2,FALSE),0)="scraps",J188&lt;IFERROR(FLOOR(IFERROR(VLOOKUP(C189,Upgrades!$N$4:$T$47,3,FALSE),0)*(IFERROR(VLOOKUP(C189,Upgrades!$N$4:$T$47,4,FALSE),0)^(COUNTIFS($B$3:$B188,"Buy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buy",$C$3:$C188,C189))),1),0)),"Can't — need "&amp;TEXT(IFERROR(FLOOR(IFERROR(VLOOKUP(C189,Upgrades!$N$4:$T$47,3,FALSE),0)*(IFERROR(VLOOKUP(C189,Upgrades!$N$4:$T$47,4,FALSE),0)^(COUNTIFS($B$3:$B188,"Buy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buy",$C$3:$C188,C189))),1),0)-J188,"0")&amp;" more scraps",IF(AND(B189="Fight boss",E189="OK",(IF((((105/'Rules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Formulas'!B12)),"WIN — boss down, next Level unlocks",IF(AND(B189="Fight boss",E189="OK"),"LOSE — TTK "&amp;TEXT(IF((((105/'Rules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Formulas'!B20*SQRT(1+0.55*(AG188&gt;=1))),0)))),"0")&amp;"s &gt; patience "&amp;TEXT('Rules &amp; Formulas'!B12,"0")&amp;"s (leave resets HP)",IF(B189="Go AFK","AFK resolved (see AFK counted h)","Applied")))))))))</f>
        <v/>
      </c>
      <c r="G189" s="7">
        <f>IF(AND((E189="OK"),B189="Fight boss",(IF((((105/'Rules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Formulas'!B12),C189="Elder Thornpelt"),2,IF(AND((E189="OK"),B189="Fight boss",(IF((((105/'Rules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Formulas'!B12),C189="Ashfang Alpha"),3,G188))</f>
        <v/>
      </c>
      <c r="H189" s="7">
        <f>MAX(0,H188+IF(AND((E189="OK"),B189="Hunt"),(IF(B189="Hunt",(('Rules &amp; Formulas'!B4*N188*('Rules &amp; Formulas'!B5+O188)*IFERROR(VLOOKUP(C189,Monsters!$T$4:$AH$15,10,FALSE),0)*IFERROR(VLOOKUP(C189,Monsters!$T$4:$AH$15,9,FALSE),0))*'Rules &amp; Formulas'!B6)*IF(D189="",0,D189),0))*(IFERROR(VLOOKUP(C189,Monsters!$T$4:$AH$15,3,FALSE),0))*(1+0.1*AH188)+(IF(OR(B189&lt;&gt;"Hunt",IFERROR(VLOOKUP(C189,Monsters!$T$4:$AH$15,6,FALSE),0)=0),0,FLOOR((IF(B189="Hunt",(('Rules &amp; Formulas'!B4*N188*('Rules &amp; Formulas'!B5+O188)*IFERROR(VLOOKUP(C189,Monsters!$T$4:$AH$15,10,FALSE),0)*IFERROR(VLOOKUP(C189,Monsters!$T$4:$AH$15,9,FALSE),0))*'Rules &amp; Formulas'!B6)*IF(D189="",0,D189),0))/MAX(1,IFERROR(VLOOKUP(C189,Monsters!$T$4:$AH$15,6,FALSE),0)),1)))*(IFERROR(VLOOKUP(C189,Monsters!$T$4:$AH$15,7,FALSE),0))*0.5*(1+0.1*AH188),0)+IF(AND((E189="OK"),B189="Go AFK"),(IF(B189="Go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AFK",IF(D189="",0,D189),0),Z188/60)*60)),0))*(IFERROR(VLOOKUP(C189,Monsters!$T$4:$AH$15,3,FALSE),0))*(1+0.1*AH188)+(IF(OR(B189&lt;&gt;"Go AFK",IFERROR(VLOOKUP(C189,Monsters!$T$4:$AH$15,6,FALSE),0)=0),0,FLOOR((IF(B189="Go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AFK",IF(D189="",0,D189),0),Z188/60)*60)),0))/MAX(1,IFERROR(VLOOKUP(C189,Monsters!$T$4:$AH$15,6,FALSE),0)),1)))*(IFERROR(VLOOKUP(C189,Monsters!$T$4:$AH$15,7,FALSE),0))*0.5*(1+0.1*AH188),0)+IF(AND((E189="OK"),B189="Fight boss",(IF((((105/'Rules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Formulas'!B12)),IFERROR(VLOOKUP(C189,Monsters!$T$4:$AH$15,3,FALSE),0),0)-IF(AND((E189="OK"),OR(B189="Buy upgrade",B189="Forge/Scrapwork buy"),IFERROR(VLOOKUP(C189,Upgrades!$N$4:$T$47,2,FALSE),0)="gold"),IFERROR(FLOOR(IFERROR(VLOOKUP(C189,Upgrades!$N$4:$T$47,3,FALSE),0)*(IFERROR(VLOOKUP(C189,Upgrades!$N$4:$T$47,4,FALSE),0)^(COUNTIFS($B$3:$B188,"Buy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buy",$C$3:$C188,C189))),1),0),0)-IF(AND((E189="OK"),B189="Hire hunter"),IF(C189="Briar",140,IF(C189="Quill",3650,IF(C189="Moss",4850,IF(C189="Ember",12200,0)))),0))</f>
        <v/>
      </c>
      <c r="I189" s="7">
        <f>IF(AND((E189="OK"),B189="Fight boss",(IF((((105/'Rules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Formulas'!B12)),0,MIN(IF(G188&lt;=1,120,IF(G188=2,280,600)),I188+IF(AND((E189="OK"),B189="Hunt"),((IF(B189="Hunt",(('Rules &amp; Formulas'!B4*N188*('Rules &amp; Formulas'!B5+O188)*IFERROR(VLOOKUP(C189,Monsters!$T$4:$AH$15,10,FALSE),0)*IFERROR(VLOOKUP(C189,Monsters!$T$4:$AH$15,9,FALSE),0))*'Rules &amp; Formulas'!B6)*IF(D189="",0,D189),0))*(IFERROR(VLOOKUP(C189,Monsters!$T$4:$AH$15,4,FALSE),0))+(IF(OR(B189&lt;&gt;"Hunt",IFERROR(VLOOKUP(C189,Monsters!$T$4:$AH$15,6,FALSE),0)=0),0,FLOOR((IF(B189="Hunt",(('Rules &amp; Formulas'!B4*N188*('Rules &amp; Formulas'!B5+O188)*IFERROR(VLOOKUP(C189,Monsters!$T$4:$AH$15,10,FALSE),0)*IFERROR(VLOOKUP(C189,Monsters!$T$4:$AH$15,9,FALSE),0))*'Rules &amp; Formulas'!B6)*IF(D189="",0,D189),0))/MAX(1,IFERROR(VLOOKUP(C189,Monsters!$T$4:$AH$15,6,FALSE),0)),1)))*(IFERROR(VLOOKUP(C189,Monsters!$T$4:$AH$15,7,FALSE),0))),0)+IF(AND((E189="OK"),B189="Go AFK"),((IF(B189="Go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AFK",IF(D189="",0,D189),0),Z188/60)*60)),0))*(IFERROR(VLOOKUP(C189,Monsters!$T$4:$AH$15,4,FALSE),0))+(IF(OR(B189&lt;&gt;"Go AFK",IFERROR(VLOOKUP(C189,Monsters!$T$4:$AH$15,6,FALSE),0)=0),0,FLOOR((IF(B189="Go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AFK",IF(D189="",0,D189),0),Z188/60)*60)),0))/MAX(1,IFERROR(VLOOKUP(C189,Monsters!$T$4:$AH$15,6,FALSE),0)),1)))*(IFERROR(VLOOKUP(C189,Monsters!$T$4:$AH$15,7,FALSE),0))),0)))</f>
        <v/>
      </c>
      <c r="J189" s="7">
        <f>MAX(0,J188+IF(AND((E189="OK"),B189="Hunt"),(IF(B189="Hunt",(('Rules &amp; Formulas'!B4*N188*('Rules &amp; Formulas'!B5+O188)*IFERROR(VLOOKUP(C189,Monsters!$T$4:$AH$15,10,FALSE),0)*IFERROR(VLOOKUP(C189,Monsters!$T$4:$AH$15,9,FALSE),0))*'Rules &amp; Formulas'!B6)*IF(D189="",0,D189),0))*(IFERROR(VLOOKUP(C189,Monsters!$T$4:$AH$15,5,FALSE),0)),0)+IF(AND((E189="OK"),B189="Go AFK"),(IF(B189="Go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AFK",IF(D189="",0,D189),0),Z188/60)*60)),0))*(IFERROR(VLOOKUP(C189,Monsters!$T$4:$AH$15,5,FALSE),0)),0)-IF(AND((E189="OK"),OR(B189="Buy upgrade",B189="Forge/Scrapwork buy"),IFERROR(VLOOKUP(C189,Upgrades!$N$4:$T$47,2,FALSE),0)="scraps"),IFERROR(FLOOR(IFERROR(VLOOKUP(C189,Upgrades!$N$4:$T$47,3,FALSE),0)*(IFERROR(VLOOKUP(C189,Upgrades!$N$4:$T$47,4,FALSE),0)^(COUNTIFS($B$3:$B188,"Buy upgrade",$C$3:$C188,C189)+COUNTIFS($B$3:$B188,"Hire hunter",$C$3:$C188,C189)+COUNTIFS($B$3:$B188,"Forge/Scrapwork buy",$C$3:$C188,C189))),1),0),0))</f>
        <v/>
      </c>
      <c r="K189" s="7">
        <f>MAX(0,K188+IF(AND((E189="OK"),B189="Hunt"),IF(C189="Thornpelt Bear",(IF(B189="Hunt",(('Rules &amp; Formulas'!B4*N188*('Rules &amp; Formulas'!B5+O188)*IFERROR(VLOOKUP(C189,Monsters!$T$4:$AH$15,10,FALSE),0)*IFERROR(VLOOKUP(C189,Monsters!$T$4:$AH$15,9,FALSE),0))*'Rules &amp; Formulas'!B6)*IF(D189="",0,D189),0))*0.12,0),0)+IF(AND((E189="OK"),B189="Go AFK"),IF(C189="Thornpelt Bear",(IF(B189="Go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AFK",IF(D189="",0,D189),0),Z188/60)*60)),0))*0.12,0),0))</f>
        <v/>
      </c>
      <c r="L189" s="7">
        <f>MAX(0,L188+IF(AND((E189="OK"),B189="Hunt"),IF(C189="Dire Thornpelt",(IF(B189="Hunt",(('Rules &amp; Formulas'!B4*N188*('Rules &amp; Formulas'!B5+O188)*IFERROR(VLOOKUP(C189,Monsters!$T$4:$AH$15,10,FALSE),0)*IFERROR(VLOOKUP(C189,Monsters!$T$4:$AH$15,9,FALSE),0))*'Rules &amp; Formulas'!B6)*IF(D189="",0,D189),0))*0.1,0),0)+IF(AND((E189="OK"),B189="Go AFK"),IF(C189="Dire Thornpelt",(IF(B189="Go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AFK",IF(D189="",0,D189),0),Z188/60)*60)),0))*0.1,0),0))</f>
        <v/>
      </c>
      <c r="M189" s="7">
        <f>IF(AND((E189="OK"),B189="Go AFK"),MAX(0,MIN(('Rules &amp; Formulas'!B15+25*AJ188),M188+('Rules &amp; Formulas'!B14+0.4*AJ188)*(MIN(IF(B189="Go AFK",IF(D189="",0,D189),0),Z188/60)*60))-(IF(B189="Go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AFK",IF(D189="",0,D189),0),Z188/60)*60)),0))*(IF((IFERROR(VLOOKUP(C189,Monsters!$T$4:$AH$15,8,FALSE),0))=0,0.35,IFERROR(VLOOKUP(C189,Monsters!$T$4:$AH$15,8,FALSE),0))/(1+0.08*AK188))),MIN(('Rules &amp; Formulas'!B15+25*AJ189),M188))</f>
        <v/>
      </c>
      <c r="N189" s="7">
        <f>(1+0.08+0.12*AA189+0.12*AB189+0.16*AC189)</f>
        <v/>
      </c>
      <c r="O189" s="7">
        <f>((AD189&gt;=1)*1*(1+0.3*AE189))</f>
        <v/>
      </c>
      <c r="P189" s="7">
        <f>IF(OR(B189="Hunt",B189="Go AFK"),(('Rules &amp; Formulas'!B4*N188*('Rules &amp; Formulas'!B5+O188)*IFERROR(VLOOKUP(C189,Monsters!$T$4:$AH$15,10,FALSE),0)*IFERROR(VLOOKUP(C189,Monsters!$T$4:$AH$15,9,FALSE),0))*'Rules &amp; Formulas'!B6),"")</f>
        <v/>
      </c>
      <c r="Q189" s="7">
        <f>IF(OR(B189="Hunt",B189="Go AFK"),('Rules &amp; Formulas'!B4*N188*('Rules &amp; Formulas'!B5+O188)*IFERROR(VLOOKUP(C189,Monsters!$T$4:$AH$15,10,FALSE),0)*IFERROR(VLOOKUP(C189,Monsters!$T$4:$AH$15,9,FALSE),0)),"")</f>
        <v/>
      </c>
      <c r="R189" s="7">
        <f>IF(AND((E189="OK"),B189="Hunt"),IF(B189="Hunt",(('Rules &amp; Formulas'!B4*N188*('Rules &amp; Formulas'!B5+O188)*IFERROR(VLOOKUP(C189,Monsters!$T$4:$AH$15,10,FALSE),0)*IFERROR(VLOOKUP(C189,Monsters!$T$4:$AH$15,9,FALSE),0))*'Rules &amp; Formulas'!B6)*IF(D189="",0,D189),0),IF(AND((E189="OK"),B189="Go AFK"),IF(B189="Go AFK",MIN(IF((IF((IFERROR(VLOOKUP(C189,Monsters!$T$4:$AH$15,8,FALSE),0))=0,0.35,IFERROR(VLOOKUP(C189,Monsters!$T$4:$AH$15,8,FALSE),0))/(1+0.08*AK188))&lt;=0,999999,FLOOR(MIN(('Rules &amp; Formulas'!B15+25*AJ188),M188+('Rules &amp; Formulas'!B14+0.4*AJ188)*(MIN(IF(B189="Go AFK",IF(D189="",0,D189),0),Z188/60)*60))/(IF((IFERROR(VLOOKUP(C189,Monsters!$T$4:$AH$15,8,FALSE),0))=0,0.35,IFERROR(VLOOKUP(C189,Monsters!$T$4:$AH$15,8,FALSE),0))/(1+0.08*AK188)),1)),('Rules &amp; Formulas'!B4*N188*('Rules &amp; Formulas'!B5+O188)*IFERROR(VLOOKUP(C189,Monsters!$T$4:$AH$15,10,FALSE),0)*IFERROR(VLOOKUP(C189,Monsters!$T$4:$AH$15,9,FALSE),0))*(MIN(IF(B189="Go AFK",IF(D189="",0,D189),0),Z188/60)*60)),0),0))</f>
        <v/>
      </c>
      <c r="S189" s="7">
        <f>(105/'Rules &amp; Formulas'!B10)*'Rules &amp; Formulas'!B11</f>
        <v/>
      </c>
      <c r="T189" s="7">
        <f>IF(AD188&gt;=1,(MAX(1,ROUND('Rules &amp; Formulas'!B18*(1+0.3*AE188)*(1+0.4*AF188),0)))*(1000/'Rules &amp; Formulas'!B19)*MIN(0.95,'Rules &amp; Formulas'!B20*SQRT(1+0.55*(AG188&gt;=1))),0)</f>
        <v/>
      </c>
      <c r="U189" s="7">
        <f>S189+T189</f>
        <v/>
      </c>
      <c r="V189" s="7">
        <f>IF(I188&gt;=IF((IFERROR(VLOOKUP(C189,Monsters!$T$4:$AH$15,15,FALSE),0))=0,120,IFERROR(VLOOKUP(C189,Monsters!$T$4:$AH$15,15,FALSE),0)),"YES","no")</f>
        <v/>
      </c>
      <c r="W189" s="7">
        <f>IF(AND(B189="Fight boss",E189="OK"),IF((((105/'Rules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Formulas'!B20*SQRT(1+0.55*(AG188&gt;=1))),0)))),"")</f>
        <v/>
      </c>
      <c r="X189" s="7">
        <f>IF(AND(B189="Fight boss",E189="OK"),IF((IF((((105/'Rules &amp; Formulas'!B10)*'Rules &amp; Formulas'!B11+IF(AD188&gt;=1,(MAX(1,ROUND('Rules &amp; Formulas'!B18*(1+0.3*AE188)*(1+0.4*AF188),0)))*(1000/'Rules &amp; Formulas'!B19)*MIN(0.95,'Rules &amp; Formulas'!B20*SQRT(1+0.55*(AG188&gt;=1))),0)))&lt;=0,9999,(IFERROR(VLOOKUP(C189,Monsters!$T$4:$AH$15,2,FALSE),0))/(((105/'Rules &amp; Formulas'!B10)*'Rules &amp; Formulas'!B11+IF(AD188&gt;=1,(MAX(1,ROUND('Rules &amp; Formulas'!B18*(1+0.3*AE188)*(1+0.4*AF188),0)))*(1000/'Rules &amp; Formulas'!B19)*MIN(0.95,'Rules &amp; Formulas'!B20*SQRT(1+0.55*(AG188&gt;=1))),0))))&lt;='Rules &amp; Formulas'!B12),"WIN","LOSE"),"")</f>
        <v/>
      </c>
      <c r="Y189" s="7">
        <f>IF(B189="Go AFK",MIN(IF(B189="Go AFK",IF(D189="",0,D189),0),Z188/60),"")</f>
        <v/>
      </c>
      <c r="Z189" s="7">
        <f>('Rules &amp; Formulas'!B13+30*AI189)</f>
        <v/>
      </c>
      <c r="AA189">
        <f>COUNTIFS($B$3:$B189,"Buy upgrade",$C$3:$C189,"Idle Power")</f>
        <v/>
      </c>
      <c r="AB189">
        <f>COUNTIFS($B$3:$B189,"Buy upgrade",$C$3:$C189,"Iron Blade")</f>
        <v/>
      </c>
      <c r="AC189">
        <f>COUNTIFS($B$3:$B189,"Buy upgrade",$C$3:$C189,"Steel Blade")</f>
        <v/>
      </c>
      <c r="AD189">
        <f>COUNTIFS($B$3:$B189,"Hire hunter",$C$3:$C189,"Briar")+COUNTIFS($B$3:$B189,"Buy upgrade",$C$3:$C189,"Hire Briar")</f>
        <v/>
      </c>
      <c r="AE189">
        <f>COUNTIFS($B$3:$B189,"Buy upgrade",$C$3:$C189,"Hunter Power")</f>
        <v/>
      </c>
      <c r="AF189">
        <f>COUNTIFS($B$3:$B189,"Buy upgrade",$C$3:$C189,"Bigger Hits")</f>
        <v/>
      </c>
      <c r="AG189">
        <f>COUNTIFS($B$3:$B189,"Buy upgrade",$C$3:$C189,"Swift Walk")</f>
        <v/>
      </c>
      <c r="AH189">
        <f>COUNTIFS($B$3:$B189,"Buy upgrade",$C$3:$C189,"Loot Luck")</f>
        <v/>
      </c>
      <c r="AI189">
        <f>COUNTIFS($B$3:$B189,"Buy upgrade",$C$3:$C189,"Offline Cap")</f>
        <v/>
      </c>
      <c r="AJ189">
        <f>COUNTIFS($B$3:$B189,"Buy upgrade",$C$3:$C189,"Bigger Food Stock")</f>
        <v/>
      </c>
      <c r="AK189">
        <f>COUNTIFS($B$3:$B189,"Buy upgrade",$C$3:$C189,"Food Efficiency")</f>
        <v/>
      </c>
    </row>
    <row r="190">
      <c r="A190" t="n">
        <v>188</v>
      </c>
      <c r="B190" s="6" t="n"/>
      <c r="C190" s="6" t="n"/>
      <c r="D190" s="6" t="n"/>
      <c r="E190" s="7">
        <f>IF(B190="","",IF(OR(B190="Hunt",B190="Go AFK"),IF(C190="","Can't","OK"),IF(B190="Fight boss",IF(I189&lt;IF((IFERROR(VLOOKUP(C190,Monsters!$T$4:$AH$15,15,FALSE),0))=0,120,IFERROR(VLOOKUP(C190,Monsters!$T$4:$AH$15,15,FALSE),0)),"Can't","OK"),IF(B190="Hire hunter",IF(AND(C190="Briar",AD189&gt;=1),"Can't",IF(H189&lt;IF(C190="Briar",140,IF(C190="Quill",3650,IF(C190="Moss",4850,IF(C190="Ember",12200,0)))),"Can't","OK")),IF(OR(B190="Buy upgrade",B190="Forge/Scrapwork buy"),IF(IFERROR(VLOOKUP(C190,Upgrades!$N$4:$T$47,2,FALSE),0)="points","Can't",IF(IFERROR(VLOOKUP(C190,Upgrades!$N$4:$T$47,2,FALSE),0)="gold",IF(H189&lt;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buy",$C$3:$C189,C190))),1),0),"Can't","OK"),IF(IFERROR(VLOOKUP(C190,Upgrades!$N$4:$T$47,2,FALSE),0)="scraps",IF(J189&lt;IFERROR(FLOOR(IFERROR(VLOOKUP(C190,Upgrades!$N$4:$T$47,3,FALSE),0)*(IFERROR(VLOOKUP(C190,Upgrades!$N$4:$T$47,4,FALSE),0)^(COUNTIFS($B$3:$B189,"Buy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buy",$C$3:$C189,C190))),1),0),"Can't","OK"),IF(IFERROR(VLOOKUP(C190,Upgrades!$N$4:$T$47,2,FALSE),0)="mats","Can't","OK")))),"Check")))))</f>
        <v/>
      </c>
      <c r="F190" s="7">
        <f>IF(B190="","",IF(AND(B190="Fight boss",I189&lt;IF((IFERROR(VLOOKUP(C190,Monsters!$T$4:$AH$15,15,FALSE),0))=0,120,IFERROR(VLOOKUP(C190,Monsters!$T$4:$AH$15,15,FALSE),0))),"Can't — need "&amp;TEXT(IF((IFERROR(VLOOKUP(C190,Monsters!$T$4:$AH$15,15,FALSE),0))=0,120,IFERROR(VLOOKUP(C190,Monsters!$T$4:$AH$15,15,FALSE),0))-I189,"0.0")&amp;" more Slayer points on the meter",IF(AND(B190="Hire hunter",C190="Briar",AD189&gt;=1),"Can't — already hired",IF(AND(B190="Hire hunter",H189&lt;IF(C190="Briar",140,IF(C190="Quill",3650,IF(C190="Moss",4850,IF(C190="Ember",12200,0))))),"Can't — need "&amp;TEXT(IF(C190="Briar",140,IF(C190="Quill",3650,IF(C190="Moss",4850,IF(C190="Ember",12200,0))))-H189,"0")&amp;" more gold",IF(AND(OR(B190="Buy upgrade",B190="Forge/Scrapwork buy"),IFERROR(VLOOKUP(C190,Upgrades!$N$4:$T$47,2,FALSE),0)="points"),"Can't — Sp-wallet spends not tracked here",IF(AND(OR(B190="Buy upgrade",B190="Forge/Scrapwork buy"),IFERROR(VLOOKUP(C190,Upgrades!$N$4:$T$47,2,FALSE),0)="gold",H189&lt;IFERROR(FLOOR(IFERROR(VLOOKUP(C190,Upgrades!$N$4:$T$47,3,FALSE),0)*(IFERROR(VLOOKUP(C190,Upgrades!$N$4:$T$47,4,FALSE),0)^(COUNTIFS($B$3:$B189,"Buy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buy",$C$3:$C189,C190))),1),0)),"Can't — need "&amp;TEXT(IFERROR(FLOOR(IFERROR(VLOOKUP(C190,Upgrades!$N$4:$T$47,3,FALSE),0)*(IFERROR(VLOOKUP(C190,Upgrades!$N$4:$T$47,4,FALSE),0)^(COUNTIFS($B$3:$B189,"Buy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buy",$C$3:$C189,C190))),1),0)-H189,"0")&amp;" more gold",IF(AND(OR(B190="Buy upgrade",B190="Forge/Scrapwork buy"),IFERROR(VLOOKUP(C190,Upgrades!$N$4:$T$47,2,FALSE),0)="scraps",J189&lt;IFERROR(FLOOR(IFERROR(VLOOKUP(C190,Upgrades!$N$4:$T$47,3,FALSE),0)*(IFERROR(VLOOKUP(C190,Upgrades!$N$4:$T$47,4,FALSE),0)^(COUNTIFS($B$3:$B189,"Buy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buy",$C$3:$C189,C190))),1),0)),"Can't — need "&amp;TEXT(IFERROR(FLOOR(IFERROR(VLOOKUP(C190,Upgrades!$N$4:$T$47,3,FALSE),0)*(IFERROR(VLOOKUP(C190,Upgrades!$N$4:$T$47,4,FALSE),0)^(COUNTIFS($B$3:$B189,"Buy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buy",$C$3:$C189,C190))),1),0)-J189,"0")&amp;" more scraps",IF(AND(B190="Fight boss",E190="OK",(IF((((105/'Rules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Formulas'!B12)),"WIN — boss down, next Level unlocks",IF(AND(B190="Fight boss",E190="OK"),"LOSE — TTK "&amp;TEXT(IF((((105/'Rules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Formulas'!B20*SQRT(1+0.55*(AG189&gt;=1))),0)))),"0")&amp;"s &gt; patience "&amp;TEXT('Rules &amp; Formulas'!B12,"0")&amp;"s (leave resets HP)",IF(B190="Go AFK","AFK resolved (see AFK counted h)","Applied")))))))))</f>
        <v/>
      </c>
      <c r="G190" s="7">
        <f>IF(AND((E190="OK"),B190="Fight boss",(IF((((105/'Rules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Formulas'!B12),C190="Elder Thornpelt"),2,IF(AND((E190="OK"),B190="Fight boss",(IF((((105/'Rules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Formulas'!B12),C190="Ashfang Alpha"),3,G189))</f>
        <v/>
      </c>
      <c r="H190" s="7">
        <f>MAX(0,H189+IF(AND((E190="OK"),B190="Hunt"),(IF(B190="Hunt",(('Rules &amp; Formulas'!B4*N189*('Rules &amp; Formulas'!B5+O189)*IFERROR(VLOOKUP(C190,Monsters!$T$4:$AH$15,10,FALSE),0)*IFERROR(VLOOKUP(C190,Monsters!$T$4:$AH$15,9,FALSE),0))*'Rules &amp; Formulas'!B6)*IF(D190="",0,D190),0))*(IFERROR(VLOOKUP(C190,Monsters!$T$4:$AH$15,3,FALSE),0))*(1+0.1*AH189)+(IF(OR(B190&lt;&gt;"Hunt",IFERROR(VLOOKUP(C190,Monsters!$T$4:$AH$15,6,FALSE),0)=0),0,FLOOR((IF(B190="Hunt",(('Rules &amp; Formulas'!B4*N189*('Rules &amp; Formulas'!B5+O189)*IFERROR(VLOOKUP(C190,Monsters!$T$4:$AH$15,10,FALSE),0)*IFERROR(VLOOKUP(C190,Monsters!$T$4:$AH$15,9,FALSE),0))*'Rules &amp; Formulas'!B6)*IF(D190="",0,D190),0))/MAX(1,IFERROR(VLOOKUP(C190,Monsters!$T$4:$AH$15,6,FALSE),0)),1)))*(IFERROR(VLOOKUP(C190,Monsters!$T$4:$AH$15,7,FALSE),0))*0.5*(1+0.1*AH189),0)+IF(AND((E190="OK"),B190="Go AFK"),(IF(B190="Go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AFK",IF(D190="",0,D190),0),Z189/60)*60)),0))*(IFERROR(VLOOKUP(C190,Monsters!$T$4:$AH$15,3,FALSE),0))*(1+0.1*AH189)+(IF(OR(B190&lt;&gt;"Go AFK",IFERROR(VLOOKUP(C190,Monsters!$T$4:$AH$15,6,FALSE),0)=0),0,FLOOR((IF(B190="Go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AFK",IF(D190="",0,D190),0),Z189/60)*60)),0))/MAX(1,IFERROR(VLOOKUP(C190,Monsters!$T$4:$AH$15,6,FALSE),0)),1)))*(IFERROR(VLOOKUP(C190,Monsters!$T$4:$AH$15,7,FALSE),0))*0.5*(1+0.1*AH189),0)+IF(AND((E190="OK"),B190="Fight boss",(IF((((105/'Rules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Formulas'!B12)),IFERROR(VLOOKUP(C190,Monsters!$T$4:$AH$15,3,FALSE),0),0)-IF(AND((E190="OK"),OR(B190="Buy upgrade",B190="Forge/Scrapwork buy"),IFERROR(VLOOKUP(C190,Upgrades!$N$4:$T$47,2,FALSE),0)="gold"),IFERROR(FLOOR(IFERROR(VLOOKUP(C190,Upgrades!$N$4:$T$47,3,FALSE),0)*(IFERROR(VLOOKUP(C190,Upgrades!$N$4:$T$47,4,FALSE),0)^(COUNTIFS($B$3:$B189,"Buy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buy",$C$3:$C189,C190))),1),0),0)-IF(AND((E190="OK"),B190="Hire hunter"),IF(C190="Briar",140,IF(C190="Quill",3650,IF(C190="Moss",4850,IF(C190="Ember",12200,0)))),0))</f>
        <v/>
      </c>
      <c r="I190" s="7">
        <f>IF(AND((E190="OK"),B190="Fight boss",(IF((((105/'Rules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Formulas'!B12)),0,MIN(IF(G189&lt;=1,120,IF(G189=2,280,600)),I189+IF(AND((E190="OK"),B190="Hunt"),((IF(B190="Hunt",(('Rules &amp; Formulas'!B4*N189*('Rules &amp; Formulas'!B5+O189)*IFERROR(VLOOKUP(C190,Monsters!$T$4:$AH$15,10,FALSE),0)*IFERROR(VLOOKUP(C190,Monsters!$T$4:$AH$15,9,FALSE),0))*'Rules &amp; Formulas'!B6)*IF(D190="",0,D190),0))*(IFERROR(VLOOKUP(C190,Monsters!$T$4:$AH$15,4,FALSE),0))+(IF(OR(B190&lt;&gt;"Hunt",IFERROR(VLOOKUP(C190,Monsters!$T$4:$AH$15,6,FALSE),0)=0),0,FLOOR((IF(B190="Hunt",(('Rules &amp; Formulas'!B4*N189*('Rules &amp; Formulas'!B5+O189)*IFERROR(VLOOKUP(C190,Monsters!$T$4:$AH$15,10,FALSE),0)*IFERROR(VLOOKUP(C190,Monsters!$T$4:$AH$15,9,FALSE),0))*'Rules &amp; Formulas'!B6)*IF(D190="",0,D190),0))/MAX(1,IFERROR(VLOOKUP(C190,Monsters!$T$4:$AH$15,6,FALSE),0)),1)))*(IFERROR(VLOOKUP(C190,Monsters!$T$4:$AH$15,7,FALSE),0))),0)+IF(AND((E190="OK"),B190="Go AFK"),((IF(B190="Go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AFK",IF(D190="",0,D190),0),Z189/60)*60)),0))*(IFERROR(VLOOKUP(C190,Monsters!$T$4:$AH$15,4,FALSE),0))+(IF(OR(B190&lt;&gt;"Go AFK",IFERROR(VLOOKUP(C190,Monsters!$T$4:$AH$15,6,FALSE),0)=0),0,FLOOR((IF(B190="Go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AFK",IF(D190="",0,D190),0),Z189/60)*60)),0))/MAX(1,IFERROR(VLOOKUP(C190,Monsters!$T$4:$AH$15,6,FALSE),0)),1)))*(IFERROR(VLOOKUP(C190,Monsters!$T$4:$AH$15,7,FALSE),0))),0)))</f>
        <v/>
      </c>
      <c r="J190" s="7">
        <f>MAX(0,J189+IF(AND((E190="OK"),B190="Hunt"),(IF(B190="Hunt",(('Rules &amp; Formulas'!B4*N189*('Rules &amp; Formulas'!B5+O189)*IFERROR(VLOOKUP(C190,Monsters!$T$4:$AH$15,10,FALSE),0)*IFERROR(VLOOKUP(C190,Monsters!$T$4:$AH$15,9,FALSE),0))*'Rules &amp; Formulas'!B6)*IF(D190="",0,D190),0))*(IFERROR(VLOOKUP(C190,Monsters!$T$4:$AH$15,5,FALSE),0)),0)+IF(AND((E190="OK"),B190="Go AFK"),(IF(B190="Go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AFK",IF(D190="",0,D190),0),Z189/60)*60)),0))*(IFERROR(VLOOKUP(C190,Monsters!$T$4:$AH$15,5,FALSE),0)),0)-IF(AND((E190="OK"),OR(B190="Buy upgrade",B190="Forge/Scrapwork buy"),IFERROR(VLOOKUP(C190,Upgrades!$N$4:$T$47,2,FALSE),0)="scraps"),IFERROR(FLOOR(IFERROR(VLOOKUP(C190,Upgrades!$N$4:$T$47,3,FALSE),0)*(IFERROR(VLOOKUP(C190,Upgrades!$N$4:$T$47,4,FALSE),0)^(COUNTIFS($B$3:$B189,"Buy upgrade",$C$3:$C189,C190)+COUNTIFS($B$3:$B189,"Hire hunter",$C$3:$C189,C190)+COUNTIFS($B$3:$B189,"Forge/Scrapwork buy",$C$3:$C189,C190))),1),0),0))</f>
        <v/>
      </c>
      <c r="K190" s="7">
        <f>MAX(0,K189+IF(AND((E190="OK"),B190="Hunt"),IF(C190="Thornpelt Bear",(IF(B190="Hunt",(('Rules &amp; Formulas'!B4*N189*('Rules &amp; Formulas'!B5+O189)*IFERROR(VLOOKUP(C190,Monsters!$T$4:$AH$15,10,FALSE),0)*IFERROR(VLOOKUP(C190,Monsters!$T$4:$AH$15,9,FALSE),0))*'Rules &amp; Formulas'!B6)*IF(D190="",0,D190),0))*0.12,0),0)+IF(AND((E190="OK"),B190="Go AFK"),IF(C190="Thornpelt Bear",(IF(B190="Go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AFK",IF(D190="",0,D190),0),Z189/60)*60)),0))*0.12,0),0))</f>
        <v/>
      </c>
      <c r="L190" s="7">
        <f>MAX(0,L189+IF(AND((E190="OK"),B190="Hunt"),IF(C190="Dire Thornpelt",(IF(B190="Hunt",(('Rules &amp; Formulas'!B4*N189*('Rules &amp; Formulas'!B5+O189)*IFERROR(VLOOKUP(C190,Monsters!$T$4:$AH$15,10,FALSE),0)*IFERROR(VLOOKUP(C190,Monsters!$T$4:$AH$15,9,FALSE),0))*'Rules &amp; Formulas'!B6)*IF(D190="",0,D190),0))*0.1,0),0)+IF(AND((E190="OK"),B190="Go AFK"),IF(C190="Dire Thornpelt",(IF(B190="Go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AFK",IF(D190="",0,D190),0),Z189/60)*60)),0))*0.1,0),0))</f>
        <v/>
      </c>
      <c r="M190" s="7">
        <f>IF(AND((E190="OK"),B190="Go AFK"),MAX(0,MIN(('Rules &amp; Formulas'!B15+25*AJ189),M189+('Rules &amp; Formulas'!B14+0.4*AJ189)*(MIN(IF(B190="Go AFK",IF(D190="",0,D190),0),Z189/60)*60))-(IF(B190="Go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AFK",IF(D190="",0,D190),0),Z189/60)*60)),0))*(IF((IFERROR(VLOOKUP(C190,Monsters!$T$4:$AH$15,8,FALSE),0))=0,0.35,IFERROR(VLOOKUP(C190,Monsters!$T$4:$AH$15,8,FALSE),0))/(1+0.08*AK189))),MIN(('Rules &amp; Formulas'!B15+25*AJ190),M189))</f>
        <v/>
      </c>
      <c r="N190" s="7">
        <f>(1+0.08+0.12*AA190+0.12*AB190+0.16*AC190)</f>
        <v/>
      </c>
      <c r="O190" s="7">
        <f>((AD190&gt;=1)*1*(1+0.3*AE190))</f>
        <v/>
      </c>
      <c r="P190" s="7">
        <f>IF(OR(B190="Hunt",B190="Go AFK"),(('Rules &amp; Formulas'!B4*N189*('Rules &amp; Formulas'!B5+O189)*IFERROR(VLOOKUP(C190,Monsters!$T$4:$AH$15,10,FALSE),0)*IFERROR(VLOOKUP(C190,Monsters!$T$4:$AH$15,9,FALSE),0))*'Rules &amp; Formulas'!B6),"")</f>
        <v/>
      </c>
      <c r="Q190" s="7">
        <f>IF(OR(B190="Hunt",B190="Go AFK"),('Rules &amp; Formulas'!B4*N189*('Rules &amp; Formulas'!B5+O189)*IFERROR(VLOOKUP(C190,Monsters!$T$4:$AH$15,10,FALSE),0)*IFERROR(VLOOKUP(C190,Monsters!$T$4:$AH$15,9,FALSE),0)),"")</f>
        <v/>
      </c>
      <c r="R190" s="7">
        <f>IF(AND((E190="OK"),B190="Hunt"),IF(B190="Hunt",(('Rules &amp; Formulas'!B4*N189*('Rules &amp; Formulas'!B5+O189)*IFERROR(VLOOKUP(C190,Monsters!$T$4:$AH$15,10,FALSE),0)*IFERROR(VLOOKUP(C190,Monsters!$T$4:$AH$15,9,FALSE),0))*'Rules &amp; Formulas'!B6)*IF(D190="",0,D190),0),IF(AND((E190="OK"),B190="Go AFK"),IF(B190="Go AFK",MIN(IF((IF((IFERROR(VLOOKUP(C190,Monsters!$T$4:$AH$15,8,FALSE),0))=0,0.35,IFERROR(VLOOKUP(C190,Monsters!$T$4:$AH$15,8,FALSE),0))/(1+0.08*AK189))&lt;=0,999999,FLOOR(MIN(('Rules &amp; Formulas'!B15+25*AJ189),M189+('Rules &amp; Formulas'!B14+0.4*AJ189)*(MIN(IF(B190="Go AFK",IF(D190="",0,D190),0),Z189/60)*60))/(IF((IFERROR(VLOOKUP(C190,Monsters!$T$4:$AH$15,8,FALSE),0))=0,0.35,IFERROR(VLOOKUP(C190,Monsters!$T$4:$AH$15,8,FALSE),0))/(1+0.08*AK189)),1)),('Rules &amp; Formulas'!B4*N189*('Rules &amp; Formulas'!B5+O189)*IFERROR(VLOOKUP(C190,Monsters!$T$4:$AH$15,10,FALSE),0)*IFERROR(VLOOKUP(C190,Monsters!$T$4:$AH$15,9,FALSE),0))*(MIN(IF(B190="Go AFK",IF(D190="",0,D190),0),Z189/60)*60)),0),0))</f>
        <v/>
      </c>
      <c r="S190" s="7">
        <f>(105/'Rules &amp; Formulas'!B10)*'Rules &amp; Formulas'!B11</f>
        <v/>
      </c>
      <c r="T190" s="7">
        <f>IF(AD189&gt;=1,(MAX(1,ROUND('Rules &amp; Formulas'!B18*(1+0.3*AE189)*(1+0.4*AF189),0)))*(1000/'Rules &amp; Formulas'!B19)*MIN(0.95,'Rules &amp; Formulas'!B20*SQRT(1+0.55*(AG189&gt;=1))),0)</f>
        <v/>
      </c>
      <c r="U190" s="7">
        <f>S190+T190</f>
        <v/>
      </c>
      <c r="V190" s="7">
        <f>IF(I189&gt;=IF((IFERROR(VLOOKUP(C190,Monsters!$T$4:$AH$15,15,FALSE),0))=0,120,IFERROR(VLOOKUP(C190,Monsters!$T$4:$AH$15,15,FALSE),0)),"YES","no")</f>
        <v/>
      </c>
      <c r="W190" s="7">
        <f>IF(AND(B190="Fight boss",E190="OK"),IF((((105/'Rules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Formulas'!B20*SQRT(1+0.55*(AG189&gt;=1))),0)))),"")</f>
        <v/>
      </c>
      <c r="X190" s="7">
        <f>IF(AND(B190="Fight boss",E190="OK"),IF((IF((((105/'Rules &amp; Formulas'!B10)*'Rules &amp; Formulas'!B11+IF(AD189&gt;=1,(MAX(1,ROUND('Rules &amp; Formulas'!B18*(1+0.3*AE189)*(1+0.4*AF189),0)))*(1000/'Rules &amp; Formulas'!B19)*MIN(0.95,'Rules &amp; Formulas'!B20*SQRT(1+0.55*(AG189&gt;=1))),0)))&lt;=0,9999,(IFERROR(VLOOKUP(C190,Monsters!$T$4:$AH$15,2,FALSE),0))/(((105/'Rules &amp; Formulas'!B10)*'Rules &amp; Formulas'!B11+IF(AD189&gt;=1,(MAX(1,ROUND('Rules &amp; Formulas'!B18*(1+0.3*AE189)*(1+0.4*AF189),0)))*(1000/'Rules &amp; Formulas'!B19)*MIN(0.95,'Rules &amp; Formulas'!B20*SQRT(1+0.55*(AG189&gt;=1))),0))))&lt;='Rules &amp; Formulas'!B12),"WIN","LOSE"),"")</f>
        <v/>
      </c>
      <c r="Y190" s="7">
        <f>IF(B190="Go AFK",MIN(IF(B190="Go AFK",IF(D190="",0,D190),0),Z189/60),"")</f>
        <v/>
      </c>
      <c r="Z190" s="7">
        <f>('Rules &amp; Formulas'!B13+30*AI190)</f>
        <v/>
      </c>
      <c r="AA190">
        <f>COUNTIFS($B$3:$B190,"Buy upgrade",$C$3:$C190,"Idle Power")</f>
        <v/>
      </c>
      <c r="AB190">
        <f>COUNTIFS($B$3:$B190,"Buy upgrade",$C$3:$C190,"Iron Blade")</f>
        <v/>
      </c>
      <c r="AC190">
        <f>COUNTIFS($B$3:$B190,"Buy upgrade",$C$3:$C190,"Steel Blade")</f>
        <v/>
      </c>
      <c r="AD190">
        <f>COUNTIFS($B$3:$B190,"Hire hunter",$C$3:$C190,"Briar")+COUNTIFS($B$3:$B190,"Buy upgrade",$C$3:$C190,"Hire Briar")</f>
        <v/>
      </c>
      <c r="AE190">
        <f>COUNTIFS($B$3:$B190,"Buy upgrade",$C$3:$C190,"Hunter Power")</f>
        <v/>
      </c>
      <c r="AF190">
        <f>COUNTIFS($B$3:$B190,"Buy upgrade",$C$3:$C190,"Bigger Hits")</f>
        <v/>
      </c>
      <c r="AG190">
        <f>COUNTIFS($B$3:$B190,"Buy upgrade",$C$3:$C190,"Swift Walk")</f>
        <v/>
      </c>
      <c r="AH190">
        <f>COUNTIFS($B$3:$B190,"Buy upgrade",$C$3:$C190,"Loot Luck")</f>
        <v/>
      </c>
      <c r="AI190">
        <f>COUNTIFS($B$3:$B190,"Buy upgrade",$C$3:$C190,"Offline Cap")</f>
        <v/>
      </c>
      <c r="AJ190">
        <f>COUNTIFS($B$3:$B190,"Buy upgrade",$C$3:$C190,"Bigger Food Stock")</f>
        <v/>
      </c>
      <c r="AK190">
        <f>COUNTIFS($B$3:$B190,"Buy upgrade",$C$3:$C190,"Food Efficiency")</f>
        <v/>
      </c>
    </row>
    <row r="191">
      <c r="A191" t="n">
        <v>189</v>
      </c>
      <c r="B191" s="6" t="n"/>
      <c r="C191" s="6" t="n"/>
      <c r="D191" s="6" t="n"/>
      <c r="E191" s="7">
        <f>IF(B191="","",IF(OR(B191="Hunt",B191="Go AFK"),IF(C191="","Can't","OK"),IF(B191="Fight boss",IF(I190&lt;IF((IFERROR(VLOOKUP(C191,Monsters!$T$4:$AH$15,15,FALSE),0))=0,120,IFERROR(VLOOKUP(C191,Monsters!$T$4:$AH$15,15,FALSE),0)),"Can't","OK"),IF(B191="Hire hunter",IF(AND(C191="Briar",AD190&gt;=1),"Can't",IF(H190&lt;IF(C191="Briar",140,IF(C191="Quill",3650,IF(C191="Moss",4850,IF(C191="Ember",12200,0)))),"Can't","OK")),IF(OR(B191="Buy upgrade",B191="Forge/Scrapwork buy"),IF(IFERROR(VLOOKUP(C191,Upgrades!$N$4:$T$47,2,FALSE),0)="points","Can't",IF(IFERROR(VLOOKUP(C191,Upgrades!$N$4:$T$47,2,FALSE),0)="gold",IF(H190&lt;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buy",$C$3:$C190,C191))),1),0),"Can't","OK"),IF(IFERROR(VLOOKUP(C191,Upgrades!$N$4:$T$47,2,FALSE),0)="scraps",IF(J190&lt;IFERROR(FLOOR(IFERROR(VLOOKUP(C191,Upgrades!$N$4:$T$47,3,FALSE),0)*(IFERROR(VLOOKUP(C191,Upgrades!$N$4:$T$47,4,FALSE),0)^(COUNTIFS($B$3:$B190,"Buy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buy",$C$3:$C190,C191))),1),0),"Can't","OK"),IF(IFERROR(VLOOKUP(C191,Upgrades!$N$4:$T$47,2,FALSE),0)="mats","Can't","OK")))),"Check")))))</f>
        <v/>
      </c>
      <c r="F191" s="7">
        <f>IF(B191="","",IF(AND(B191="Fight boss",I190&lt;IF((IFERROR(VLOOKUP(C191,Monsters!$T$4:$AH$15,15,FALSE),0))=0,120,IFERROR(VLOOKUP(C191,Monsters!$T$4:$AH$15,15,FALSE),0))),"Can't — need "&amp;TEXT(IF((IFERROR(VLOOKUP(C191,Monsters!$T$4:$AH$15,15,FALSE),0))=0,120,IFERROR(VLOOKUP(C191,Monsters!$T$4:$AH$15,15,FALSE),0))-I190,"0.0")&amp;" more Slayer points on the meter",IF(AND(B191="Hire hunter",C191="Briar",AD190&gt;=1),"Can't — already hired",IF(AND(B191="Hire hunter",H190&lt;IF(C191="Briar",140,IF(C191="Quill",3650,IF(C191="Moss",4850,IF(C191="Ember",12200,0))))),"Can't — need "&amp;TEXT(IF(C191="Briar",140,IF(C191="Quill",3650,IF(C191="Moss",4850,IF(C191="Ember",12200,0))))-H190,"0")&amp;" more gold",IF(AND(OR(B191="Buy upgrade",B191="Forge/Scrapwork buy"),IFERROR(VLOOKUP(C191,Upgrades!$N$4:$T$47,2,FALSE),0)="points"),"Can't — Sp-wallet spends not tracked here",IF(AND(OR(B191="Buy upgrade",B191="Forge/Scrapwork buy"),IFERROR(VLOOKUP(C191,Upgrades!$N$4:$T$47,2,FALSE),0)="gold",H190&lt;IFERROR(FLOOR(IFERROR(VLOOKUP(C191,Upgrades!$N$4:$T$47,3,FALSE),0)*(IFERROR(VLOOKUP(C191,Upgrades!$N$4:$T$47,4,FALSE),0)^(COUNTIFS($B$3:$B190,"Buy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buy",$C$3:$C190,C191))),1),0)),"Can't — need "&amp;TEXT(IFERROR(FLOOR(IFERROR(VLOOKUP(C191,Upgrades!$N$4:$T$47,3,FALSE),0)*(IFERROR(VLOOKUP(C191,Upgrades!$N$4:$T$47,4,FALSE),0)^(COUNTIFS($B$3:$B190,"Buy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buy",$C$3:$C190,C191))),1),0)-H190,"0")&amp;" more gold",IF(AND(OR(B191="Buy upgrade",B191="Forge/Scrapwork buy"),IFERROR(VLOOKUP(C191,Upgrades!$N$4:$T$47,2,FALSE),0)="scraps",J190&lt;IFERROR(FLOOR(IFERROR(VLOOKUP(C191,Upgrades!$N$4:$T$47,3,FALSE),0)*(IFERROR(VLOOKUP(C191,Upgrades!$N$4:$T$47,4,FALSE),0)^(COUNTIFS($B$3:$B190,"Buy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buy",$C$3:$C190,C191))),1),0)),"Can't — need "&amp;TEXT(IFERROR(FLOOR(IFERROR(VLOOKUP(C191,Upgrades!$N$4:$T$47,3,FALSE),0)*(IFERROR(VLOOKUP(C191,Upgrades!$N$4:$T$47,4,FALSE),0)^(COUNTIFS($B$3:$B190,"Buy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buy",$C$3:$C190,C191))),1),0)-J190,"0")&amp;" more scraps",IF(AND(B191="Fight boss",E191="OK",(IF((((105/'Rules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Formulas'!B12)),"WIN — boss down, next Level unlocks",IF(AND(B191="Fight boss",E191="OK"),"LOSE — TTK "&amp;TEXT(IF((((105/'Rules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Formulas'!B20*SQRT(1+0.55*(AG190&gt;=1))),0)))),"0")&amp;"s &gt; patience "&amp;TEXT('Rules &amp; Formulas'!B12,"0")&amp;"s (leave resets HP)",IF(B191="Go AFK","AFK resolved (see AFK counted h)","Applied")))))))))</f>
        <v/>
      </c>
      <c r="G191" s="7">
        <f>IF(AND((E191="OK"),B191="Fight boss",(IF((((105/'Rules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Formulas'!B12),C191="Elder Thornpelt"),2,IF(AND((E191="OK"),B191="Fight boss",(IF((((105/'Rules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Formulas'!B12),C191="Ashfang Alpha"),3,G190))</f>
        <v/>
      </c>
      <c r="H191" s="7">
        <f>MAX(0,H190+IF(AND((E191="OK"),B191="Hunt"),(IF(B191="Hunt",(('Rules &amp; Formulas'!B4*N190*('Rules &amp; Formulas'!B5+O190)*IFERROR(VLOOKUP(C191,Monsters!$T$4:$AH$15,10,FALSE),0)*IFERROR(VLOOKUP(C191,Monsters!$T$4:$AH$15,9,FALSE),0))*'Rules &amp; Formulas'!B6)*IF(D191="",0,D191),0))*(IFERROR(VLOOKUP(C191,Monsters!$T$4:$AH$15,3,FALSE),0))*(1+0.1*AH190)+(IF(OR(B191&lt;&gt;"Hunt",IFERROR(VLOOKUP(C191,Monsters!$T$4:$AH$15,6,FALSE),0)=0),0,FLOOR((IF(B191="Hunt",(('Rules &amp; Formulas'!B4*N190*('Rules &amp; Formulas'!B5+O190)*IFERROR(VLOOKUP(C191,Monsters!$T$4:$AH$15,10,FALSE),0)*IFERROR(VLOOKUP(C191,Monsters!$T$4:$AH$15,9,FALSE),0))*'Rules &amp; Formulas'!B6)*IF(D191="",0,D191),0))/MAX(1,IFERROR(VLOOKUP(C191,Monsters!$T$4:$AH$15,6,FALSE),0)),1)))*(IFERROR(VLOOKUP(C191,Monsters!$T$4:$AH$15,7,FALSE),0))*0.5*(1+0.1*AH190),0)+IF(AND((E191="OK"),B191="Go AFK"),(IF(B191="Go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AFK",IF(D191="",0,D191),0),Z190/60)*60)),0))*(IFERROR(VLOOKUP(C191,Monsters!$T$4:$AH$15,3,FALSE),0))*(1+0.1*AH190)+(IF(OR(B191&lt;&gt;"Go AFK",IFERROR(VLOOKUP(C191,Monsters!$T$4:$AH$15,6,FALSE),0)=0),0,FLOOR((IF(B191="Go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AFK",IF(D191="",0,D191),0),Z190/60)*60)),0))/MAX(1,IFERROR(VLOOKUP(C191,Monsters!$T$4:$AH$15,6,FALSE),0)),1)))*(IFERROR(VLOOKUP(C191,Monsters!$T$4:$AH$15,7,FALSE),0))*0.5*(1+0.1*AH190),0)+IF(AND((E191="OK"),B191="Fight boss",(IF((((105/'Rules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Formulas'!B12)),IFERROR(VLOOKUP(C191,Monsters!$T$4:$AH$15,3,FALSE),0),0)-IF(AND((E191="OK"),OR(B191="Buy upgrade",B191="Forge/Scrapwork buy"),IFERROR(VLOOKUP(C191,Upgrades!$N$4:$T$47,2,FALSE),0)="gold"),IFERROR(FLOOR(IFERROR(VLOOKUP(C191,Upgrades!$N$4:$T$47,3,FALSE),0)*(IFERROR(VLOOKUP(C191,Upgrades!$N$4:$T$47,4,FALSE),0)^(COUNTIFS($B$3:$B190,"Buy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buy",$C$3:$C190,C191))),1),0),0)-IF(AND((E191="OK"),B191="Hire hunter"),IF(C191="Briar",140,IF(C191="Quill",3650,IF(C191="Moss",4850,IF(C191="Ember",12200,0)))),0))</f>
        <v/>
      </c>
      <c r="I191" s="7">
        <f>IF(AND((E191="OK"),B191="Fight boss",(IF((((105/'Rules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Formulas'!B12)),0,MIN(IF(G190&lt;=1,120,IF(G190=2,280,600)),I190+IF(AND((E191="OK"),B191="Hunt"),((IF(B191="Hunt",(('Rules &amp; Formulas'!B4*N190*('Rules &amp; Formulas'!B5+O190)*IFERROR(VLOOKUP(C191,Monsters!$T$4:$AH$15,10,FALSE),0)*IFERROR(VLOOKUP(C191,Monsters!$T$4:$AH$15,9,FALSE),0))*'Rules &amp; Formulas'!B6)*IF(D191="",0,D191),0))*(IFERROR(VLOOKUP(C191,Monsters!$T$4:$AH$15,4,FALSE),0))+(IF(OR(B191&lt;&gt;"Hunt",IFERROR(VLOOKUP(C191,Monsters!$T$4:$AH$15,6,FALSE),0)=0),0,FLOOR((IF(B191="Hunt",(('Rules &amp; Formulas'!B4*N190*('Rules &amp; Formulas'!B5+O190)*IFERROR(VLOOKUP(C191,Monsters!$T$4:$AH$15,10,FALSE),0)*IFERROR(VLOOKUP(C191,Monsters!$T$4:$AH$15,9,FALSE),0))*'Rules &amp; Formulas'!B6)*IF(D191="",0,D191),0))/MAX(1,IFERROR(VLOOKUP(C191,Monsters!$T$4:$AH$15,6,FALSE),0)),1)))*(IFERROR(VLOOKUP(C191,Monsters!$T$4:$AH$15,7,FALSE),0))),0)+IF(AND((E191="OK"),B191="Go AFK"),((IF(B191="Go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AFK",IF(D191="",0,D191),0),Z190/60)*60)),0))*(IFERROR(VLOOKUP(C191,Monsters!$T$4:$AH$15,4,FALSE),0))+(IF(OR(B191&lt;&gt;"Go AFK",IFERROR(VLOOKUP(C191,Monsters!$T$4:$AH$15,6,FALSE),0)=0),0,FLOOR((IF(B191="Go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AFK",IF(D191="",0,D191),0),Z190/60)*60)),0))/MAX(1,IFERROR(VLOOKUP(C191,Monsters!$T$4:$AH$15,6,FALSE),0)),1)))*(IFERROR(VLOOKUP(C191,Monsters!$T$4:$AH$15,7,FALSE),0))),0)))</f>
        <v/>
      </c>
      <c r="J191" s="7">
        <f>MAX(0,J190+IF(AND((E191="OK"),B191="Hunt"),(IF(B191="Hunt",(('Rules &amp; Formulas'!B4*N190*('Rules &amp; Formulas'!B5+O190)*IFERROR(VLOOKUP(C191,Monsters!$T$4:$AH$15,10,FALSE),0)*IFERROR(VLOOKUP(C191,Monsters!$T$4:$AH$15,9,FALSE),0))*'Rules &amp; Formulas'!B6)*IF(D191="",0,D191),0))*(IFERROR(VLOOKUP(C191,Monsters!$T$4:$AH$15,5,FALSE),0)),0)+IF(AND((E191="OK"),B191="Go AFK"),(IF(B191="Go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AFK",IF(D191="",0,D191),0),Z190/60)*60)),0))*(IFERROR(VLOOKUP(C191,Monsters!$T$4:$AH$15,5,FALSE),0)),0)-IF(AND((E191="OK"),OR(B191="Buy upgrade",B191="Forge/Scrapwork buy"),IFERROR(VLOOKUP(C191,Upgrades!$N$4:$T$47,2,FALSE),0)="scraps"),IFERROR(FLOOR(IFERROR(VLOOKUP(C191,Upgrades!$N$4:$T$47,3,FALSE),0)*(IFERROR(VLOOKUP(C191,Upgrades!$N$4:$T$47,4,FALSE),0)^(COUNTIFS($B$3:$B190,"Buy upgrade",$C$3:$C190,C191)+COUNTIFS($B$3:$B190,"Hire hunter",$C$3:$C190,C191)+COUNTIFS($B$3:$B190,"Forge/Scrapwork buy",$C$3:$C190,C191))),1),0),0))</f>
        <v/>
      </c>
      <c r="K191" s="7">
        <f>MAX(0,K190+IF(AND((E191="OK"),B191="Hunt"),IF(C191="Thornpelt Bear",(IF(B191="Hunt",(('Rules &amp; Formulas'!B4*N190*('Rules &amp; Formulas'!B5+O190)*IFERROR(VLOOKUP(C191,Monsters!$T$4:$AH$15,10,FALSE),0)*IFERROR(VLOOKUP(C191,Monsters!$T$4:$AH$15,9,FALSE),0))*'Rules &amp; Formulas'!B6)*IF(D191="",0,D191),0))*0.12,0),0)+IF(AND((E191="OK"),B191="Go AFK"),IF(C191="Thornpelt Bear",(IF(B191="Go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AFK",IF(D191="",0,D191),0),Z190/60)*60)),0))*0.12,0),0))</f>
        <v/>
      </c>
      <c r="L191" s="7">
        <f>MAX(0,L190+IF(AND((E191="OK"),B191="Hunt"),IF(C191="Dire Thornpelt",(IF(B191="Hunt",(('Rules &amp; Formulas'!B4*N190*('Rules &amp; Formulas'!B5+O190)*IFERROR(VLOOKUP(C191,Monsters!$T$4:$AH$15,10,FALSE),0)*IFERROR(VLOOKUP(C191,Monsters!$T$4:$AH$15,9,FALSE),0))*'Rules &amp; Formulas'!B6)*IF(D191="",0,D191),0))*0.1,0),0)+IF(AND((E191="OK"),B191="Go AFK"),IF(C191="Dire Thornpelt",(IF(B191="Go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AFK",IF(D191="",0,D191),0),Z190/60)*60)),0))*0.1,0),0))</f>
        <v/>
      </c>
      <c r="M191" s="7">
        <f>IF(AND((E191="OK"),B191="Go AFK"),MAX(0,MIN(('Rules &amp; Formulas'!B15+25*AJ190),M190+('Rules &amp; Formulas'!B14+0.4*AJ190)*(MIN(IF(B191="Go AFK",IF(D191="",0,D191),0),Z190/60)*60))-(IF(B191="Go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AFK",IF(D191="",0,D191),0),Z190/60)*60)),0))*(IF((IFERROR(VLOOKUP(C191,Monsters!$T$4:$AH$15,8,FALSE),0))=0,0.35,IFERROR(VLOOKUP(C191,Monsters!$T$4:$AH$15,8,FALSE),0))/(1+0.08*AK190))),MIN(('Rules &amp; Formulas'!B15+25*AJ191),M190))</f>
        <v/>
      </c>
      <c r="N191" s="7">
        <f>(1+0.08+0.12*AA191+0.12*AB191+0.16*AC191)</f>
        <v/>
      </c>
      <c r="O191" s="7">
        <f>((AD191&gt;=1)*1*(1+0.3*AE191))</f>
        <v/>
      </c>
      <c r="P191" s="7">
        <f>IF(OR(B191="Hunt",B191="Go AFK"),(('Rules &amp; Formulas'!B4*N190*('Rules &amp; Formulas'!B5+O190)*IFERROR(VLOOKUP(C191,Monsters!$T$4:$AH$15,10,FALSE),0)*IFERROR(VLOOKUP(C191,Monsters!$T$4:$AH$15,9,FALSE),0))*'Rules &amp; Formulas'!B6),"")</f>
        <v/>
      </c>
      <c r="Q191" s="7">
        <f>IF(OR(B191="Hunt",B191="Go AFK"),('Rules &amp; Formulas'!B4*N190*('Rules &amp; Formulas'!B5+O190)*IFERROR(VLOOKUP(C191,Monsters!$T$4:$AH$15,10,FALSE),0)*IFERROR(VLOOKUP(C191,Monsters!$T$4:$AH$15,9,FALSE),0)),"")</f>
        <v/>
      </c>
      <c r="R191" s="7">
        <f>IF(AND((E191="OK"),B191="Hunt"),IF(B191="Hunt",(('Rules &amp; Formulas'!B4*N190*('Rules &amp; Formulas'!B5+O190)*IFERROR(VLOOKUP(C191,Monsters!$T$4:$AH$15,10,FALSE),0)*IFERROR(VLOOKUP(C191,Monsters!$T$4:$AH$15,9,FALSE),0))*'Rules &amp; Formulas'!B6)*IF(D191="",0,D191),0),IF(AND((E191="OK"),B191="Go AFK"),IF(B191="Go AFK",MIN(IF((IF((IFERROR(VLOOKUP(C191,Monsters!$T$4:$AH$15,8,FALSE),0))=0,0.35,IFERROR(VLOOKUP(C191,Monsters!$T$4:$AH$15,8,FALSE),0))/(1+0.08*AK190))&lt;=0,999999,FLOOR(MIN(('Rules &amp; Formulas'!B15+25*AJ190),M190+('Rules &amp; Formulas'!B14+0.4*AJ190)*(MIN(IF(B191="Go AFK",IF(D191="",0,D191),0),Z190/60)*60))/(IF((IFERROR(VLOOKUP(C191,Monsters!$T$4:$AH$15,8,FALSE),0))=0,0.35,IFERROR(VLOOKUP(C191,Monsters!$T$4:$AH$15,8,FALSE),0))/(1+0.08*AK190)),1)),('Rules &amp; Formulas'!B4*N190*('Rules &amp; Formulas'!B5+O190)*IFERROR(VLOOKUP(C191,Monsters!$T$4:$AH$15,10,FALSE),0)*IFERROR(VLOOKUP(C191,Monsters!$T$4:$AH$15,9,FALSE),0))*(MIN(IF(B191="Go AFK",IF(D191="",0,D191),0),Z190/60)*60)),0),0))</f>
        <v/>
      </c>
      <c r="S191" s="7">
        <f>(105/'Rules &amp; Formulas'!B10)*'Rules &amp; Formulas'!B11</f>
        <v/>
      </c>
      <c r="T191" s="7">
        <f>IF(AD190&gt;=1,(MAX(1,ROUND('Rules &amp; Formulas'!B18*(1+0.3*AE190)*(1+0.4*AF190),0)))*(1000/'Rules &amp; Formulas'!B19)*MIN(0.95,'Rules &amp; Formulas'!B20*SQRT(1+0.55*(AG190&gt;=1))),0)</f>
        <v/>
      </c>
      <c r="U191" s="7">
        <f>S191+T191</f>
        <v/>
      </c>
      <c r="V191" s="7">
        <f>IF(I190&gt;=IF((IFERROR(VLOOKUP(C191,Monsters!$T$4:$AH$15,15,FALSE),0))=0,120,IFERROR(VLOOKUP(C191,Monsters!$T$4:$AH$15,15,FALSE),0)),"YES","no")</f>
        <v/>
      </c>
      <c r="W191" s="7">
        <f>IF(AND(B191="Fight boss",E191="OK"),IF((((105/'Rules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Formulas'!B20*SQRT(1+0.55*(AG190&gt;=1))),0)))),"")</f>
        <v/>
      </c>
      <c r="X191" s="7">
        <f>IF(AND(B191="Fight boss",E191="OK"),IF((IF((((105/'Rules &amp; Formulas'!B10)*'Rules &amp; Formulas'!B11+IF(AD190&gt;=1,(MAX(1,ROUND('Rules &amp; Formulas'!B18*(1+0.3*AE190)*(1+0.4*AF190),0)))*(1000/'Rules &amp; Formulas'!B19)*MIN(0.95,'Rules &amp; Formulas'!B20*SQRT(1+0.55*(AG190&gt;=1))),0)))&lt;=0,9999,(IFERROR(VLOOKUP(C191,Monsters!$T$4:$AH$15,2,FALSE),0))/(((105/'Rules &amp; Formulas'!B10)*'Rules &amp; Formulas'!B11+IF(AD190&gt;=1,(MAX(1,ROUND('Rules &amp; Formulas'!B18*(1+0.3*AE190)*(1+0.4*AF190),0)))*(1000/'Rules &amp; Formulas'!B19)*MIN(0.95,'Rules &amp; Formulas'!B20*SQRT(1+0.55*(AG190&gt;=1))),0))))&lt;='Rules &amp; Formulas'!B12),"WIN","LOSE"),"")</f>
        <v/>
      </c>
      <c r="Y191" s="7">
        <f>IF(B191="Go AFK",MIN(IF(B191="Go AFK",IF(D191="",0,D191),0),Z190/60),"")</f>
        <v/>
      </c>
      <c r="Z191" s="7">
        <f>('Rules &amp; Formulas'!B13+30*AI191)</f>
        <v/>
      </c>
      <c r="AA191">
        <f>COUNTIFS($B$3:$B191,"Buy upgrade",$C$3:$C191,"Idle Power")</f>
        <v/>
      </c>
      <c r="AB191">
        <f>COUNTIFS($B$3:$B191,"Buy upgrade",$C$3:$C191,"Iron Blade")</f>
        <v/>
      </c>
      <c r="AC191">
        <f>COUNTIFS($B$3:$B191,"Buy upgrade",$C$3:$C191,"Steel Blade")</f>
        <v/>
      </c>
      <c r="AD191">
        <f>COUNTIFS($B$3:$B191,"Hire hunter",$C$3:$C191,"Briar")+COUNTIFS($B$3:$B191,"Buy upgrade",$C$3:$C191,"Hire Briar")</f>
        <v/>
      </c>
      <c r="AE191">
        <f>COUNTIFS($B$3:$B191,"Buy upgrade",$C$3:$C191,"Hunter Power")</f>
        <v/>
      </c>
      <c r="AF191">
        <f>COUNTIFS($B$3:$B191,"Buy upgrade",$C$3:$C191,"Bigger Hits")</f>
        <v/>
      </c>
      <c r="AG191">
        <f>COUNTIFS($B$3:$B191,"Buy upgrade",$C$3:$C191,"Swift Walk")</f>
        <v/>
      </c>
      <c r="AH191">
        <f>COUNTIFS($B$3:$B191,"Buy upgrade",$C$3:$C191,"Loot Luck")</f>
        <v/>
      </c>
      <c r="AI191">
        <f>COUNTIFS($B$3:$B191,"Buy upgrade",$C$3:$C191,"Offline Cap")</f>
        <v/>
      </c>
      <c r="AJ191">
        <f>COUNTIFS($B$3:$B191,"Buy upgrade",$C$3:$C191,"Bigger Food Stock")</f>
        <v/>
      </c>
      <c r="AK191">
        <f>COUNTIFS($B$3:$B191,"Buy upgrade",$C$3:$C191,"Food Efficiency")</f>
        <v/>
      </c>
    </row>
    <row r="192">
      <c r="A192" t="n">
        <v>190</v>
      </c>
      <c r="B192" s="6" t="n"/>
      <c r="C192" s="6" t="n"/>
      <c r="D192" s="6" t="n"/>
      <c r="E192" s="7">
        <f>IF(B192="","",IF(OR(B192="Hunt",B192="Go AFK"),IF(C192="","Can't","OK"),IF(B192="Fight boss",IF(I191&lt;IF((IFERROR(VLOOKUP(C192,Monsters!$T$4:$AH$15,15,FALSE),0))=0,120,IFERROR(VLOOKUP(C192,Monsters!$T$4:$AH$15,15,FALSE),0)),"Can't","OK"),IF(B192="Hire hunter",IF(AND(C192="Briar",AD191&gt;=1),"Can't",IF(H191&lt;IF(C192="Briar",140,IF(C192="Quill",3650,IF(C192="Moss",4850,IF(C192="Ember",12200,0)))),"Can't","OK")),IF(OR(B192="Buy upgrade",B192="Forge/Scrapwork buy"),IF(IFERROR(VLOOKUP(C192,Upgrades!$N$4:$T$47,2,FALSE),0)="points","Can't",IF(IFERROR(VLOOKUP(C192,Upgrades!$N$4:$T$47,2,FALSE),0)="gold",IF(H191&lt;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buy",$C$3:$C191,C192))),1),0),"Can't","OK"),IF(IFERROR(VLOOKUP(C192,Upgrades!$N$4:$T$47,2,FALSE),0)="scraps",IF(J191&lt;IFERROR(FLOOR(IFERROR(VLOOKUP(C192,Upgrades!$N$4:$T$47,3,FALSE),0)*(IFERROR(VLOOKUP(C192,Upgrades!$N$4:$T$47,4,FALSE),0)^(COUNTIFS($B$3:$B191,"Buy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buy",$C$3:$C191,C192))),1),0),"Can't","OK"),IF(IFERROR(VLOOKUP(C192,Upgrades!$N$4:$T$47,2,FALSE),0)="mats","Can't","OK")))),"Check")))))</f>
        <v/>
      </c>
      <c r="F192" s="7">
        <f>IF(B192="","",IF(AND(B192="Fight boss",I191&lt;IF((IFERROR(VLOOKUP(C192,Monsters!$T$4:$AH$15,15,FALSE),0))=0,120,IFERROR(VLOOKUP(C192,Monsters!$T$4:$AH$15,15,FALSE),0))),"Can't — need "&amp;TEXT(IF((IFERROR(VLOOKUP(C192,Monsters!$T$4:$AH$15,15,FALSE),0))=0,120,IFERROR(VLOOKUP(C192,Monsters!$T$4:$AH$15,15,FALSE),0))-I191,"0.0")&amp;" more Slayer points on the meter",IF(AND(B192="Hire hunter",C192="Briar",AD191&gt;=1),"Can't — already hired",IF(AND(B192="Hire hunter",H191&lt;IF(C192="Briar",140,IF(C192="Quill",3650,IF(C192="Moss",4850,IF(C192="Ember",12200,0))))),"Can't — need "&amp;TEXT(IF(C192="Briar",140,IF(C192="Quill",3650,IF(C192="Moss",4850,IF(C192="Ember",12200,0))))-H191,"0")&amp;" more gold",IF(AND(OR(B192="Buy upgrade",B192="Forge/Scrapwork buy"),IFERROR(VLOOKUP(C192,Upgrades!$N$4:$T$47,2,FALSE),0)="points"),"Can't — Sp-wallet spends not tracked here",IF(AND(OR(B192="Buy upgrade",B192="Forge/Scrapwork buy"),IFERROR(VLOOKUP(C192,Upgrades!$N$4:$T$47,2,FALSE),0)="gold",H191&lt;IFERROR(FLOOR(IFERROR(VLOOKUP(C192,Upgrades!$N$4:$T$47,3,FALSE),0)*(IFERROR(VLOOKUP(C192,Upgrades!$N$4:$T$47,4,FALSE),0)^(COUNTIFS($B$3:$B191,"Buy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buy",$C$3:$C191,C192))),1),0)),"Can't — need "&amp;TEXT(IFERROR(FLOOR(IFERROR(VLOOKUP(C192,Upgrades!$N$4:$T$47,3,FALSE),0)*(IFERROR(VLOOKUP(C192,Upgrades!$N$4:$T$47,4,FALSE),0)^(COUNTIFS($B$3:$B191,"Buy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buy",$C$3:$C191,C192))),1),0)-H191,"0")&amp;" more gold",IF(AND(OR(B192="Buy upgrade",B192="Forge/Scrapwork buy"),IFERROR(VLOOKUP(C192,Upgrades!$N$4:$T$47,2,FALSE),0)="scraps",J191&lt;IFERROR(FLOOR(IFERROR(VLOOKUP(C192,Upgrades!$N$4:$T$47,3,FALSE),0)*(IFERROR(VLOOKUP(C192,Upgrades!$N$4:$T$47,4,FALSE),0)^(COUNTIFS($B$3:$B191,"Buy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buy",$C$3:$C191,C192))),1),0)),"Can't — need "&amp;TEXT(IFERROR(FLOOR(IFERROR(VLOOKUP(C192,Upgrades!$N$4:$T$47,3,FALSE),0)*(IFERROR(VLOOKUP(C192,Upgrades!$N$4:$T$47,4,FALSE),0)^(COUNTIFS($B$3:$B191,"Buy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buy",$C$3:$C191,C192))),1),0)-J191,"0")&amp;" more scraps",IF(AND(B192="Fight boss",E192="OK",(IF((((105/'Rules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Formulas'!B12)),"WIN — boss down, next Level unlocks",IF(AND(B192="Fight boss",E192="OK"),"LOSE — TTK "&amp;TEXT(IF((((105/'Rules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Formulas'!B20*SQRT(1+0.55*(AG191&gt;=1))),0)))),"0")&amp;"s &gt; patience "&amp;TEXT('Rules &amp; Formulas'!B12,"0")&amp;"s (leave resets HP)",IF(B192="Go AFK","AFK resolved (see AFK counted h)","Applied")))))))))</f>
        <v/>
      </c>
      <c r="G192" s="7">
        <f>IF(AND((E192="OK"),B192="Fight boss",(IF((((105/'Rules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Formulas'!B12),C192="Elder Thornpelt"),2,IF(AND((E192="OK"),B192="Fight boss",(IF((((105/'Rules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Formulas'!B12),C192="Ashfang Alpha"),3,G191))</f>
        <v/>
      </c>
      <c r="H192" s="7">
        <f>MAX(0,H191+IF(AND((E192="OK"),B192="Hunt"),(IF(B192="Hunt",(('Rules &amp; Formulas'!B4*N191*('Rules &amp; Formulas'!B5+O191)*IFERROR(VLOOKUP(C192,Monsters!$T$4:$AH$15,10,FALSE),0)*IFERROR(VLOOKUP(C192,Monsters!$T$4:$AH$15,9,FALSE),0))*'Rules &amp; Formulas'!B6)*IF(D192="",0,D192),0))*(IFERROR(VLOOKUP(C192,Monsters!$T$4:$AH$15,3,FALSE),0))*(1+0.1*AH191)+(IF(OR(B192&lt;&gt;"Hunt",IFERROR(VLOOKUP(C192,Monsters!$T$4:$AH$15,6,FALSE),0)=0),0,FLOOR((IF(B192="Hunt",(('Rules &amp; Formulas'!B4*N191*('Rules &amp; Formulas'!B5+O191)*IFERROR(VLOOKUP(C192,Monsters!$T$4:$AH$15,10,FALSE),0)*IFERROR(VLOOKUP(C192,Monsters!$T$4:$AH$15,9,FALSE),0))*'Rules &amp; Formulas'!B6)*IF(D192="",0,D192),0))/MAX(1,IFERROR(VLOOKUP(C192,Monsters!$T$4:$AH$15,6,FALSE),0)),1)))*(IFERROR(VLOOKUP(C192,Monsters!$T$4:$AH$15,7,FALSE),0))*0.5*(1+0.1*AH191),0)+IF(AND((E192="OK"),B192="Go AFK"),(IF(B192="Go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AFK",IF(D192="",0,D192),0),Z191/60)*60)),0))*(IFERROR(VLOOKUP(C192,Monsters!$T$4:$AH$15,3,FALSE),0))*(1+0.1*AH191)+(IF(OR(B192&lt;&gt;"Go AFK",IFERROR(VLOOKUP(C192,Monsters!$T$4:$AH$15,6,FALSE),0)=0),0,FLOOR((IF(B192="Go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AFK",IF(D192="",0,D192),0),Z191/60)*60)),0))/MAX(1,IFERROR(VLOOKUP(C192,Monsters!$T$4:$AH$15,6,FALSE),0)),1)))*(IFERROR(VLOOKUP(C192,Monsters!$T$4:$AH$15,7,FALSE),0))*0.5*(1+0.1*AH191),0)+IF(AND((E192="OK"),B192="Fight boss",(IF((((105/'Rules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Formulas'!B12)),IFERROR(VLOOKUP(C192,Monsters!$T$4:$AH$15,3,FALSE),0),0)-IF(AND((E192="OK"),OR(B192="Buy upgrade",B192="Forge/Scrapwork buy"),IFERROR(VLOOKUP(C192,Upgrades!$N$4:$T$47,2,FALSE),0)="gold"),IFERROR(FLOOR(IFERROR(VLOOKUP(C192,Upgrades!$N$4:$T$47,3,FALSE),0)*(IFERROR(VLOOKUP(C192,Upgrades!$N$4:$T$47,4,FALSE),0)^(COUNTIFS($B$3:$B191,"Buy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buy",$C$3:$C191,C192))),1),0),0)-IF(AND((E192="OK"),B192="Hire hunter"),IF(C192="Briar",140,IF(C192="Quill",3650,IF(C192="Moss",4850,IF(C192="Ember",12200,0)))),0))</f>
        <v/>
      </c>
      <c r="I192" s="7">
        <f>IF(AND((E192="OK"),B192="Fight boss",(IF((((105/'Rules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Formulas'!B12)),0,MIN(IF(G191&lt;=1,120,IF(G191=2,280,600)),I191+IF(AND((E192="OK"),B192="Hunt"),((IF(B192="Hunt",(('Rules &amp; Formulas'!B4*N191*('Rules &amp; Formulas'!B5+O191)*IFERROR(VLOOKUP(C192,Monsters!$T$4:$AH$15,10,FALSE),0)*IFERROR(VLOOKUP(C192,Monsters!$T$4:$AH$15,9,FALSE),0))*'Rules &amp; Formulas'!B6)*IF(D192="",0,D192),0))*(IFERROR(VLOOKUP(C192,Monsters!$T$4:$AH$15,4,FALSE),0))+(IF(OR(B192&lt;&gt;"Hunt",IFERROR(VLOOKUP(C192,Monsters!$T$4:$AH$15,6,FALSE),0)=0),0,FLOOR((IF(B192="Hunt",(('Rules &amp; Formulas'!B4*N191*('Rules &amp; Formulas'!B5+O191)*IFERROR(VLOOKUP(C192,Monsters!$T$4:$AH$15,10,FALSE),0)*IFERROR(VLOOKUP(C192,Monsters!$T$4:$AH$15,9,FALSE),0))*'Rules &amp; Formulas'!B6)*IF(D192="",0,D192),0))/MAX(1,IFERROR(VLOOKUP(C192,Monsters!$T$4:$AH$15,6,FALSE),0)),1)))*(IFERROR(VLOOKUP(C192,Monsters!$T$4:$AH$15,7,FALSE),0))),0)+IF(AND((E192="OK"),B192="Go AFK"),((IF(B192="Go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AFK",IF(D192="",0,D192),0),Z191/60)*60)),0))*(IFERROR(VLOOKUP(C192,Monsters!$T$4:$AH$15,4,FALSE),0))+(IF(OR(B192&lt;&gt;"Go AFK",IFERROR(VLOOKUP(C192,Monsters!$T$4:$AH$15,6,FALSE),0)=0),0,FLOOR((IF(B192="Go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AFK",IF(D192="",0,D192),0),Z191/60)*60)),0))/MAX(1,IFERROR(VLOOKUP(C192,Monsters!$T$4:$AH$15,6,FALSE),0)),1)))*(IFERROR(VLOOKUP(C192,Monsters!$T$4:$AH$15,7,FALSE),0))),0)))</f>
        <v/>
      </c>
      <c r="J192" s="7">
        <f>MAX(0,J191+IF(AND((E192="OK"),B192="Hunt"),(IF(B192="Hunt",(('Rules &amp; Formulas'!B4*N191*('Rules &amp; Formulas'!B5+O191)*IFERROR(VLOOKUP(C192,Monsters!$T$4:$AH$15,10,FALSE),0)*IFERROR(VLOOKUP(C192,Monsters!$T$4:$AH$15,9,FALSE),0))*'Rules &amp; Formulas'!B6)*IF(D192="",0,D192),0))*(IFERROR(VLOOKUP(C192,Monsters!$T$4:$AH$15,5,FALSE),0)),0)+IF(AND((E192="OK"),B192="Go AFK"),(IF(B192="Go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AFK",IF(D192="",0,D192),0),Z191/60)*60)),0))*(IFERROR(VLOOKUP(C192,Monsters!$T$4:$AH$15,5,FALSE),0)),0)-IF(AND((E192="OK"),OR(B192="Buy upgrade",B192="Forge/Scrapwork buy"),IFERROR(VLOOKUP(C192,Upgrades!$N$4:$T$47,2,FALSE),0)="scraps"),IFERROR(FLOOR(IFERROR(VLOOKUP(C192,Upgrades!$N$4:$T$47,3,FALSE),0)*(IFERROR(VLOOKUP(C192,Upgrades!$N$4:$T$47,4,FALSE),0)^(COUNTIFS($B$3:$B191,"Buy upgrade",$C$3:$C191,C192)+COUNTIFS($B$3:$B191,"Hire hunter",$C$3:$C191,C192)+COUNTIFS($B$3:$B191,"Forge/Scrapwork buy",$C$3:$C191,C192))),1),0),0))</f>
        <v/>
      </c>
      <c r="K192" s="7">
        <f>MAX(0,K191+IF(AND((E192="OK"),B192="Hunt"),IF(C192="Thornpelt Bear",(IF(B192="Hunt",(('Rules &amp; Formulas'!B4*N191*('Rules &amp; Formulas'!B5+O191)*IFERROR(VLOOKUP(C192,Monsters!$T$4:$AH$15,10,FALSE),0)*IFERROR(VLOOKUP(C192,Monsters!$T$4:$AH$15,9,FALSE),0))*'Rules &amp; Formulas'!B6)*IF(D192="",0,D192),0))*0.12,0),0)+IF(AND((E192="OK"),B192="Go AFK"),IF(C192="Thornpelt Bear",(IF(B192="Go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AFK",IF(D192="",0,D192),0),Z191/60)*60)),0))*0.12,0),0))</f>
        <v/>
      </c>
      <c r="L192" s="7">
        <f>MAX(0,L191+IF(AND((E192="OK"),B192="Hunt"),IF(C192="Dire Thornpelt",(IF(B192="Hunt",(('Rules &amp; Formulas'!B4*N191*('Rules &amp; Formulas'!B5+O191)*IFERROR(VLOOKUP(C192,Monsters!$T$4:$AH$15,10,FALSE),0)*IFERROR(VLOOKUP(C192,Monsters!$T$4:$AH$15,9,FALSE),0))*'Rules &amp; Formulas'!B6)*IF(D192="",0,D192),0))*0.1,0),0)+IF(AND((E192="OK"),B192="Go AFK"),IF(C192="Dire Thornpelt",(IF(B192="Go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AFK",IF(D192="",0,D192),0),Z191/60)*60)),0))*0.1,0),0))</f>
        <v/>
      </c>
      <c r="M192" s="7">
        <f>IF(AND((E192="OK"),B192="Go AFK"),MAX(0,MIN(('Rules &amp; Formulas'!B15+25*AJ191),M191+('Rules &amp; Formulas'!B14+0.4*AJ191)*(MIN(IF(B192="Go AFK",IF(D192="",0,D192),0),Z191/60)*60))-(IF(B192="Go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AFK",IF(D192="",0,D192),0),Z191/60)*60)),0))*(IF((IFERROR(VLOOKUP(C192,Monsters!$T$4:$AH$15,8,FALSE),0))=0,0.35,IFERROR(VLOOKUP(C192,Monsters!$T$4:$AH$15,8,FALSE),0))/(1+0.08*AK191))),MIN(('Rules &amp; Formulas'!B15+25*AJ192),M191))</f>
        <v/>
      </c>
      <c r="N192" s="7">
        <f>(1+0.08+0.12*AA192+0.12*AB192+0.16*AC192)</f>
        <v/>
      </c>
      <c r="O192" s="7">
        <f>((AD192&gt;=1)*1*(1+0.3*AE192))</f>
        <v/>
      </c>
      <c r="P192" s="7">
        <f>IF(OR(B192="Hunt",B192="Go AFK"),(('Rules &amp; Formulas'!B4*N191*('Rules &amp; Formulas'!B5+O191)*IFERROR(VLOOKUP(C192,Monsters!$T$4:$AH$15,10,FALSE),0)*IFERROR(VLOOKUP(C192,Monsters!$T$4:$AH$15,9,FALSE),0))*'Rules &amp; Formulas'!B6),"")</f>
        <v/>
      </c>
      <c r="Q192" s="7">
        <f>IF(OR(B192="Hunt",B192="Go AFK"),('Rules &amp; Formulas'!B4*N191*('Rules &amp; Formulas'!B5+O191)*IFERROR(VLOOKUP(C192,Monsters!$T$4:$AH$15,10,FALSE),0)*IFERROR(VLOOKUP(C192,Monsters!$T$4:$AH$15,9,FALSE),0)),"")</f>
        <v/>
      </c>
      <c r="R192" s="7">
        <f>IF(AND((E192="OK"),B192="Hunt"),IF(B192="Hunt",(('Rules &amp; Formulas'!B4*N191*('Rules &amp; Formulas'!B5+O191)*IFERROR(VLOOKUP(C192,Monsters!$T$4:$AH$15,10,FALSE),0)*IFERROR(VLOOKUP(C192,Monsters!$T$4:$AH$15,9,FALSE),0))*'Rules &amp; Formulas'!B6)*IF(D192="",0,D192),0),IF(AND((E192="OK"),B192="Go AFK"),IF(B192="Go AFK",MIN(IF((IF((IFERROR(VLOOKUP(C192,Monsters!$T$4:$AH$15,8,FALSE),0))=0,0.35,IFERROR(VLOOKUP(C192,Monsters!$T$4:$AH$15,8,FALSE),0))/(1+0.08*AK191))&lt;=0,999999,FLOOR(MIN(('Rules &amp; Formulas'!B15+25*AJ191),M191+('Rules &amp; Formulas'!B14+0.4*AJ191)*(MIN(IF(B192="Go AFK",IF(D192="",0,D192),0),Z191/60)*60))/(IF((IFERROR(VLOOKUP(C192,Monsters!$T$4:$AH$15,8,FALSE),0))=0,0.35,IFERROR(VLOOKUP(C192,Monsters!$T$4:$AH$15,8,FALSE),0))/(1+0.08*AK191)),1)),('Rules &amp; Formulas'!B4*N191*('Rules &amp; Formulas'!B5+O191)*IFERROR(VLOOKUP(C192,Monsters!$T$4:$AH$15,10,FALSE),0)*IFERROR(VLOOKUP(C192,Monsters!$T$4:$AH$15,9,FALSE),0))*(MIN(IF(B192="Go AFK",IF(D192="",0,D192),0),Z191/60)*60)),0),0))</f>
        <v/>
      </c>
      <c r="S192" s="7">
        <f>(105/'Rules &amp; Formulas'!B10)*'Rules &amp; Formulas'!B11</f>
        <v/>
      </c>
      <c r="T192" s="7">
        <f>IF(AD191&gt;=1,(MAX(1,ROUND('Rules &amp; Formulas'!B18*(1+0.3*AE191)*(1+0.4*AF191),0)))*(1000/'Rules &amp; Formulas'!B19)*MIN(0.95,'Rules &amp; Formulas'!B20*SQRT(1+0.55*(AG191&gt;=1))),0)</f>
        <v/>
      </c>
      <c r="U192" s="7">
        <f>S192+T192</f>
        <v/>
      </c>
      <c r="V192" s="7">
        <f>IF(I191&gt;=IF((IFERROR(VLOOKUP(C192,Monsters!$T$4:$AH$15,15,FALSE),0))=0,120,IFERROR(VLOOKUP(C192,Monsters!$T$4:$AH$15,15,FALSE),0)),"YES","no")</f>
        <v/>
      </c>
      <c r="W192" s="7">
        <f>IF(AND(B192="Fight boss",E192="OK"),IF((((105/'Rules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Formulas'!B20*SQRT(1+0.55*(AG191&gt;=1))),0)))),"")</f>
        <v/>
      </c>
      <c r="X192" s="7">
        <f>IF(AND(B192="Fight boss",E192="OK"),IF((IF((((105/'Rules &amp; Formulas'!B10)*'Rules &amp; Formulas'!B11+IF(AD191&gt;=1,(MAX(1,ROUND('Rules &amp; Formulas'!B18*(1+0.3*AE191)*(1+0.4*AF191),0)))*(1000/'Rules &amp; Formulas'!B19)*MIN(0.95,'Rules &amp; Formulas'!B20*SQRT(1+0.55*(AG191&gt;=1))),0)))&lt;=0,9999,(IFERROR(VLOOKUP(C192,Monsters!$T$4:$AH$15,2,FALSE),0))/(((105/'Rules &amp; Formulas'!B10)*'Rules &amp; Formulas'!B11+IF(AD191&gt;=1,(MAX(1,ROUND('Rules &amp; Formulas'!B18*(1+0.3*AE191)*(1+0.4*AF191),0)))*(1000/'Rules &amp; Formulas'!B19)*MIN(0.95,'Rules &amp; Formulas'!B20*SQRT(1+0.55*(AG191&gt;=1))),0))))&lt;='Rules &amp; Formulas'!B12),"WIN","LOSE"),"")</f>
        <v/>
      </c>
      <c r="Y192" s="7">
        <f>IF(B192="Go AFK",MIN(IF(B192="Go AFK",IF(D192="",0,D192),0),Z191/60),"")</f>
        <v/>
      </c>
      <c r="Z192" s="7">
        <f>('Rules &amp; Formulas'!B13+30*AI192)</f>
        <v/>
      </c>
      <c r="AA192">
        <f>COUNTIFS($B$3:$B192,"Buy upgrade",$C$3:$C192,"Idle Power")</f>
        <v/>
      </c>
      <c r="AB192">
        <f>COUNTIFS($B$3:$B192,"Buy upgrade",$C$3:$C192,"Iron Blade")</f>
        <v/>
      </c>
      <c r="AC192">
        <f>COUNTIFS($B$3:$B192,"Buy upgrade",$C$3:$C192,"Steel Blade")</f>
        <v/>
      </c>
      <c r="AD192">
        <f>COUNTIFS($B$3:$B192,"Hire hunter",$C$3:$C192,"Briar")+COUNTIFS($B$3:$B192,"Buy upgrade",$C$3:$C192,"Hire Briar")</f>
        <v/>
      </c>
      <c r="AE192">
        <f>COUNTIFS($B$3:$B192,"Buy upgrade",$C$3:$C192,"Hunter Power")</f>
        <v/>
      </c>
      <c r="AF192">
        <f>COUNTIFS($B$3:$B192,"Buy upgrade",$C$3:$C192,"Bigger Hits")</f>
        <v/>
      </c>
      <c r="AG192">
        <f>COUNTIFS($B$3:$B192,"Buy upgrade",$C$3:$C192,"Swift Walk")</f>
        <v/>
      </c>
      <c r="AH192">
        <f>COUNTIFS($B$3:$B192,"Buy upgrade",$C$3:$C192,"Loot Luck")</f>
        <v/>
      </c>
      <c r="AI192">
        <f>COUNTIFS($B$3:$B192,"Buy upgrade",$C$3:$C192,"Offline Cap")</f>
        <v/>
      </c>
      <c r="AJ192">
        <f>COUNTIFS($B$3:$B192,"Buy upgrade",$C$3:$C192,"Bigger Food Stock")</f>
        <v/>
      </c>
      <c r="AK192">
        <f>COUNTIFS($B$3:$B192,"Buy upgrade",$C$3:$C192,"Food Efficiency")</f>
        <v/>
      </c>
    </row>
    <row r="193">
      <c r="A193" t="n">
        <v>191</v>
      </c>
      <c r="B193" s="6" t="n"/>
      <c r="C193" s="6" t="n"/>
      <c r="D193" s="6" t="n"/>
      <c r="E193" s="7">
        <f>IF(B193="","",IF(OR(B193="Hunt",B193="Go AFK"),IF(C193="","Can't","OK"),IF(B193="Fight boss",IF(I192&lt;IF((IFERROR(VLOOKUP(C193,Monsters!$T$4:$AH$15,15,FALSE),0))=0,120,IFERROR(VLOOKUP(C193,Monsters!$T$4:$AH$15,15,FALSE),0)),"Can't","OK"),IF(B193="Hire hunter",IF(AND(C193="Briar",AD192&gt;=1),"Can't",IF(H192&lt;IF(C193="Briar",140,IF(C193="Quill",3650,IF(C193="Moss",4850,IF(C193="Ember",12200,0)))),"Can't","OK")),IF(OR(B193="Buy upgrade",B193="Forge/Scrapwork buy"),IF(IFERROR(VLOOKUP(C193,Upgrades!$N$4:$T$47,2,FALSE),0)="points","Can't",IF(IFERROR(VLOOKUP(C193,Upgrades!$N$4:$T$47,2,FALSE),0)="gold",IF(H192&lt;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buy",$C$3:$C192,C193))),1),0),"Can't","OK"),IF(IFERROR(VLOOKUP(C193,Upgrades!$N$4:$T$47,2,FALSE),0)="scraps",IF(J192&lt;IFERROR(FLOOR(IFERROR(VLOOKUP(C193,Upgrades!$N$4:$T$47,3,FALSE),0)*(IFERROR(VLOOKUP(C193,Upgrades!$N$4:$T$47,4,FALSE),0)^(COUNTIFS($B$3:$B192,"Buy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buy",$C$3:$C192,C193))),1),0),"Can't","OK"),IF(IFERROR(VLOOKUP(C193,Upgrades!$N$4:$T$47,2,FALSE),0)="mats","Can't","OK")))),"Check")))))</f>
        <v/>
      </c>
      <c r="F193" s="7">
        <f>IF(B193="","",IF(AND(B193="Fight boss",I192&lt;IF((IFERROR(VLOOKUP(C193,Monsters!$T$4:$AH$15,15,FALSE),0))=0,120,IFERROR(VLOOKUP(C193,Monsters!$T$4:$AH$15,15,FALSE),0))),"Can't — need "&amp;TEXT(IF((IFERROR(VLOOKUP(C193,Monsters!$T$4:$AH$15,15,FALSE),0))=0,120,IFERROR(VLOOKUP(C193,Monsters!$T$4:$AH$15,15,FALSE),0))-I192,"0.0")&amp;" more Slayer points on the meter",IF(AND(B193="Hire hunter",C193="Briar",AD192&gt;=1),"Can't — already hired",IF(AND(B193="Hire hunter",H192&lt;IF(C193="Briar",140,IF(C193="Quill",3650,IF(C193="Moss",4850,IF(C193="Ember",12200,0))))),"Can't — need "&amp;TEXT(IF(C193="Briar",140,IF(C193="Quill",3650,IF(C193="Moss",4850,IF(C193="Ember",12200,0))))-H192,"0")&amp;" more gold",IF(AND(OR(B193="Buy upgrade",B193="Forge/Scrapwork buy"),IFERROR(VLOOKUP(C193,Upgrades!$N$4:$T$47,2,FALSE),0)="points"),"Can't — Sp-wallet spends not tracked here",IF(AND(OR(B193="Buy upgrade",B193="Forge/Scrapwork buy"),IFERROR(VLOOKUP(C193,Upgrades!$N$4:$T$47,2,FALSE),0)="gold",H192&lt;IFERROR(FLOOR(IFERROR(VLOOKUP(C193,Upgrades!$N$4:$T$47,3,FALSE),0)*(IFERROR(VLOOKUP(C193,Upgrades!$N$4:$T$47,4,FALSE),0)^(COUNTIFS($B$3:$B192,"Buy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buy",$C$3:$C192,C193))),1),0)),"Can't — need "&amp;TEXT(IFERROR(FLOOR(IFERROR(VLOOKUP(C193,Upgrades!$N$4:$T$47,3,FALSE),0)*(IFERROR(VLOOKUP(C193,Upgrades!$N$4:$T$47,4,FALSE),0)^(COUNTIFS($B$3:$B192,"Buy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buy",$C$3:$C192,C193))),1),0)-H192,"0")&amp;" more gold",IF(AND(OR(B193="Buy upgrade",B193="Forge/Scrapwork buy"),IFERROR(VLOOKUP(C193,Upgrades!$N$4:$T$47,2,FALSE),0)="scraps",J192&lt;IFERROR(FLOOR(IFERROR(VLOOKUP(C193,Upgrades!$N$4:$T$47,3,FALSE),0)*(IFERROR(VLOOKUP(C193,Upgrades!$N$4:$T$47,4,FALSE),0)^(COUNTIFS($B$3:$B192,"Buy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buy",$C$3:$C192,C193))),1),0)),"Can't — need "&amp;TEXT(IFERROR(FLOOR(IFERROR(VLOOKUP(C193,Upgrades!$N$4:$T$47,3,FALSE),0)*(IFERROR(VLOOKUP(C193,Upgrades!$N$4:$T$47,4,FALSE),0)^(COUNTIFS($B$3:$B192,"Buy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buy",$C$3:$C192,C193))),1),0)-J192,"0")&amp;" more scraps",IF(AND(B193="Fight boss",E193="OK",(IF((((105/'Rules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Formulas'!B12)),"WIN — boss down, next Level unlocks",IF(AND(B193="Fight boss",E193="OK"),"LOSE — TTK "&amp;TEXT(IF((((105/'Rules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Formulas'!B20*SQRT(1+0.55*(AG192&gt;=1))),0)))),"0")&amp;"s &gt; patience "&amp;TEXT('Rules &amp; Formulas'!B12,"0")&amp;"s (leave resets HP)",IF(B193="Go AFK","AFK resolved (see AFK counted h)","Applied")))))))))</f>
        <v/>
      </c>
      <c r="G193" s="7">
        <f>IF(AND((E193="OK"),B193="Fight boss",(IF((((105/'Rules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Formulas'!B12),C193="Elder Thornpelt"),2,IF(AND((E193="OK"),B193="Fight boss",(IF((((105/'Rules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Formulas'!B12),C193="Ashfang Alpha"),3,G192))</f>
        <v/>
      </c>
      <c r="H193" s="7">
        <f>MAX(0,H192+IF(AND((E193="OK"),B193="Hunt"),(IF(B193="Hunt",(('Rules &amp; Formulas'!B4*N192*('Rules &amp; Formulas'!B5+O192)*IFERROR(VLOOKUP(C193,Monsters!$T$4:$AH$15,10,FALSE),0)*IFERROR(VLOOKUP(C193,Monsters!$T$4:$AH$15,9,FALSE),0))*'Rules &amp; Formulas'!B6)*IF(D193="",0,D193),0))*(IFERROR(VLOOKUP(C193,Monsters!$T$4:$AH$15,3,FALSE),0))*(1+0.1*AH192)+(IF(OR(B193&lt;&gt;"Hunt",IFERROR(VLOOKUP(C193,Monsters!$T$4:$AH$15,6,FALSE),0)=0),0,FLOOR((IF(B193="Hunt",(('Rules &amp; Formulas'!B4*N192*('Rules &amp; Formulas'!B5+O192)*IFERROR(VLOOKUP(C193,Monsters!$T$4:$AH$15,10,FALSE),0)*IFERROR(VLOOKUP(C193,Monsters!$T$4:$AH$15,9,FALSE),0))*'Rules &amp; Formulas'!B6)*IF(D193="",0,D193),0))/MAX(1,IFERROR(VLOOKUP(C193,Monsters!$T$4:$AH$15,6,FALSE),0)),1)))*(IFERROR(VLOOKUP(C193,Monsters!$T$4:$AH$15,7,FALSE),0))*0.5*(1+0.1*AH192),0)+IF(AND((E193="OK"),B193="Go AFK"),(IF(B193="Go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AFK",IF(D193="",0,D193),0),Z192/60)*60)),0))*(IFERROR(VLOOKUP(C193,Monsters!$T$4:$AH$15,3,FALSE),0))*(1+0.1*AH192)+(IF(OR(B193&lt;&gt;"Go AFK",IFERROR(VLOOKUP(C193,Monsters!$T$4:$AH$15,6,FALSE),0)=0),0,FLOOR((IF(B193="Go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AFK",IF(D193="",0,D193),0),Z192/60)*60)),0))/MAX(1,IFERROR(VLOOKUP(C193,Monsters!$T$4:$AH$15,6,FALSE),0)),1)))*(IFERROR(VLOOKUP(C193,Monsters!$T$4:$AH$15,7,FALSE),0))*0.5*(1+0.1*AH192),0)+IF(AND((E193="OK"),B193="Fight boss",(IF((((105/'Rules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Formulas'!B12)),IFERROR(VLOOKUP(C193,Monsters!$T$4:$AH$15,3,FALSE),0),0)-IF(AND((E193="OK"),OR(B193="Buy upgrade",B193="Forge/Scrapwork buy"),IFERROR(VLOOKUP(C193,Upgrades!$N$4:$T$47,2,FALSE),0)="gold"),IFERROR(FLOOR(IFERROR(VLOOKUP(C193,Upgrades!$N$4:$T$47,3,FALSE),0)*(IFERROR(VLOOKUP(C193,Upgrades!$N$4:$T$47,4,FALSE),0)^(COUNTIFS($B$3:$B192,"Buy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buy",$C$3:$C192,C193))),1),0),0)-IF(AND((E193="OK"),B193="Hire hunter"),IF(C193="Briar",140,IF(C193="Quill",3650,IF(C193="Moss",4850,IF(C193="Ember",12200,0)))),0))</f>
        <v/>
      </c>
      <c r="I193" s="7">
        <f>IF(AND((E193="OK"),B193="Fight boss",(IF((((105/'Rules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Formulas'!B12)),0,MIN(IF(G192&lt;=1,120,IF(G192=2,280,600)),I192+IF(AND((E193="OK"),B193="Hunt"),((IF(B193="Hunt",(('Rules &amp; Formulas'!B4*N192*('Rules &amp; Formulas'!B5+O192)*IFERROR(VLOOKUP(C193,Monsters!$T$4:$AH$15,10,FALSE),0)*IFERROR(VLOOKUP(C193,Monsters!$T$4:$AH$15,9,FALSE),0))*'Rules &amp; Formulas'!B6)*IF(D193="",0,D193),0))*(IFERROR(VLOOKUP(C193,Monsters!$T$4:$AH$15,4,FALSE),0))+(IF(OR(B193&lt;&gt;"Hunt",IFERROR(VLOOKUP(C193,Monsters!$T$4:$AH$15,6,FALSE),0)=0),0,FLOOR((IF(B193="Hunt",(('Rules &amp; Formulas'!B4*N192*('Rules &amp; Formulas'!B5+O192)*IFERROR(VLOOKUP(C193,Monsters!$T$4:$AH$15,10,FALSE),0)*IFERROR(VLOOKUP(C193,Monsters!$T$4:$AH$15,9,FALSE),0))*'Rules &amp; Formulas'!B6)*IF(D193="",0,D193),0))/MAX(1,IFERROR(VLOOKUP(C193,Monsters!$T$4:$AH$15,6,FALSE),0)),1)))*(IFERROR(VLOOKUP(C193,Monsters!$T$4:$AH$15,7,FALSE),0))),0)+IF(AND((E193="OK"),B193="Go AFK"),((IF(B193="Go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AFK",IF(D193="",0,D193),0),Z192/60)*60)),0))*(IFERROR(VLOOKUP(C193,Monsters!$T$4:$AH$15,4,FALSE),0))+(IF(OR(B193&lt;&gt;"Go AFK",IFERROR(VLOOKUP(C193,Monsters!$T$4:$AH$15,6,FALSE),0)=0),0,FLOOR((IF(B193="Go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AFK",IF(D193="",0,D193),0),Z192/60)*60)),0))/MAX(1,IFERROR(VLOOKUP(C193,Monsters!$T$4:$AH$15,6,FALSE),0)),1)))*(IFERROR(VLOOKUP(C193,Monsters!$T$4:$AH$15,7,FALSE),0))),0)))</f>
        <v/>
      </c>
      <c r="J193" s="7">
        <f>MAX(0,J192+IF(AND((E193="OK"),B193="Hunt"),(IF(B193="Hunt",(('Rules &amp; Formulas'!B4*N192*('Rules &amp; Formulas'!B5+O192)*IFERROR(VLOOKUP(C193,Monsters!$T$4:$AH$15,10,FALSE),0)*IFERROR(VLOOKUP(C193,Monsters!$T$4:$AH$15,9,FALSE),0))*'Rules &amp; Formulas'!B6)*IF(D193="",0,D193),0))*(IFERROR(VLOOKUP(C193,Monsters!$T$4:$AH$15,5,FALSE),0)),0)+IF(AND((E193="OK"),B193="Go AFK"),(IF(B193="Go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AFK",IF(D193="",0,D193),0),Z192/60)*60)),0))*(IFERROR(VLOOKUP(C193,Monsters!$T$4:$AH$15,5,FALSE),0)),0)-IF(AND((E193="OK"),OR(B193="Buy upgrade",B193="Forge/Scrapwork buy"),IFERROR(VLOOKUP(C193,Upgrades!$N$4:$T$47,2,FALSE),0)="scraps"),IFERROR(FLOOR(IFERROR(VLOOKUP(C193,Upgrades!$N$4:$T$47,3,FALSE),0)*(IFERROR(VLOOKUP(C193,Upgrades!$N$4:$T$47,4,FALSE),0)^(COUNTIFS($B$3:$B192,"Buy upgrade",$C$3:$C192,C193)+COUNTIFS($B$3:$B192,"Hire hunter",$C$3:$C192,C193)+COUNTIFS($B$3:$B192,"Forge/Scrapwork buy",$C$3:$C192,C193))),1),0),0))</f>
        <v/>
      </c>
      <c r="K193" s="7">
        <f>MAX(0,K192+IF(AND((E193="OK"),B193="Hunt"),IF(C193="Thornpelt Bear",(IF(B193="Hunt",(('Rules &amp; Formulas'!B4*N192*('Rules &amp; Formulas'!B5+O192)*IFERROR(VLOOKUP(C193,Monsters!$T$4:$AH$15,10,FALSE),0)*IFERROR(VLOOKUP(C193,Monsters!$T$4:$AH$15,9,FALSE),0))*'Rules &amp; Formulas'!B6)*IF(D193="",0,D193),0))*0.12,0),0)+IF(AND((E193="OK"),B193="Go AFK"),IF(C193="Thornpelt Bear",(IF(B193="Go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AFK",IF(D193="",0,D193),0),Z192/60)*60)),0))*0.12,0),0))</f>
        <v/>
      </c>
      <c r="L193" s="7">
        <f>MAX(0,L192+IF(AND((E193="OK"),B193="Hunt"),IF(C193="Dire Thornpelt",(IF(B193="Hunt",(('Rules &amp; Formulas'!B4*N192*('Rules &amp; Formulas'!B5+O192)*IFERROR(VLOOKUP(C193,Monsters!$T$4:$AH$15,10,FALSE),0)*IFERROR(VLOOKUP(C193,Monsters!$T$4:$AH$15,9,FALSE),0))*'Rules &amp; Formulas'!B6)*IF(D193="",0,D193),0))*0.1,0),0)+IF(AND((E193="OK"),B193="Go AFK"),IF(C193="Dire Thornpelt",(IF(B193="Go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AFK",IF(D193="",0,D193),0),Z192/60)*60)),0))*0.1,0),0))</f>
        <v/>
      </c>
      <c r="M193" s="7">
        <f>IF(AND((E193="OK"),B193="Go AFK"),MAX(0,MIN(('Rules &amp; Formulas'!B15+25*AJ192),M192+('Rules &amp; Formulas'!B14+0.4*AJ192)*(MIN(IF(B193="Go AFK",IF(D193="",0,D193),0),Z192/60)*60))-(IF(B193="Go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AFK",IF(D193="",0,D193),0),Z192/60)*60)),0))*(IF((IFERROR(VLOOKUP(C193,Monsters!$T$4:$AH$15,8,FALSE),0))=0,0.35,IFERROR(VLOOKUP(C193,Monsters!$T$4:$AH$15,8,FALSE),0))/(1+0.08*AK192))),MIN(('Rules &amp; Formulas'!B15+25*AJ193),M192))</f>
        <v/>
      </c>
      <c r="N193" s="7">
        <f>(1+0.08+0.12*AA193+0.12*AB193+0.16*AC193)</f>
        <v/>
      </c>
      <c r="O193" s="7">
        <f>((AD193&gt;=1)*1*(1+0.3*AE193))</f>
        <v/>
      </c>
      <c r="P193" s="7">
        <f>IF(OR(B193="Hunt",B193="Go AFK"),(('Rules &amp; Formulas'!B4*N192*('Rules &amp; Formulas'!B5+O192)*IFERROR(VLOOKUP(C193,Monsters!$T$4:$AH$15,10,FALSE),0)*IFERROR(VLOOKUP(C193,Monsters!$T$4:$AH$15,9,FALSE),0))*'Rules &amp; Formulas'!B6),"")</f>
        <v/>
      </c>
      <c r="Q193" s="7">
        <f>IF(OR(B193="Hunt",B193="Go AFK"),('Rules &amp; Formulas'!B4*N192*('Rules &amp; Formulas'!B5+O192)*IFERROR(VLOOKUP(C193,Monsters!$T$4:$AH$15,10,FALSE),0)*IFERROR(VLOOKUP(C193,Monsters!$T$4:$AH$15,9,FALSE),0)),"")</f>
        <v/>
      </c>
      <c r="R193" s="7">
        <f>IF(AND((E193="OK"),B193="Hunt"),IF(B193="Hunt",(('Rules &amp; Formulas'!B4*N192*('Rules &amp; Formulas'!B5+O192)*IFERROR(VLOOKUP(C193,Monsters!$T$4:$AH$15,10,FALSE),0)*IFERROR(VLOOKUP(C193,Monsters!$T$4:$AH$15,9,FALSE),0))*'Rules &amp; Formulas'!B6)*IF(D193="",0,D193),0),IF(AND((E193="OK"),B193="Go AFK"),IF(B193="Go AFK",MIN(IF((IF((IFERROR(VLOOKUP(C193,Monsters!$T$4:$AH$15,8,FALSE),0))=0,0.35,IFERROR(VLOOKUP(C193,Monsters!$T$4:$AH$15,8,FALSE),0))/(1+0.08*AK192))&lt;=0,999999,FLOOR(MIN(('Rules &amp; Formulas'!B15+25*AJ192),M192+('Rules &amp; Formulas'!B14+0.4*AJ192)*(MIN(IF(B193="Go AFK",IF(D193="",0,D193),0),Z192/60)*60))/(IF((IFERROR(VLOOKUP(C193,Monsters!$T$4:$AH$15,8,FALSE),0))=0,0.35,IFERROR(VLOOKUP(C193,Monsters!$T$4:$AH$15,8,FALSE),0))/(1+0.08*AK192)),1)),('Rules &amp; Formulas'!B4*N192*('Rules &amp; Formulas'!B5+O192)*IFERROR(VLOOKUP(C193,Monsters!$T$4:$AH$15,10,FALSE),0)*IFERROR(VLOOKUP(C193,Monsters!$T$4:$AH$15,9,FALSE),0))*(MIN(IF(B193="Go AFK",IF(D193="",0,D193),0),Z192/60)*60)),0),0))</f>
        <v/>
      </c>
      <c r="S193" s="7">
        <f>(105/'Rules &amp; Formulas'!B10)*'Rules &amp; Formulas'!B11</f>
        <v/>
      </c>
      <c r="T193" s="7">
        <f>IF(AD192&gt;=1,(MAX(1,ROUND('Rules &amp; Formulas'!B18*(1+0.3*AE192)*(1+0.4*AF192),0)))*(1000/'Rules &amp; Formulas'!B19)*MIN(0.95,'Rules &amp; Formulas'!B20*SQRT(1+0.55*(AG192&gt;=1))),0)</f>
        <v/>
      </c>
      <c r="U193" s="7">
        <f>S193+T193</f>
        <v/>
      </c>
      <c r="V193" s="7">
        <f>IF(I192&gt;=IF((IFERROR(VLOOKUP(C193,Monsters!$T$4:$AH$15,15,FALSE),0))=0,120,IFERROR(VLOOKUP(C193,Monsters!$T$4:$AH$15,15,FALSE),0)),"YES","no")</f>
        <v/>
      </c>
      <c r="W193" s="7">
        <f>IF(AND(B193="Fight boss",E193="OK"),IF((((105/'Rules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Formulas'!B20*SQRT(1+0.55*(AG192&gt;=1))),0)))),"")</f>
        <v/>
      </c>
      <c r="X193" s="7">
        <f>IF(AND(B193="Fight boss",E193="OK"),IF((IF((((105/'Rules &amp; Formulas'!B10)*'Rules &amp; Formulas'!B11+IF(AD192&gt;=1,(MAX(1,ROUND('Rules &amp; Formulas'!B18*(1+0.3*AE192)*(1+0.4*AF192),0)))*(1000/'Rules &amp; Formulas'!B19)*MIN(0.95,'Rules &amp; Formulas'!B20*SQRT(1+0.55*(AG192&gt;=1))),0)))&lt;=0,9999,(IFERROR(VLOOKUP(C193,Monsters!$T$4:$AH$15,2,FALSE),0))/(((105/'Rules &amp; Formulas'!B10)*'Rules &amp; Formulas'!B11+IF(AD192&gt;=1,(MAX(1,ROUND('Rules &amp; Formulas'!B18*(1+0.3*AE192)*(1+0.4*AF192),0)))*(1000/'Rules &amp; Formulas'!B19)*MIN(0.95,'Rules &amp; Formulas'!B20*SQRT(1+0.55*(AG192&gt;=1))),0))))&lt;='Rules &amp; Formulas'!B12),"WIN","LOSE"),"")</f>
        <v/>
      </c>
      <c r="Y193" s="7">
        <f>IF(B193="Go AFK",MIN(IF(B193="Go AFK",IF(D193="",0,D193),0),Z192/60),"")</f>
        <v/>
      </c>
      <c r="Z193" s="7">
        <f>('Rules &amp; Formulas'!B13+30*AI193)</f>
        <v/>
      </c>
      <c r="AA193">
        <f>COUNTIFS($B$3:$B193,"Buy upgrade",$C$3:$C193,"Idle Power")</f>
        <v/>
      </c>
      <c r="AB193">
        <f>COUNTIFS($B$3:$B193,"Buy upgrade",$C$3:$C193,"Iron Blade")</f>
        <v/>
      </c>
      <c r="AC193">
        <f>COUNTIFS($B$3:$B193,"Buy upgrade",$C$3:$C193,"Steel Blade")</f>
        <v/>
      </c>
      <c r="AD193">
        <f>COUNTIFS($B$3:$B193,"Hire hunter",$C$3:$C193,"Briar")+COUNTIFS($B$3:$B193,"Buy upgrade",$C$3:$C193,"Hire Briar")</f>
        <v/>
      </c>
      <c r="AE193">
        <f>COUNTIFS($B$3:$B193,"Buy upgrade",$C$3:$C193,"Hunter Power")</f>
        <v/>
      </c>
      <c r="AF193">
        <f>COUNTIFS($B$3:$B193,"Buy upgrade",$C$3:$C193,"Bigger Hits")</f>
        <v/>
      </c>
      <c r="AG193">
        <f>COUNTIFS($B$3:$B193,"Buy upgrade",$C$3:$C193,"Swift Walk")</f>
        <v/>
      </c>
      <c r="AH193">
        <f>COUNTIFS($B$3:$B193,"Buy upgrade",$C$3:$C193,"Loot Luck")</f>
        <v/>
      </c>
      <c r="AI193">
        <f>COUNTIFS($B$3:$B193,"Buy upgrade",$C$3:$C193,"Offline Cap")</f>
        <v/>
      </c>
      <c r="AJ193">
        <f>COUNTIFS($B$3:$B193,"Buy upgrade",$C$3:$C193,"Bigger Food Stock")</f>
        <v/>
      </c>
      <c r="AK193">
        <f>COUNTIFS($B$3:$B193,"Buy upgrade",$C$3:$C193,"Food Efficiency")</f>
        <v/>
      </c>
    </row>
    <row r="194">
      <c r="A194" t="n">
        <v>192</v>
      </c>
      <c r="B194" s="6" t="n"/>
      <c r="C194" s="6" t="n"/>
      <c r="D194" s="6" t="n"/>
      <c r="E194" s="7">
        <f>IF(B194="","",IF(OR(B194="Hunt",B194="Go AFK"),IF(C194="","Can't","OK"),IF(B194="Fight boss",IF(I193&lt;IF((IFERROR(VLOOKUP(C194,Monsters!$T$4:$AH$15,15,FALSE),0))=0,120,IFERROR(VLOOKUP(C194,Monsters!$T$4:$AH$15,15,FALSE),0)),"Can't","OK"),IF(B194="Hire hunter",IF(AND(C194="Briar",AD193&gt;=1),"Can't",IF(H193&lt;IF(C194="Briar",140,IF(C194="Quill",3650,IF(C194="Moss",4850,IF(C194="Ember",12200,0)))),"Can't","OK")),IF(OR(B194="Buy upgrade",B194="Forge/Scrapwork buy"),IF(IFERROR(VLOOKUP(C194,Upgrades!$N$4:$T$47,2,FALSE),0)="points","Can't",IF(IFERROR(VLOOKUP(C194,Upgrades!$N$4:$T$47,2,FALSE),0)="gold",IF(H193&lt;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buy",$C$3:$C193,C194))),1),0),"Can't","OK"),IF(IFERROR(VLOOKUP(C194,Upgrades!$N$4:$T$47,2,FALSE),0)="scraps",IF(J193&lt;IFERROR(FLOOR(IFERROR(VLOOKUP(C194,Upgrades!$N$4:$T$47,3,FALSE),0)*(IFERROR(VLOOKUP(C194,Upgrades!$N$4:$T$47,4,FALSE),0)^(COUNTIFS($B$3:$B193,"Buy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buy",$C$3:$C193,C194))),1),0),"Can't","OK"),IF(IFERROR(VLOOKUP(C194,Upgrades!$N$4:$T$47,2,FALSE),0)="mats","Can't","OK")))),"Check")))))</f>
        <v/>
      </c>
      <c r="F194" s="7">
        <f>IF(B194="","",IF(AND(B194="Fight boss",I193&lt;IF((IFERROR(VLOOKUP(C194,Monsters!$T$4:$AH$15,15,FALSE),0))=0,120,IFERROR(VLOOKUP(C194,Monsters!$T$4:$AH$15,15,FALSE),0))),"Can't — need "&amp;TEXT(IF((IFERROR(VLOOKUP(C194,Monsters!$T$4:$AH$15,15,FALSE),0))=0,120,IFERROR(VLOOKUP(C194,Monsters!$T$4:$AH$15,15,FALSE),0))-I193,"0.0")&amp;" more Slayer points on the meter",IF(AND(B194="Hire hunter",C194="Briar",AD193&gt;=1),"Can't — already hired",IF(AND(B194="Hire hunter",H193&lt;IF(C194="Briar",140,IF(C194="Quill",3650,IF(C194="Moss",4850,IF(C194="Ember",12200,0))))),"Can't — need "&amp;TEXT(IF(C194="Briar",140,IF(C194="Quill",3650,IF(C194="Moss",4850,IF(C194="Ember",12200,0))))-H193,"0")&amp;" more gold",IF(AND(OR(B194="Buy upgrade",B194="Forge/Scrapwork buy"),IFERROR(VLOOKUP(C194,Upgrades!$N$4:$T$47,2,FALSE),0)="points"),"Can't — Sp-wallet spends not tracked here",IF(AND(OR(B194="Buy upgrade",B194="Forge/Scrapwork buy"),IFERROR(VLOOKUP(C194,Upgrades!$N$4:$T$47,2,FALSE),0)="gold",H193&lt;IFERROR(FLOOR(IFERROR(VLOOKUP(C194,Upgrades!$N$4:$T$47,3,FALSE),0)*(IFERROR(VLOOKUP(C194,Upgrades!$N$4:$T$47,4,FALSE),0)^(COUNTIFS($B$3:$B193,"Buy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buy",$C$3:$C193,C194))),1),0)),"Can't — need "&amp;TEXT(IFERROR(FLOOR(IFERROR(VLOOKUP(C194,Upgrades!$N$4:$T$47,3,FALSE),0)*(IFERROR(VLOOKUP(C194,Upgrades!$N$4:$T$47,4,FALSE),0)^(COUNTIFS($B$3:$B193,"Buy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buy",$C$3:$C193,C194))),1),0)-H193,"0")&amp;" more gold",IF(AND(OR(B194="Buy upgrade",B194="Forge/Scrapwork buy"),IFERROR(VLOOKUP(C194,Upgrades!$N$4:$T$47,2,FALSE),0)="scraps",J193&lt;IFERROR(FLOOR(IFERROR(VLOOKUP(C194,Upgrades!$N$4:$T$47,3,FALSE),0)*(IFERROR(VLOOKUP(C194,Upgrades!$N$4:$T$47,4,FALSE),0)^(COUNTIFS($B$3:$B193,"Buy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buy",$C$3:$C193,C194))),1),0)),"Can't — need "&amp;TEXT(IFERROR(FLOOR(IFERROR(VLOOKUP(C194,Upgrades!$N$4:$T$47,3,FALSE),0)*(IFERROR(VLOOKUP(C194,Upgrades!$N$4:$T$47,4,FALSE),0)^(COUNTIFS($B$3:$B193,"Buy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buy",$C$3:$C193,C194))),1),0)-J193,"0")&amp;" more scraps",IF(AND(B194="Fight boss",E194="OK",(IF((((105/'Rules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Formulas'!B12)),"WIN — boss down, next Level unlocks",IF(AND(B194="Fight boss",E194="OK"),"LOSE — TTK "&amp;TEXT(IF((((105/'Rules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Formulas'!B20*SQRT(1+0.55*(AG193&gt;=1))),0)))),"0")&amp;"s &gt; patience "&amp;TEXT('Rules &amp; Formulas'!B12,"0")&amp;"s (leave resets HP)",IF(B194="Go AFK","AFK resolved (see AFK counted h)","Applied")))))))))</f>
        <v/>
      </c>
      <c r="G194" s="7">
        <f>IF(AND((E194="OK"),B194="Fight boss",(IF((((105/'Rules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Formulas'!B12),C194="Elder Thornpelt"),2,IF(AND((E194="OK"),B194="Fight boss",(IF((((105/'Rules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Formulas'!B12),C194="Ashfang Alpha"),3,G193))</f>
        <v/>
      </c>
      <c r="H194" s="7">
        <f>MAX(0,H193+IF(AND((E194="OK"),B194="Hunt"),(IF(B194="Hunt",(('Rules &amp; Formulas'!B4*N193*('Rules &amp; Formulas'!B5+O193)*IFERROR(VLOOKUP(C194,Monsters!$T$4:$AH$15,10,FALSE),0)*IFERROR(VLOOKUP(C194,Monsters!$T$4:$AH$15,9,FALSE),0))*'Rules &amp; Formulas'!B6)*IF(D194="",0,D194),0))*(IFERROR(VLOOKUP(C194,Monsters!$T$4:$AH$15,3,FALSE),0))*(1+0.1*AH193)+(IF(OR(B194&lt;&gt;"Hunt",IFERROR(VLOOKUP(C194,Monsters!$T$4:$AH$15,6,FALSE),0)=0),0,FLOOR((IF(B194="Hunt",(('Rules &amp; Formulas'!B4*N193*('Rules &amp; Formulas'!B5+O193)*IFERROR(VLOOKUP(C194,Monsters!$T$4:$AH$15,10,FALSE),0)*IFERROR(VLOOKUP(C194,Monsters!$T$4:$AH$15,9,FALSE),0))*'Rules &amp; Formulas'!B6)*IF(D194="",0,D194),0))/MAX(1,IFERROR(VLOOKUP(C194,Monsters!$T$4:$AH$15,6,FALSE),0)),1)))*(IFERROR(VLOOKUP(C194,Monsters!$T$4:$AH$15,7,FALSE),0))*0.5*(1+0.1*AH193),0)+IF(AND((E194="OK"),B194="Go AFK"),(IF(B194="Go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AFK",IF(D194="",0,D194),0),Z193/60)*60)),0))*(IFERROR(VLOOKUP(C194,Monsters!$T$4:$AH$15,3,FALSE),0))*(1+0.1*AH193)+(IF(OR(B194&lt;&gt;"Go AFK",IFERROR(VLOOKUP(C194,Monsters!$T$4:$AH$15,6,FALSE),0)=0),0,FLOOR((IF(B194="Go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AFK",IF(D194="",0,D194),0),Z193/60)*60)),0))/MAX(1,IFERROR(VLOOKUP(C194,Monsters!$T$4:$AH$15,6,FALSE),0)),1)))*(IFERROR(VLOOKUP(C194,Monsters!$T$4:$AH$15,7,FALSE),0))*0.5*(1+0.1*AH193),0)+IF(AND((E194="OK"),B194="Fight boss",(IF((((105/'Rules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Formulas'!B12)),IFERROR(VLOOKUP(C194,Monsters!$T$4:$AH$15,3,FALSE),0),0)-IF(AND((E194="OK"),OR(B194="Buy upgrade",B194="Forge/Scrapwork buy"),IFERROR(VLOOKUP(C194,Upgrades!$N$4:$T$47,2,FALSE),0)="gold"),IFERROR(FLOOR(IFERROR(VLOOKUP(C194,Upgrades!$N$4:$T$47,3,FALSE),0)*(IFERROR(VLOOKUP(C194,Upgrades!$N$4:$T$47,4,FALSE),0)^(COUNTIFS($B$3:$B193,"Buy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buy",$C$3:$C193,C194))),1),0),0)-IF(AND((E194="OK"),B194="Hire hunter"),IF(C194="Briar",140,IF(C194="Quill",3650,IF(C194="Moss",4850,IF(C194="Ember",12200,0)))),0))</f>
        <v/>
      </c>
      <c r="I194" s="7">
        <f>IF(AND((E194="OK"),B194="Fight boss",(IF((((105/'Rules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Formulas'!B12)),0,MIN(IF(G193&lt;=1,120,IF(G193=2,280,600)),I193+IF(AND((E194="OK"),B194="Hunt"),((IF(B194="Hunt",(('Rules &amp; Formulas'!B4*N193*('Rules &amp; Formulas'!B5+O193)*IFERROR(VLOOKUP(C194,Monsters!$T$4:$AH$15,10,FALSE),0)*IFERROR(VLOOKUP(C194,Monsters!$T$4:$AH$15,9,FALSE),0))*'Rules &amp; Formulas'!B6)*IF(D194="",0,D194),0))*(IFERROR(VLOOKUP(C194,Monsters!$T$4:$AH$15,4,FALSE),0))+(IF(OR(B194&lt;&gt;"Hunt",IFERROR(VLOOKUP(C194,Monsters!$T$4:$AH$15,6,FALSE),0)=0),0,FLOOR((IF(B194="Hunt",(('Rules &amp; Formulas'!B4*N193*('Rules &amp; Formulas'!B5+O193)*IFERROR(VLOOKUP(C194,Monsters!$T$4:$AH$15,10,FALSE),0)*IFERROR(VLOOKUP(C194,Monsters!$T$4:$AH$15,9,FALSE),0))*'Rules &amp; Formulas'!B6)*IF(D194="",0,D194),0))/MAX(1,IFERROR(VLOOKUP(C194,Monsters!$T$4:$AH$15,6,FALSE),0)),1)))*(IFERROR(VLOOKUP(C194,Monsters!$T$4:$AH$15,7,FALSE),0))),0)+IF(AND((E194="OK"),B194="Go AFK"),((IF(B194="Go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AFK",IF(D194="",0,D194),0),Z193/60)*60)),0))*(IFERROR(VLOOKUP(C194,Monsters!$T$4:$AH$15,4,FALSE),0))+(IF(OR(B194&lt;&gt;"Go AFK",IFERROR(VLOOKUP(C194,Monsters!$T$4:$AH$15,6,FALSE),0)=0),0,FLOOR((IF(B194="Go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AFK",IF(D194="",0,D194),0),Z193/60)*60)),0))/MAX(1,IFERROR(VLOOKUP(C194,Monsters!$T$4:$AH$15,6,FALSE),0)),1)))*(IFERROR(VLOOKUP(C194,Monsters!$T$4:$AH$15,7,FALSE),0))),0)))</f>
        <v/>
      </c>
      <c r="J194" s="7">
        <f>MAX(0,J193+IF(AND((E194="OK"),B194="Hunt"),(IF(B194="Hunt",(('Rules &amp; Formulas'!B4*N193*('Rules &amp; Formulas'!B5+O193)*IFERROR(VLOOKUP(C194,Monsters!$T$4:$AH$15,10,FALSE),0)*IFERROR(VLOOKUP(C194,Monsters!$T$4:$AH$15,9,FALSE),0))*'Rules &amp; Formulas'!B6)*IF(D194="",0,D194),0))*(IFERROR(VLOOKUP(C194,Monsters!$T$4:$AH$15,5,FALSE),0)),0)+IF(AND((E194="OK"),B194="Go AFK"),(IF(B194="Go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AFK",IF(D194="",0,D194),0),Z193/60)*60)),0))*(IFERROR(VLOOKUP(C194,Monsters!$T$4:$AH$15,5,FALSE),0)),0)-IF(AND((E194="OK"),OR(B194="Buy upgrade",B194="Forge/Scrapwork buy"),IFERROR(VLOOKUP(C194,Upgrades!$N$4:$T$47,2,FALSE),0)="scraps"),IFERROR(FLOOR(IFERROR(VLOOKUP(C194,Upgrades!$N$4:$T$47,3,FALSE),0)*(IFERROR(VLOOKUP(C194,Upgrades!$N$4:$T$47,4,FALSE),0)^(COUNTIFS($B$3:$B193,"Buy upgrade",$C$3:$C193,C194)+COUNTIFS($B$3:$B193,"Hire hunter",$C$3:$C193,C194)+COUNTIFS($B$3:$B193,"Forge/Scrapwork buy",$C$3:$C193,C194))),1),0),0))</f>
        <v/>
      </c>
      <c r="K194" s="7">
        <f>MAX(0,K193+IF(AND((E194="OK"),B194="Hunt"),IF(C194="Thornpelt Bear",(IF(B194="Hunt",(('Rules &amp; Formulas'!B4*N193*('Rules &amp; Formulas'!B5+O193)*IFERROR(VLOOKUP(C194,Monsters!$T$4:$AH$15,10,FALSE),0)*IFERROR(VLOOKUP(C194,Monsters!$T$4:$AH$15,9,FALSE),0))*'Rules &amp; Formulas'!B6)*IF(D194="",0,D194),0))*0.12,0),0)+IF(AND((E194="OK"),B194="Go AFK"),IF(C194="Thornpelt Bear",(IF(B194="Go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AFK",IF(D194="",0,D194),0),Z193/60)*60)),0))*0.12,0),0))</f>
        <v/>
      </c>
      <c r="L194" s="7">
        <f>MAX(0,L193+IF(AND((E194="OK"),B194="Hunt"),IF(C194="Dire Thornpelt",(IF(B194="Hunt",(('Rules &amp; Formulas'!B4*N193*('Rules &amp; Formulas'!B5+O193)*IFERROR(VLOOKUP(C194,Monsters!$T$4:$AH$15,10,FALSE),0)*IFERROR(VLOOKUP(C194,Monsters!$T$4:$AH$15,9,FALSE),0))*'Rules &amp; Formulas'!B6)*IF(D194="",0,D194),0))*0.1,0),0)+IF(AND((E194="OK"),B194="Go AFK"),IF(C194="Dire Thornpelt",(IF(B194="Go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AFK",IF(D194="",0,D194),0),Z193/60)*60)),0))*0.1,0),0))</f>
        <v/>
      </c>
      <c r="M194" s="7">
        <f>IF(AND((E194="OK"),B194="Go AFK"),MAX(0,MIN(('Rules &amp; Formulas'!B15+25*AJ193),M193+('Rules &amp; Formulas'!B14+0.4*AJ193)*(MIN(IF(B194="Go AFK",IF(D194="",0,D194),0),Z193/60)*60))-(IF(B194="Go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AFK",IF(D194="",0,D194),0),Z193/60)*60)),0))*(IF((IFERROR(VLOOKUP(C194,Monsters!$T$4:$AH$15,8,FALSE),0))=0,0.35,IFERROR(VLOOKUP(C194,Monsters!$T$4:$AH$15,8,FALSE),0))/(1+0.08*AK193))),MIN(('Rules &amp; Formulas'!B15+25*AJ194),M193))</f>
        <v/>
      </c>
      <c r="N194" s="7">
        <f>(1+0.08+0.12*AA194+0.12*AB194+0.16*AC194)</f>
        <v/>
      </c>
      <c r="O194" s="7">
        <f>((AD194&gt;=1)*1*(1+0.3*AE194))</f>
        <v/>
      </c>
      <c r="P194" s="7">
        <f>IF(OR(B194="Hunt",B194="Go AFK"),(('Rules &amp; Formulas'!B4*N193*('Rules &amp; Formulas'!B5+O193)*IFERROR(VLOOKUP(C194,Monsters!$T$4:$AH$15,10,FALSE),0)*IFERROR(VLOOKUP(C194,Monsters!$T$4:$AH$15,9,FALSE),0))*'Rules &amp; Formulas'!B6),"")</f>
        <v/>
      </c>
      <c r="Q194" s="7">
        <f>IF(OR(B194="Hunt",B194="Go AFK"),('Rules &amp; Formulas'!B4*N193*('Rules &amp; Formulas'!B5+O193)*IFERROR(VLOOKUP(C194,Monsters!$T$4:$AH$15,10,FALSE),0)*IFERROR(VLOOKUP(C194,Monsters!$T$4:$AH$15,9,FALSE),0)),"")</f>
        <v/>
      </c>
      <c r="R194" s="7">
        <f>IF(AND((E194="OK"),B194="Hunt"),IF(B194="Hunt",(('Rules &amp; Formulas'!B4*N193*('Rules &amp; Formulas'!B5+O193)*IFERROR(VLOOKUP(C194,Monsters!$T$4:$AH$15,10,FALSE),0)*IFERROR(VLOOKUP(C194,Monsters!$T$4:$AH$15,9,FALSE),0))*'Rules &amp; Formulas'!B6)*IF(D194="",0,D194),0),IF(AND((E194="OK"),B194="Go AFK"),IF(B194="Go AFK",MIN(IF((IF((IFERROR(VLOOKUP(C194,Monsters!$T$4:$AH$15,8,FALSE),0))=0,0.35,IFERROR(VLOOKUP(C194,Monsters!$T$4:$AH$15,8,FALSE),0))/(1+0.08*AK193))&lt;=0,999999,FLOOR(MIN(('Rules &amp; Formulas'!B15+25*AJ193),M193+('Rules &amp; Formulas'!B14+0.4*AJ193)*(MIN(IF(B194="Go AFK",IF(D194="",0,D194),0),Z193/60)*60))/(IF((IFERROR(VLOOKUP(C194,Monsters!$T$4:$AH$15,8,FALSE),0))=0,0.35,IFERROR(VLOOKUP(C194,Monsters!$T$4:$AH$15,8,FALSE),0))/(1+0.08*AK193)),1)),('Rules &amp; Formulas'!B4*N193*('Rules &amp; Formulas'!B5+O193)*IFERROR(VLOOKUP(C194,Monsters!$T$4:$AH$15,10,FALSE),0)*IFERROR(VLOOKUP(C194,Monsters!$T$4:$AH$15,9,FALSE),0))*(MIN(IF(B194="Go AFK",IF(D194="",0,D194),0),Z193/60)*60)),0),0))</f>
        <v/>
      </c>
      <c r="S194" s="7">
        <f>(105/'Rules &amp; Formulas'!B10)*'Rules &amp; Formulas'!B11</f>
        <v/>
      </c>
      <c r="T194" s="7">
        <f>IF(AD193&gt;=1,(MAX(1,ROUND('Rules &amp; Formulas'!B18*(1+0.3*AE193)*(1+0.4*AF193),0)))*(1000/'Rules &amp; Formulas'!B19)*MIN(0.95,'Rules &amp; Formulas'!B20*SQRT(1+0.55*(AG193&gt;=1))),0)</f>
        <v/>
      </c>
      <c r="U194" s="7">
        <f>S194+T194</f>
        <v/>
      </c>
      <c r="V194" s="7">
        <f>IF(I193&gt;=IF((IFERROR(VLOOKUP(C194,Monsters!$T$4:$AH$15,15,FALSE),0))=0,120,IFERROR(VLOOKUP(C194,Monsters!$T$4:$AH$15,15,FALSE),0)),"YES","no")</f>
        <v/>
      </c>
      <c r="W194" s="7">
        <f>IF(AND(B194="Fight boss",E194="OK"),IF((((105/'Rules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Formulas'!B20*SQRT(1+0.55*(AG193&gt;=1))),0)))),"")</f>
        <v/>
      </c>
      <c r="X194" s="7">
        <f>IF(AND(B194="Fight boss",E194="OK"),IF((IF((((105/'Rules &amp; Formulas'!B10)*'Rules &amp; Formulas'!B11+IF(AD193&gt;=1,(MAX(1,ROUND('Rules &amp; Formulas'!B18*(1+0.3*AE193)*(1+0.4*AF193),0)))*(1000/'Rules &amp; Formulas'!B19)*MIN(0.95,'Rules &amp; Formulas'!B20*SQRT(1+0.55*(AG193&gt;=1))),0)))&lt;=0,9999,(IFERROR(VLOOKUP(C194,Monsters!$T$4:$AH$15,2,FALSE),0))/(((105/'Rules &amp; Formulas'!B10)*'Rules &amp; Formulas'!B11+IF(AD193&gt;=1,(MAX(1,ROUND('Rules &amp; Formulas'!B18*(1+0.3*AE193)*(1+0.4*AF193),0)))*(1000/'Rules &amp; Formulas'!B19)*MIN(0.95,'Rules &amp; Formulas'!B20*SQRT(1+0.55*(AG193&gt;=1))),0))))&lt;='Rules &amp; Formulas'!B12),"WIN","LOSE"),"")</f>
        <v/>
      </c>
      <c r="Y194" s="7">
        <f>IF(B194="Go AFK",MIN(IF(B194="Go AFK",IF(D194="",0,D194),0),Z193/60),"")</f>
        <v/>
      </c>
      <c r="Z194" s="7">
        <f>('Rules &amp; Formulas'!B13+30*AI194)</f>
        <v/>
      </c>
      <c r="AA194">
        <f>COUNTIFS($B$3:$B194,"Buy upgrade",$C$3:$C194,"Idle Power")</f>
        <v/>
      </c>
      <c r="AB194">
        <f>COUNTIFS($B$3:$B194,"Buy upgrade",$C$3:$C194,"Iron Blade")</f>
        <v/>
      </c>
      <c r="AC194">
        <f>COUNTIFS($B$3:$B194,"Buy upgrade",$C$3:$C194,"Steel Blade")</f>
        <v/>
      </c>
      <c r="AD194">
        <f>COUNTIFS($B$3:$B194,"Hire hunter",$C$3:$C194,"Briar")+COUNTIFS($B$3:$B194,"Buy upgrade",$C$3:$C194,"Hire Briar")</f>
        <v/>
      </c>
      <c r="AE194">
        <f>COUNTIFS($B$3:$B194,"Buy upgrade",$C$3:$C194,"Hunter Power")</f>
        <v/>
      </c>
      <c r="AF194">
        <f>COUNTIFS($B$3:$B194,"Buy upgrade",$C$3:$C194,"Bigger Hits")</f>
        <v/>
      </c>
      <c r="AG194">
        <f>COUNTIFS($B$3:$B194,"Buy upgrade",$C$3:$C194,"Swift Walk")</f>
        <v/>
      </c>
      <c r="AH194">
        <f>COUNTIFS($B$3:$B194,"Buy upgrade",$C$3:$C194,"Loot Luck")</f>
        <v/>
      </c>
      <c r="AI194">
        <f>COUNTIFS($B$3:$B194,"Buy upgrade",$C$3:$C194,"Offline Cap")</f>
        <v/>
      </c>
      <c r="AJ194">
        <f>COUNTIFS($B$3:$B194,"Buy upgrade",$C$3:$C194,"Bigger Food Stock")</f>
        <v/>
      </c>
      <c r="AK194">
        <f>COUNTIFS($B$3:$B194,"Buy upgrade",$C$3:$C194,"Food Efficiency")</f>
        <v/>
      </c>
    </row>
    <row r="195">
      <c r="A195" t="n">
        <v>193</v>
      </c>
      <c r="B195" s="6" t="n"/>
      <c r="C195" s="6" t="n"/>
      <c r="D195" s="6" t="n"/>
      <c r="E195" s="7">
        <f>IF(B195="","",IF(OR(B195="Hunt",B195="Go AFK"),IF(C195="","Can't","OK"),IF(B195="Fight boss",IF(I194&lt;IF((IFERROR(VLOOKUP(C195,Monsters!$T$4:$AH$15,15,FALSE),0))=0,120,IFERROR(VLOOKUP(C195,Monsters!$T$4:$AH$15,15,FALSE),0)),"Can't","OK"),IF(B195="Hire hunter",IF(AND(C195="Briar",AD194&gt;=1),"Can't",IF(H194&lt;IF(C195="Briar",140,IF(C195="Quill",3650,IF(C195="Moss",4850,IF(C195="Ember",12200,0)))),"Can't","OK")),IF(OR(B195="Buy upgrade",B195="Forge/Scrapwork buy"),IF(IFERROR(VLOOKUP(C195,Upgrades!$N$4:$T$47,2,FALSE),0)="points","Can't",IF(IFERROR(VLOOKUP(C195,Upgrades!$N$4:$T$47,2,FALSE),0)="gold",IF(H194&lt;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buy",$C$3:$C194,C195))),1),0),"Can't","OK"),IF(IFERROR(VLOOKUP(C195,Upgrades!$N$4:$T$47,2,FALSE),0)="scraps",IF(J194&lt;IFERROR(FLOOR(IFERROR(VLOOKUP(C195,Upgrades!$N$4:$T$47,3,FALSE),0)*(IFERROR(VLOOKUP(C195,Upgrades!$N$4:$T$47,4,FALSE),0)^(COUNTIFS($B$3:$B194,"Buy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buy",$C$3:$C194,C195))),1),0),"Can't","OK"),IF(IFERROR(VLOOKUP(C195,Upgrades!$N$4:$T$47,2,FALSE),0)="mats","Can't","OK")))),"Check")))))</f>
        <v/>
      </c>
      <c r="F195" s="7">
        <f>IF(B195="","",IF(AND(B195="Fight boss",I194&lt;IF((IFERROR(VLOOKUP(C195,Monsters!$T$4:$AH$15,15,FALSE),0))=0,120,IFERROR(VLOOKUP(C195,Monsters!$T$4:$AH$15,15,FALSE),0))),"Can't — need "&amp;TEXT(IF((IFERROR(VLOOKUP(C195,Monsters!$T$4:$AH$15,15,FALSE),0))=0,120,IFERROR(VLOOKUP(C195,Monsters!$T$4:$AH$15,15,FALSE),0))-I194,"0.0")&amp;" more Slayer points on the meter",IF(AND(B195="Hire hunter",C195="Briar",AD194&gt;=1),"Can't — already hired",IF(AND(B195="Hire hunter",H194&lt;IF(C195="Briar",140,IF(C195="Quill",3650,IF(C195="Moss",4850,IF(C195="Ember",12200,0))))),"Can't — need "&amp;TEXT(IF(C195="Briar",140,IF(C195="Quill",3650,IF(C195="Moss",4850,IF(C195="Ember",12200,0))))-H194,"0")&amp;" more gold",IF(AND(OR(B195="Buy upgrade",B195="Forge/Scrapwork buy"),IFERROR(VLOOKUP(C195,Upgrades!$N$4:$T$47,2,FALSE),0)="points"),"Can't — Sp-wallet spends not tracked here",IF(AND(OR(B195="Buy upgrade",B195="Forge/Scrapwork buy"),IFERROR(VLOOKUP(C195,Upgrades!$N$4:$T$47,2,FALSE),0)="gold",H194&lt;IFERROR(FLOOR(IFERROR(VLOOKUP(C195,Upgrades!$N$4:$T$47,3,FALSE),0)*(IFERROR(VLOOKUP(C195,Upgrades!$N$4:$T$47,4,FALSE),0)^(COUNTIFS($B$3:$B194,"Buy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buy",$C$3:$C194,C195))),1),0)),"Can't — need "&amp;TEXT(IFERROR(FLOOR(IFERROR(VLOOKUP(C195,Upgrades!$N$4:$T$47,3,FALSE),0)*(IFERROR(VLOOKUP(C195,Upgrades!$N$4:$T$47,4,FALSE),0)^(COUNTIFS($B$3:$B194,"Buy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buy",$C$3:$C194,C195))),1),0)-H194,"0")&amp;" more gold",IF(AND(OR(B195="Buy upgrade",B195="Forge/Scrapwork buy"),IFERROR(VLOOKUP(C195,Upgrades!$N$4:$T$47,2,FALSE),0)="scraps",J194&lt;IFERROR(FLOOR(IFERROR(VLOOKUP(C195,Upgrades!$N$4:$T$47,3,FALSE),0)*(IFERROR(VLOOKUP(C195,Upgrades!$N$4:$T$47,4,FALSE),0)^(COUNTIFS($B$3:$B194,"Buy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buy",$C$3:$C194,C195))),1),0)),"Can't — need "&amp;TEXT(IFERROR(FLOOR(IFERROR(VLOOKUP(C195,Upgrades!$N$4:$T$47,3,FALSE),0)*(IFERROR(VLOOKUP(C195,Upgrades!$N$4:$T$47,4,FALSE),0)^(COUNTIFS($B$3:$B194,"Buy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buy",$C$3:$C194,C195))),1),0)-J194,"0")&amp;" more scraps",IF(AND(B195="Fight boss",E195="OK",(IF((((105/'Rules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Formulas'!B12)),"WIN — boss down, next Level unlocks",IF(AND(B195="Fight boss",E195="OK"),"LOSE — TTK "&amp;TEXT(IF((((105/'Rules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Formulas'!B20*SQRT(1+0.55*(AG194&gt;=1))),0)))),"0")&amp;"s &gt; patience "&amp;TEXT('Rules &amp; Formulas'!B12,"0")&amp;"s (leave resets HP)",IF(B195="Go AFK","AFK resolved (see AFK counted h)","Applied")))))))))</f>
        <v/>
      </c>
      <c r="G195" s="7">
        <f>IF(AND((E195="OK"),B195="Fight boss",(IF((((105/'Rules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Formulas'!B12),C195="Elder Thornpelt"),2,IF(AND((E195="OK"),B195="Fight boss",(IF((((105/'Rules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Formulas'!B12),C195="Ashfang Alpha"),3,G194))</f>
        <v/>
      </c>
      <c r="H195" s="7">
        <f>MAX(0,H194+IF(AND((E195="OK"),B195="Hunt"),(IF(B195="Hunt",(('Rules &amp; Formulas'!B4*N194*('Rules &amp; Formulas'!B5+O194)*IFERROR(VLOOKUP(C195,Monsters!$T$4:$AH$15,10,FALSE),0)*IFERROR(VLOOKUP(C195,Monsters!$T$4:$AH$15,9,FALSE),0))*'Rules &amp; Formulas'!B6)*IF(D195="",0,D195),0))*(IFERROR(VLOOKUP(C195,Monsters!$T$4:$AH$15,3,FALSE),0))*(1+0.1*AH194)+(IF(OR(B195&lt;&gt;"Hunt",IFERROR(VLOOKUP(C195,Monsters!$T$4:$AH$15,6,FALSE),0)=0),0,FLOOR((IF(B195="Hunt",(('Rules &amp; Formulas'!B4*N194*('Rules &amp; Formulas'!B5+O194)*IFERROR(VLOOKUP(C195,Monsters!$T$4:$AH$15,10,FALSE),0)*IFERROR(VLOOKUP(C195,Monsters!$T$4:$AH$15,9,FALSE),0))*'Rules &amp; Formulas'!B6)*IF(D195="",0,D195),0))/MAX(1,IFERROR(VLOOKUP(C195,Monsters!$T$4:$AH$15,6,FALSE),0)),1)))*(IFERROR(VLOOKUP(C195,Monsters!$T$4:$AH$15,7,FALSE),0))*0.5*(1+0.1*AH194),0)+IF(AND((E195="OK"),B195="Go AFK"),(IF(B195="Go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AFK",IF(D195="",0,D195),0),Z194/60)*60)),0))*(IFERROR(VLOOKUP(C195,Monsters!$T$4:$AH$15,3,FALSE),0))*(1+0.1*AH194)+(IF(OR(B195&lt;&gt;"Go AFK",IFERROR(VLOOKUP(C195,Monsters!$T$4:$AH$15,6,FALSE),0)=0),0,FLOOR((IF(B195="Go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AFK",IF(D195="",0,D195),0),Z194/60)*60)),0))/MAX(1,IFERROR(VLOOKUP(C195,Monsters!$T$4:$AH$15,6,FALSE),0)),1)))*(IFERROR(VLOOKUP(C195,Monsters!$T$4:$AH$15,7,FALSE),0))*0.5*(1+0.1*AH194),0)+IF(AND((E195="OK"),B195="Fight boss",(IF((((105/'Rules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Formulas'!B12)),IFERROR(VLOOKUP(C195,Monsters!$T$4:$AH$15,3,FALSE),0),0)-IF(AND((E195="OK"),OR(B195="Buy upgrade",B195="Forge/Scrapwork buy"),IFERROR(VLOOKUP(C195,Upgrades!$N$4:$T$47,2,FALSE),0)="gold"),IFERROR(FLOOR(IFERROR(VLOOKUP(C195,Upgrades!$N$4:$T$47,3,FALSE),0)*(IFERROR(VLOOKUP(C195,Upgrades!$N$4:$T$47,4,FALSE),0)^(COUNTIFS($B$3:$B194,"Buy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buy",$C$3:$C194,C195))),1),0),0)-IF(AND((E195="OK"),B195="Hire hunter"),IF(C195="Briar",140,IF(C195="Quill",3650,IF(C195="Moss",4850,IF(C195="Ember",12200,0)))),0))</f>
        <v/>
      </c>
      <c r="I195" s="7">
        <f>IF(AND((E195="OK"),B195="Fight boss",(IF((((105/'Rules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Formulas'!B12)),0,MIN(IF(G194&lt;=1,120,IF(G194=2,280,600)),I194+IF(AND((E195="OK"),B195="Hunt"),((IF(B195="Hunt",(('Rules &amp; Formulas'!B4*N194*('Rules &amp; Formulas'!B5+O194)*IFERROR(VLOOKUP(C195,Monsters!$T$4:$AH$15,10,FALSE),0)*IFERROR(VLOOKUP(C195,Monsters!$T$4:$AH$15,9,FALSE),0))*'Rules &amp; Formulas'!B6)*IF(D195="",0,D195),0))*(IFERROR(VLOOKUP(C195,Monsters!$T$4:$AH$15,4,FALSE),0))+(IF(OR(B195&lt;&gt;"Hunt",IFERROR(VLOOKUP(C195,Monsters!$T$4:$AH$15,6,FALSE),0)=0),0,FLOOR((IF(B195="Hunt",(('Rules &amp; Formulas'!B4*N194*('Rules &amp; Formulas'!B5+O194)*IFERROR(VLOOKUP(C195,Monsters!$T$4:$AH$15,10,FALSE),0)*IFERROR(VLOOKUP(C195,Monsters!$T$4:$AH$15,9,FALSE),0))*'Rules &amp; Formulas'!B6)*IF(D195="",0,D195),0))/MAX(1,IFERROR(VLOOKUP(C195,Monsters!$T$4:$AH$15,6,FALSE),0)),1)))*(IFERROR(VLOOKUP(C195,Monsters!$T$4:$AH$15,7,FALSE),0))),0)+IF(AND((E195="OK"),B195="Go AFK"),((IF(B195="Go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AFK",IF(D195="",0,D195),0),Z194/60)*60)),0))*(IFERROR(VLOOKUP(C195,Monsters!$T$4:$AH$15,4,FALSE),0))+(IF(OR(B195&lt;&gt;"Go AFK",IFERROR(VLOOKUP(C195,Monsters!$T$4:$AH$15,6,FALSE),0)=0),0,FLOOR((IF(B195="Go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AFK",IF(D195="",0,D195),0),Z194/60)*60)),0))/MAX(1,IFERROR(VLOOKUP(C195,Monsters!$T$4:$AH$15,6,FALSE),0)),1)))*(IFERROR(VLOOKUP(C195,Monsters!$T$4:$AH$15,7,FALSE),0))),0)))</f>
        <v/>
      </c>
      <c r="J195" s="7">
        <f>MAX(0,J194+IF(AND((E195="OK"),B195="Hunt"),(IF(B195="Hunt",(('Rules &amp; Formulas'!B4*N194*('Rules &amp; Formulas'!B5+O194)*IFERROR(VLOOKUP(C195,Monsters!$T$4:$AH$15,10,FALSE),0)*IFERROR(VLOOKUP(C195,Monsters!$T$4:$AH$15,9,FALSE),0))*'Rules &amp; Formulas'!B6)*IF(D195="",0,D195),0))*(IFERROR(VLOOKUP(C195,Monsters!$T$4:$AH$15,5,FALSE),0)),0)+IF(AND((E195="OK"),B195="Go AFK"),(IF(B195="Go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AFK",IF(D195="",0,D195),0),Z194/60)*60)),0))*(IFERROR(VLOOKUP(C195,Monsters!$T$4:$AH$15,5,FALSE),0)),0)-IF(AND((E195="OK"),OR(B195="Buy upgrade",B195="Forge/Scrapwork buy"),IFERROR(VLOOKUP(C195,Upgrades!$N$4:$T$47,2,FALSE),0)="scraps"),IFERROR(FLOOR(IFERROR(VLOOKUP(C195,Upgrades!$N$4:$T$47,3,FALSE),0)*(IFERROR(VLOOKUP(C195,Upgrades!$N$4:$T$47,4,FALSE),0)^(COUNTIFS($B$3:$B194,"Buy upgrade",$C$3:$C194,C195)+COUNTIFS($B$3:$B194,"Hire hunter",$C$3:$C194,C195)+COUNTIFS($B$3:$B194,"Forge/Scrapwork buy",$C$3:$C194,C195))),1),0),0))</f>
        <v/>
      </c>
      <c r="K195" s="7">
        <f>MAX(0,K194+IF(AND((E195="OK"),B195="Hunt"),IF(C195="Thornpelt Bear",(IF(B195="Hunt",(('Rules &amp; Formulas'!B4*N194*('Rules &amp; Formulas'!B5+O194)*IFERROR(VLOOKUP(C195,Monsters!$T$4:$AH$15,10,FALSE),0)*IFERROR(VLOOKUP(C195,Monsters!$T$4:$AH$15,9,FALSE),0))*'Rules &amp; Formulas'!B6)*IF(D195="",0,D195),0))*0.12,0),0)+IF(AND((E195="OK"),B195="Go AFK"),IF(C195="Thornpelt Bear",(IF(B195="Go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AFK",IF(D195="",0,D195),0),Z194/60)*60)),0))*0.12,0),0))</f>
        <v/>
      </c>
      <c r="L195" s="7">
        <f>MAX(0,L194+IF(AND((E195="OK"),B195="Hunt"),IF(C195="Dire Thornpelt",(IF(B195="Hunt",(('Rules &amp; Formulas'!B4*N194*('Rules &amp; Formulas'!B5+O194)*IFERROR(VLOOKUP(C195,Monsters!$T$4:$AH$15,10,FALSE),0)*IFERROR(VLOOKUP(C195,Monsters!$T$4:$AH$15,9,FALSE),0))*'Rules &amp; Formulas'!B6)*IF(D195="",0,D195),0))*0.1,0),0)+IF(AND((E195="OK"),B195="Go AFK"),IF(C195="Dire Thornpelt",(IF(B195="Go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AFK",IF(D195="",0,D195),0),Z194/60)*60)),0))*0.1,0),0))</f>
        <v/>
      </c>
      <c r="M195" s="7">
        <f>IF(AND((E195="OK"),B195="Go AFK"),MAX(0,MIN(('Rules &amp; Formulas'!B15+25*AJ194),M194+('Rules &amp; Formulas'!B14+0.4*AJ194)*(MIN(IF(B195="Go AFK",IF(D195="",0,D195),0),Z194/60)*60))-(IF(B195="Go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AFK",IF(D195="",0,D195),0),Z194/60)*60)),0))*(IF((IFERROR(VLOOKUP(C195,Monsters!$T$4:$AH$15,8,FALSE),0))=0,0.35,IFERROR(VLOOKUP(C195,Monsters!$T$4:$AH$15,8,FALSE),0))/(1+0.08*AK194))),MIN(('Rules &amp; Formulas'!B15+25*AJ195),M194))</f>
        <v/>
      </c>
      <c r="N195" s="7">
        <f>(1+0.08+0.12*AA195+0.12*AB195+0.16*AC195)</f>
        <v/>
      </c>
      <c r="O195" s="7">
        <f>((AD195&gt;=1)*1*(1+0.3*AE195))</f>
        <v/>
      </c>
      <c r="P195" s="7">
        <f>IF(OR(B195="Hunt",B195="Go AFK"),(('Rules &amp; Formulas'!B4*N194*('Rules &amp; Formulas'!B5+O194)*IFERROR(VLOOKUP(C195,Monsters!$T$4:$AH$15,10,FALSE),0)*IFERROR(VLOOKUP(C195,Monsters!$T$4:$AH$15,9,FALSE),0))*'Rules &amp; Formulas'!B6),"")</f>
        <v/>
      </c>
      <c r="Q195" s="7">
        <f>IF(OR(B195="Hunt",B195="Go AFK"),('Rules &amp; Formulas'!B4*N194*('Rules &amp; Formulas'!B5+O194)*IFERROR(VLOOKUP(C195,Monsters!$T$4:$AH$15,10,FALSE),0)*IFERROR(VLOOKUP(C195,Monsters!$T$4:$AH$15,9,FALSE),0)),"")</f>
        <v/>
      </c>
      <c r="R195" s="7">
        <f>IF(AND((E195="OK"),B195="Hunt"),IF(B195="Hunt",(('Rules &amp; Formulas'!B4*N194*('Rules &amp; Formulas'!B5+O194)*IFERROR(VLOOKUP(C195,Monsters!$T$4:$AH$15,10,FALSE),0)*IFERROR(VLOOKUP(C195,Monsters!$T$4:$AH$15,9,FALSE),0))*'Rules &amp; Formulas'!B6)*IF(D195="",0,D195),0),IF(AND((E195="OK"),B195="Go AFK"),IF(B195="Go AFK",MIN(IF((IF((IFERROR(VLOOKUP(C195,Monsters!$T$4:$AH$15,8,FALSE),0))=0,0.35,IFERROR(VLOOKUP(C195,Monsters!$T$4:$AH$15,8,FALSE),0))/(1+0.08*AK194))&lt;=0,999999,FLOOR(MIN(('Rules &amp; Formulas'!B15+25*AJ194),M194+('Rules &amp; Formulas'!B14+0.4*AJ194)*(MIN(IF(B195="Go AFK",IF(D195="",0,D195),0),Z194/60)*60))/(IF((IFERROR(VLOOKUP(C195,Monsters!$T$4:$AH$15,8,FALSE),0))=0,0.35,IFERROR(VLOOKUP(C195,Monsters!$T$4:$AH$15,8,FALSE),0))/(1+0.08*AK194)),1)),('Rules &amp; Formulas'!B4*N194*('Rules &amp; Formulas'!B5+O194)*IFERROR(VLOOKUP(C195,Monsters!$T$4:$AH$15,10,FALSE),0)*IFERROR(VLOOKUP(C195,Monsters!$T$4:$AH$15,9,FALSE),0))*(MIN(IF(B195="Go AFK",IF(D195="",0,D195),0),Z194/60)*60)),0),0))</f>
        <v/>
      </c>
      <c r="S195" s="7">
        <f>(105/'Rules &amp; Formulas'!B10)*'Rules &amp; Formulas'!B11</f>
        <v/>
      </c>
      <c r="T195" s="7">
        <f>IF(AD194&gt;=1,(MAX(1,ROUND('Rules &amp; Formulas'!B18*(1+0.3*AE194)*(1+0.4*AF194),0)))*(1000/'Rules &amp; Formulas'!B19)*MIN(0.95,'Rules &amp; Formulas'!B20*SQRT(1+0.55*(AG194&gt;=1))),0)</f>
        <v/>
      </c>
      <c r="U195" s="7">
        <f>S195+T195</f>
        <v/>
      </c>
      <c r="V195" s="7">
        <f>IF(I194&gt;=IF((IFERROR(VLOOKUP(C195,Monsters!$T$4:$AH$15,15,FALSE),0))=0,120,IFERROR(VLOOKUP(C195,Monsters!$T$4:$AH$15,15,FALSE),0)),"YES","no")</f>
        <v/>
      </c>
      <c r="W195" s="7">
        <f>IF(AND(B195="Fight boss",E195="OK"),IF((((105/'Rules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Formulas'!B20*SQRT(1+0.55*(AG194&gt;=1))),0)))),"")</f>
        <v/>
      </c>
      <c r="X195" s="7">
        <f>IF(AND(B195="Fight boss",E195="OK"),IF((IF((((105/'Rules &amp; Formulas'!B10)*'Rules &amp; Formulas'!B11+IF(AD194&gt;=1,(MAX(1,ROUND('Rules &amp; Formulas'!B18*(1+0.3*AE194)*(1+0.4*AF194),0)))*(1000/'Rules &amp; Formulas'!B19)*MIN(0.95,'Rules &amp; Formulas'!B20*SQRT(1+0.55*(AG194&gt;=1))),0)))&lt;=0,9999,(IFERROR(VLOOKUP(C195,Monsters!$T$4:$AH$15,2,FALSE),0))/(((105/'Rules &amp; Formulas'!B10)*'Rules &amp; Formulas'!B11+IF(AD194&gt;=1,(MAX(1,ROUND('Rules &amp; Formulas'!B18*(1+0.3*AE194)*(1+0.4*AF194),0)))*(1000/'Rules &amp; Formulas'!B19)*MIN(0.95,'Rules &amp; Formulas'!B20*SQRT(1+0.55*(AG194&gt;=1))),0))))&lt;='Rules &amp; Formulas'!B12),"WIN","LOSE"),"")</f>
        <v/>
      </c>
      <c r="Y195" s="7">
        <f>IF(B195="Go AFK",MIN(IF(B195="Go AFK",IF(D195="",0,D195),0),Z194/60),"")</f>
        <v/>
      </c>
      <c r="Z195" s="7">
        <f>('Rules &amp; Formulas'!B13+30*AI195)</f>
        <v/>
      </c>
      <c r="AA195">
        <f>COUNTIFS($B$3:$B195,"Buy upgrade",$C$3:$C195,"Idle Power")</f>
        <v/>
      </c>
      <c r="AB195">
        <f>COUNTIFS($B$3:$B195,"Buy upgrade",$C$3:$C195,"Iron Blade")</f>
        <v/>
      </c>
      <c r="AC195">
        <f>COUNTIFS($B$3:$B195,"Buy upgrade",$C$3:$C195,"Steel Blade")</f>
        <v/>
      </c>
      <c r="AD195">
        <f>COUNTIFS($B$3:$B195,"Hire hunter",$C$3:$C195,"Briar")+COUNTIFS($B$3:$B195,"Buy upgrade",$C$3:$C195,"Hire Briar")</f>
        <v/>
      </c>
      <c r="AE195">
        <f>COUNTIFS($B$3:$B195,"Buy upgrade",$C$3:$C195,"Hunter Power")</f>
        <v/>
      </c>
      <c r="AF195">
        <f>COUNTIFS($B$3:$B195,"Buy upgrade",$C$3:$C195,"Bigger Hits")</f>
        <v/>
      </c>
      <c r="AG195">
        <f>COUNTIFS($B$3:$B195,"Buy upgrade",$C$3:$C195,"Swift Walk")</f>
        <v/>
      </c>
      <c r="AH195">
        <f>COUNTIFS($B$3:$B195,"Buy upgrade",$C$3:$C195,"Loot Luck")</f>
        <v/>
      </c>
      <c r="AI195">
        <f>COUNTIFS($B$3:$B195,"Buy upgrade",$C$3:$C195,"Offline Cap")</f>
        <v/>
      </c>
      <c r="AJ195">
        <f>COUNTIFS($B$3:$B195,"Buy upgrade",$C$3:$C195,"Bigger Food Stock")</f>
        <v/>
      </c>
      <c r="AK195">
        <f>COUNTIFS($B$3:$B195,"Buy upgrade",$C$3:$C195,"Food Efficiency")</f>
        <v/>
      </c>
    </row>
    <row r="196">
      <c r="A196" t="n">
        <v>194</v>
      </c>
      <c r="B196" s="6" t="n"/>
      <c r="C196" s="6" t="n"/>
      <c r="D196" s="6" t="n"/>
      <c r="E196" s="7">
        <f>IF(B196="","",IF(OR(B196="Hunt",B196="Go AFK"),IF(C196="","Can't","OK"),IF(B196="Fight boss",IF(I195&lt;IF((IFERROR(VLOOKUP(C196,Monsters!$T$4:$AH$15,15,FALSE),0))=0,120,IFERROR(VLOOKUP(C196,Monsters!$T$4:$AH$15,15,FALSE),0)),"Can't","OK"),IF(B196="Hire hunter",IF(AND(C196="Briar",AD195&gt;=1),"Can't",IF(H195&lt;IF(C196="Briar",140,IF(C196="Quill",3650,IF(C196="Moss",4850,IF(C196="Ember",12200,0)))),"Can't","OK")),IF(OR(B196="Buy upgrade",B196="Forge/Scrapwork buy"),IF(IFERROR(VLOOKUP(C196,Upgrades!$N$4:$T$47,2,FALSE),0)="points","Can't",IF(IFERROR(VLOOKUP(C196,Upgrades!$N$4:$T$47,2,FALSE),0)="gold",IF(H195&lt;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buy",$C$3:$C195,C196))),1),0),"Can't","OK"),IF(IFERROR(VLOOKUP(C196,Upgrades!$N$4:$T$47,2,FALSE),0)="scraps",IF(J195&lt;IFERROR(FLOOR(IFERROR(VLOOKUP(C196,Upgrades!$N$4:$T$47,3,FALSE),0)*(IFERROR(VLOOKUP(C196,Upgrades!$N$4:$T$47,4,FALSE),0)^(COUNTIFS($B$3:$B195,"Buy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buy",$C$3:$C195,C196))),1),0),"Can't","OK"),IF(IFERROR(VLOOKUP(C196,Upgrades!$N$4:$T$47,2,FALSE),0)="mats","Can't","OK")))),"Check")))))</f>
        <v/>
      </c>
      <c r="F196" s="7">
        <f>IF(B196="","",IF(AND(B196="Fight boss",I195&lt;IF((IFERROR(VLOOKUP(C196,Monsters!$T$4:$AH$15,15,FALSE),0))=0,120,IFERROR(VLOOKUP(C196,Monsters!$T$4:$AH$15,15,FALSE),0))),"Can't — need "&amp;TEXT(IF((IFERROR(VLOOKUP(C196,Monsters!$T$4:$AH$15,15,FALSE),0))=0,120,IFERROR(VLOOKUP(C196,Monsters!$T$4:$AH$15,15,FALSE),0))-I195,"0.0")&amp;" more Slayer points on the meter",IF(AND(B196="Hire hunter",C196="Briar",AD195&gt;=1),"Can't — already hired",IF(AND(B196="Hire hunter",H195&lt;IF(C196="Briar",140,IF(C196="Quill",3650,IF(C196="Moss",4850,IF(C196="Ember",12200,0))))),"Can't — need "&amp;TEXT(IF(C196="Briar",140,IF(C196="Quill",3650,IF(C196="Moss",4850,IF(C196="Ember",12200,0))))-H195,"0")&amp;" more gold",IF(AND(OR(B196="Buy upgrade",B196="Forge/Scrapwork buy"),IFERROR(VLOOKUP(C196,Upgrades!$N$4:$T$47,2,FALSE),0)="points"),"Can't — Sp-wallet spends not tracked here",IF(AND(OR(B196="Buy upgrade",B196="Forge/Scrapwork buy"),IFERROR(VLOOKUP(C196,Upgrades!$N$4:$T$47,2,FALSE),0)="gold",H195&lt;IFERROR(FLOOR(IFERROR(VLOOKUP(C196,Upgrades!$N$4:$T$47,3,FALSE),0)*(IFERROR(VLOOKUP(C196,Upgrades!$N$4:$T$47,4,FALSE),0)^(COUNTIFS($B$3:$B195,"Buy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buy",$C$3:$C195,C196))),1),0)),"Can't — need "&amp;TEXT(IFERROR(FLOOR(IFERROR(VLOOKUP(C196,Upgrades!$N$4:$T$47,3,FALSE),0)*(IFERROR(VLOOKUP(C196,Upgrades!$N$4:$T$47,4,FALSE),0)^(COUNTIFS($B$3:$B195,"Buy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buy",$C$3:$C195,C196))),1),0)-H195,"0")&amp;" more gold",IF(AND(OR(B196="Buy upgrade",B196="Forge/Scrapwork buy"),IFERROR(VLOOKUP(C196,Upgrades!$N$4:$T$47,2,FALSE),0)="scraps",J195&lt;IFERROR(FLOOR(IFERROR(VLOOKUP(C196,Upgrades!$N$4:$T$47,3,FALSE),0)*(IFERROR(VLOOKUP(C196,Upgrades!$N$4:$T$47,4,FALSE),0)^(COUNTIFS($B$3:$B195,"Buy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buy",$C$3:$C195,C196))),1),0)),"Can't — need "&amp;TEXT(IFERROR(FLOOR(IFERROR(VLOOKUP(C196,Upgrades!$N$4:$T$47,3,FALSE),0)*(IFERROR(VLOOKUP(C196,Upgrades!$N$4:$T$47,4,FALSE),0)^(COUNTIFS($B$3:$B195,"Buy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buy",$C$3:$C195,C196))),1),0)-J195,"0")&amp;" more scraps",IF(AND(B196="Fight boss",E196="OK",(IF((((105/'Rules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Formulas'!B12)),"WIN — boss down, next Level unlocks",IF(AND(B196="Fight boss",E196="OK"),"LOSE — TTK "&amp;TEXT(IF((((105/'Rules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Formulas'!B20*SQRT(1+0.55*(AG195&gt;=1))),0)))),"0")&amp;"s &gt; patience "&amp;TEXT('Rules &amp; Formulas'!B12,"0")&amp;"s (leave resets HP)",IF(B196="Go AFK","AFK resolved (see AFK counted h)","Applied")))))))))</f>
        <v/>
      </c>
      <c r="G196" s="7">
        <f>IF(AND((E196="OK"),B196="Fight boss",(IF((((105/'Rules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Formulas'!B12),C196="Elder Thornpelt"),2,IF(AND((E196="OK"),B196="Fight boss",(IF((((105/'Rules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Formulas'!B12),C196="Ashfang Alpha"),3,G195))</f>
        <v/>
      </c>
      <c r="H196" s="7">
        <f>MAX(0,H195+IF(AND((E196="OK"),B196="Hunt"),(IF(B196="Hunt",(('Rules &amp; Formulas'!B4*N195*('Rules &amp; Formulas'!B5+O195)*IFERROR(VLOOKUP(C196,Monsters!$T$4:$AH$15,10,FALSE),0)*IFERROR(VLOOKUP(C196,Monsters!$T$4:$AH$15,9,FALSE),0))*'Rules &amp; Formulas'!B6)*IF(D196="",0,D196),0))*(IFERROR(VLOOKUP(C196,Monsters!$T$4:$AH$15,3,FALSE),0))*(1+0.1*AH195)+(IF(OR(B196&lt;&gt;"Hunt",IFERROR(VLOOKUP(C196,Monsters!$T$4:$AH$15,6,FALSE),0)=0),0,FLOOR((IF(B196="Hunt",(('Rules &amp; Formulas'!B4*N195*('Rules &amp; Formulas'!B5+O195)*IFERROR(VLOOKUP(C196,Monsters!$T$4:$AH$15,10,FALSE),0)*IFERROR(VLOOKUP(C196,Monsters!$T$4:$AH$15,9,FALSE),0))*'Rules &amp; Formulas'!B6)*IF(D196="",0,D196),0))/MAX(1,IFERROR(VLOOKUP(C196,Monsters!$T$4:$AH$15,6,FALSE),0)),1)))*(IFERROR(VLOOKUP(C196,Monsters!$T$4:$AH$15,7,FALSE),0))*0.5*(1+0.1*AH195),0)+IF(AND((E196="OK"),B196="Go AFK"),(IF(B196="Go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AFK",IF(D196="",0,D196),0),Z195/60)*60)),0))*(IFERROR(VLOOKUP(C196,Monsters!$T$4:$AH$15,3,FALSE),0))*(1+0.1*AH195)+(IF(OR(B196&lt;&gt;"Go AFK",IFERROR(VLOOKUP(C196,Monsters!$T$4:$AH$15,6,FALSE),0)=0),0,FLOOR((IF(B196="Go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AFK",IF(D196="",0,D196),0),Z195/60)*60)),0))/MAX(1,IFERROR(VLOOKUP(C196,Monsters!$T$4:$AH$15,6,FALSE),0)),1)))*(IFERROR(VLOOKUP(C196,Monsters!$T$4:$AH$15,7,FALSE),0))*0.5*(1+0.1*AH195),0)+IF(AND((E196="OK"),B196="Fight boss",(IF((((105/'Rules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Formulas'!B12)),IFERROR(VLOOKUP(C196,Monsters!$T$4:$AH$15,3,FALSE),0),0)-IF(AND((E196="OK"),OR(B196="Buy upgrade",B196="Forge/Scrapwork buy"),IFERROR(VLOOKUP(C196,Upgrades!$N$4:$T$47,2,FALSE),0)="gold"),IFERROR(FLOOR(IFERROR(VLOOKUP(C196,Upgrades!$N$4:$T$47,3,FALSE),0)*(IFERROR(VLOOKUP(C196,Upgrades!$N$4:$T$47,4,FALSE),0)^(COUNTIFS($B$3:$B195,"Buy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buy",$C$3:$C195,C196))),1),0),0)-IF(AND((E196="OK"),B196="Hire hunter"),IF(C196="Briar",140,IF(C196="Quill",3650,IF(C196="Moss",4850,IF(C196="Ember",12200,0)))),0))</f>
        <v/>
      </c>
      <c r="I196" s="7">
        <f>IF(AND((E196="OK"),B196="Fight boss",(IF((((105/'Rules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Formulas'!B12)),0,MIN(IF(G195&lt;=1,120,IF(G195=2,280,600)),I195+IF(AND((E196="OK"),B196="Hunt"),((IF(B196="Hunt",(('Rules &amp; Formulas'!B4*N195*('Rules &amp; Formulas'!B5+O195)*IFERROR(VLOOKUP(C196,Monsters!$T$4:$AH$15,10,FALSE),0)*IFERROR(VLOOKUP(C196,Monsters!$T$4:$AH$15,9,FALSE),0))*'Rules &amp; Formulas'!B6)*IF(D196="",0,D196),0))*(IFERROR(VLOOKUP(C196,Monsters!$T$4:$AH$15,4,FALSE),0))+(IF(OR(B196&lt;&gt;"Hunt",IFERROR(VLOOKUP(C196,Monsters!$T$4:$AH$15,6,FALSE),0)=0),0,FLOOR((IF(B196="Hunt",(('Rules &amp; Formulas'!B4*N195*('Rules &amp; Formulas'!B5+O195)*IFERROR(VLOOKUP(C196,Monsters!$T$4:$AH$15,10,FALSE),0)*IFERROR(VLOOKUP(C196,Monsters!$T$4:$AH$15,9,FALSE),0))*'Rules &amp; Formulas'!B6)*IF(D196="",0,D196),0))/MAX(1,IFERROR(VLOOKUP(C196,Monsters!$T$4:$AH$15,6,FALSE),0)),1)))*(IFERROR(VLOOKUP(C196,Monsters!$T$4:$AH$15,7,FALSE),0))),0)+IF(AND((E196="OK"),B196="Go AFK"),((IF(B196="Go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AFK",IF(D196="",0,D196),0),Z195/60)*60)),0))*(IFERROR(VLOOKUP(C196,Monsters!$T$4:$AH$15,4,FALSE),0))+(IF(OR(B196&lt;&gt;"Go AFK",IFERROR(VLOOKUP(C196,Monsters!$T$4:$AH$15,6,FALSE),0)=0),0,FLOOR((IF(B196="Go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AFK",IF(D196="",0,D196),0),Z195/60)*60)),0))/MAX(1,IFERROR(VLOOKUP(C196,Monsters!$T$4:$AH$15,6,FALSE),0)),1)))*(IFERROR(VLOOKUP(C196,Monsters!$T$4:$AH$15,7,FALSE),0))),0)))</f>
        <v/>
      </c>
      <c r="J196" s="7">
        <f>MAX(0,J195+IF(AND((E196="OK"),B196="Hunt"),(IF(B196="Hunt",(('Rules &amp; Formulas'!B4*N195*('Rules &amp; Formulas'!B5+O195)*IFERROR(VLOOKUP(C196,Monsters!$T$4:$AH$15,10,FALSE),0)*IFERROR(VLOOKUP(C196,Monsters!$T$4:$AH$15,9,FALSE),0))*'Rules &amp; Formulas'!B6)*IF(D196="",0,D196),0))*(IFERROR(VLOOKUP(C196,Monsters!$T$4:$AH$15,5,FALSE),0)),0)+IF(AND((E196="OK"),B196="Go AFK"),(IF(B196="Go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AFK",IF(D196="",0,D196),0),Z195/60)*60)),0))*(IFERROR(VLOOKUP(C196,Monsters!$T$4:$AH$15,5,FALSE),0)),0)-IF(AND((E196="OK"),OR(B196="Buy upgrade",B196="Forge/Scrapwork buy"),IFERROR(VLOOKUP(C196,Upgrades!$N$4:$T$47,2,FALSE),0)="scraps"),IFERROR(FLOOR(IFERROR(VLOOKUP(C196,Upgrades!$N$4:$T$47,3,FALSE),0)*(IFERROR(VLOOKUP(C196,Upgrades!$N$4:$T$47,4,FALSE),0)^(COUNTIFS($B$3:$B195,"Buy upgrade",$C$3:$C195,C196)+COUNTIFS($B$3:$B195,"Hire hunter",$C$3:$C195,C196)+COUNTIFS($B$3:$B195,"Forge/Scrapwork buy",$C$3:$C195,C196))),1),0),0))</f>
        <v/>
      </c>
      <c r="K196" s="7">
        <f>MAX(0,K195+IF(AND((E196="OK"),B196="Hunt"),IF(C196="Thornpelt Bear",(IF(B196="Hunt",(('Rules &amp; Formulas'!B4*N195*('Rules &amp; Formulas'!B5+O195)*IFERROR(VLOOKUP(C196,Monsters!$T$4:$AH$15,10,FALSE),0)*IFERROR(VLOOKUP(C196,Monsters!$T$4:$AH$15,9,FALSE),0))*'Rules &amp; Formulas'!B6)*IF(D196="",0,D196),0))*0.12,0),0)+IF(AND((E196="OK"),B196="Go AFK"),IF(C196="Thornpelt Bear",(IF(B196="Go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AFK",IF(D196="",0,D196),0),Z195/60)*60)),0))*0.12,0),0))</f>
        <v/>
      </c>
      <c r="L196" s="7">
        <f>MAX(0,L195+IF(AND((E196="OK"),B196="Hunt"),IF(C196="Dire Thornpelt",(IF(B196="Hunt",(('Rules &amp; Formulas'!B4*N195*('Rules &amp; Formulas'!B5+O195)*IFERROR(VLOOKUP(C196,Monsters!$T$4:$AH$15,10,FALSE),0)*IFERROR(VLOOKUP(C196,Monsters!$T$4:$AH$15,9,FALSE),0))*'Rules &amp; Formulas'!B6)*IF(D196="",0,D196),0))*0.1,0),0)+IF(AND((E196="OK"),B196="Go AFK"),IF(C196="Dire Thornpelt",(IF(B196="Go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AFK",IF(D196="",0,D196),0),Z195/60)*60)),0))*0.1,0),0))</f>
        <v/>
      </c>
      <c r="M196" s="7">
        <f>IF(AND((E196="OK"),B196="Go AFK"),MAX(0,MIN(('Rules &amp; Formulas'!B15+25*AJ195),M195+('Rules &amp; Formulas'!B14+0.4*AJ195)*(MIN(IF(B196="Go AFK",IF(D196="",0,D196),0),Z195/60)*60))-(IF(B196="Go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AFK",IF(D196="",0,D196),0),Z195/60)*60)),0))*(IF((IFERROR(VLOOKUP(C196,Monsters!$T$4:$AH$15,8,FALSE),0))=0,0.35,IFERROR(VLOOKUP(C196,Monsters!$T$4:$AH$15,8,FALSE),0))/(1+0.08*AK195))),MIN(('Rules &amp; Formulas'!B15+25*AJ196),M195))</f>
        <v/>
      </c>
      <c r="N196" s="7">
        <f>(1+0.08+0.12*AA196+0.12*AB196+0.16*AC196)</f>
        <v/>
      </c>
      <c r="O196" s="7">
        <f>((AD196&gt;=1)*1*(1+0.3*AE196))</f>
        <v/>
      </c>
      <c r="P196" s="7">
        <f>IF(OR(B196="Hunt",B196="Go AFK"),(('Rules &amp; Formulas'!B4*N195*('Rules &amp; Formulas'!B5+O195)*IFERROR(VLOOKUP(C196,Monsters!$T$4:$AH$15,10,FALSE),0)*IFERROR(VLOOKUP(C196,Monsters!$T$4:$AH$15,9,FALSE),0))*'Rules &amp; Formulas'!B6),"")</f>
        <v/>
      </c>
      <c r="Q196" s="7">
        <f>IF(OR(B196="Hunt",B196="Go AFK"),('Rules &amp; Formulas'!B4*N195*('Rules &amp; Formulas'!B5+O195)*IFERROR(VLOOKUP(C196,Monsters!$T$4:$AH$15,10,FALSE),0)*IFERROR(VLOOKUP(C196,Monsters!$T$4:$AH$15,9,FALSE),0)),"")</f>
        <v/>
      </c>
      <c r="R196" s="7">
        <f>IF(AND((E196="OK"),B196="Hunt"),IF(B196="Hunt",(('Rules &amp; Formulas'!B4*N195*('Rules &amp; Formulas'!B5+O195)*IFERROR(VLOOKUP(C196,Monsters!$T$4:$AH$15,10,FALSE),0)*IFERROR(VLOOKUP(C196,Monsters!$T$4:$AH$15,9,FALSE),0))*'Rules &amp; Formulas'!B6)*IF(D196="",0,D196),0),IF(AND((E196="OK"),B196="Go AFK"),IF(B196="Go AFK",MIN(IF((IF((IFERROR(VLOOKUP(C196,Monsters!$T$4:$AH$15,8,FALSE),0))=0,0.35,IFERROR(VLOOKUP(C196,Monsters!$T$4:$AH$15,8,FALSE),0))/(1+0.08*AK195))&lt;=0,999999,FLOOR(MIN(('Rules &amp; Formulas'!B15+25*AJ195),M195+('Rules &amp; Formulas'!B14+0.4*AJ195)*(MIN(IF(B196="Go AFK",IF(D196="",0,D196),0),Z195/60)*60))/(IF((IFERROR(VLOOKUP(C196,Monsters!$T$4:$AH$15,8,FALSE),0))=0,0.35,IFERROR(VLOOKUP(C196,Monsters!$T$4:$AH$15,8,FALSE),0))/(1+0.08*AK195)),1)),('Rules &amp; Formulas'!B4*N195*('Rules &amp; Formulas'!B5+O195)*IFERROR(VLOOKUP(C196,Monsters!$T$4:$AH$15,10,FALSE),0)*IFERROR(VLOOKUP(C196,Monsters!$T$4:$AH$15,9,FALSE),0))*(MIN(IF(B196="Go AFK",IF(D196="",0,D196),0),Z195/60)*60)),0),0))</f>
        <v/>
      </c>
      <c r="S196" s="7">
        <f>(105/'Rules &amp; Formulas'!B10)*'Rules &amp; Formulas'!B11</f>
        <v/>
      </c>
      <c r="T196" s="7">
        <f>IF(AD195&gt;=1,(MAX(1,ROUND('Rules &amp; Formulas'!B18*(1+0.3*AE195)*(1+0.4*AF195),0)))*(1000/'Rules &amp; Formulas'!B19)*MIN(0.95,'Rules &amp; Formulas'!B20*SQRT(1+0.55*(AG195&gt;=1))),0)</f>
        <v/>
      </c>
      <c r="U196" s="7">
        <f>S196+T196</f>
        <v/>
      </c>
      <c r="V196" s="7">
        <f>IF(I195&gt;=IF((IFERROR(VLOOKUP(C196,Monsters!$T$4:$AH$15,15,FALSE),0))=0,120,IFERROR(VLOOKUP(C196,Monsters!$T$4:$AH$15,15,FALSE),0)),"YES","no")</f>
        <v/>
      </c>
      <c r="W196" s="7">
        <f>IF(AND(B196="Fight boss",E196="OK"),IF((((105/'Rules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Formulas'!B20*SQRT(1+0.55*(AG195&gt;=1))),0)))),"")</f>
        <v/>
      </c>
      <c r="X196" s="7">
        <f>IF(AND(B196="Fight boss",E196="OK"),IF((IF((((105/'Rules &amp; Formulas'!B10)*'Rules &amp; Formulas'!B11+IF(AD195&gt;=1,(MAX(1,ROUND('Rules &amp; Formulas'!B18*(1+0.3*AE195)*(1+0.4*AF195),0)))*(1000/'Rules &amp; Formulas'!B19)*MIN(0.95,'Rules &amp; Formulas'!B20*SQRT(1+0.55*(AG195&gt;=1))),0)))&lt;=0,9999,(IFERROR(VLOOKUP(C196,Monsters!$T$4:$AH$15,2,FALSE),0))/(((105/'Rules &amp; Formulas'!B10)*'Rules &amp; Formulas'!B11+IF(AD195&gt;=1,(MAX(1,ROUND('Rules &amp; Formulas'!B18*(1+0.3*AE195)*(1+0.4*AF195),0)))*(1000/'Rules &amp; Formulas'!B19)*MIN(0.95,'Rules &amp; Formulas'!B20*SQRT(1+0.55*(AG195&gt;=1))),0))))&lt;='Rules &amp; Formulas'!B12),"WIN","LOSE"),"")</f>
        <v/>
      </c>
      <c r="Y196" s="7">
        <f>IF(B196="Go AFK",MIN(IF(B196="Go AFK",IF(D196="",0,D196),0),Z195/60),"")</f>
        <v/>
      </c>
      <c r="Z196" s="7">
        <f>('Rules &amp; Formulas'!B13+30*AI196)</f>
        <v/>
      </c>
      <c r="AA196">
        <f>COUNTIFS($B$3:$B196,"Buy upgrade",$C$3:$C196,"Idle Power")</f>
        <v/>
      </c>
      <c r="AB196">
        <f>COUNTIFS($B$3:$B196,"Buy upgrade",$C$3:$C196,"Iron Blade")</f>
        <v/>
      </c>
      <c r="AC196">
        <f>COUNTIFS($B$3:$B196,"Buy upgrade",$C$3:$C196,"Steel Blade")</f>
        <v/>
      </c>
      <c r="AD196">
        <f>COUNTIFS($B$3:$B196,"Hire hunter",$C$3:$C196,"Briar")+COUNTIFS($B$3:$B196,"Buy upgrade",$C$3:$C196,"Hire Briar")</f>
        <v/>
      </c>
      <c r="AE196">
        <f>COUNTIFS($B$3:$B196,"Buy upgrade",$C$3:$C196,"Hunter Power")</f>
        <v/>
      </c>
      <c r="AF196">
        <f>COUNTIFS($B$3:$B196,"Buy upgrade",$C$3:$C196,"Bigger Hits")</f>
        <v/>
      </c>
      <c r="AG196">
        <f>COUNTIFS($B$3:$B196,"Buy upgrade",$C$3:$C196,"Swift Walk")</f>
        <v/>
      </c>
      <c r="AH196">
        <f>COUNTIFS($B$3:$B196,"Buy upgrade",$C$3:$C196,"Loot Luck")</f>
        <v/>
      </c>
      <c r="AI196">
        <f>COUNTIFS($B$3:$B196,"Buy upgrade",$C$3:$C196,"Offline Cap")</f>
        <v/>
      </c>
      <c r="AJ196">
        <f>COUNTIFS($B$3:$B196,"Buy upgrade",$C$3:$C196,"Bigger Food Stock")</f>
        <v/>
      </c>
      <c r="AK196">
        <f>COUNTIFS($B$3:$B196,"Buy upgrade",$C$3:$C196,"Food Efficiency")</f>
        <v/>
      </c>
    </row>
    <row r="197">
      <c r="A197" t="n">
        <v>195</v>
      </c>
      <c r="B197" s="6" t="n"/>
      <c r="C197" s="6" t="n"/>
      <c r="D197" s="6" t="n"/>
      <c r="E197" s="7">
        <f>IF(B197="","",IF(OR(B197="Hunt",B197="Go AFK"),IF(C197="","Can't","OK"),IF(B197="Fight boss",IF(I196&lt;IF((IFERROR(VLOOKUP(C197,Monsters!$T$4:$AH$15,15,FALSE),0))=0,120,IFERROR(VLOOKUP(C197,Monsters!$T$4:$AH$15,15,FALSE),0)),"Can't","OK"),IF(B197="Hire hunter",IF(AND(C197="Briar",AD196&gt;=1),"Can't",IF(H196&lt;IF(C197="Briar",140,IF(C197="Quill",3650,IF(C197="Moss",4850,IF(C197="Ember",12200,0)))),"Can't","OK")),IF(OR(B197="Buy upgrade",B197="Forge/Scrapwork buy"),IF(IFERROR(VLOOKUP(C197,Upgrades!$N$4:$T$47,2,FALSE),0)="points","Can't",IF(IFERROR(VLOOKUP(C197,Upgrades!$N$4:$T$47,2,FALSE),0)="gold",IF(H196&lt;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buy",$C$3:$C196,C197))),1),0),"Can't","OK"),IF(IFERROR(VLOOKUP(C197,Upgrades!$N$4:$T$47,2,FALSE),0)="scraps",IF(J196&lt;IFERROR(FLOOR(IFERROR(VLOOKUP(C197,Upgrades!$N$4:$T$47,3,FALSE),0)*(IFERROR(VLOOKUP(C197,Upgrades!$N$4:$T$47,4,FALSE),0)^(COUNTIFS($B$3:$B196,"Buy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buy",$C$3:$C196,C197))),1),0),"Can't","OK"),IF(IFERROR(VLOOKUP(C197,Upgrades!$N$4:$T$47,2,FALSE),0)="mats","Can't","OK")))),"Check")))))</f>
        <v/>
      </c>
      <c r="F197" s="7">
        <f>IF(B197="","",IF(AND(B197="Fight boss",I196&lt;IF((IFERROR(VLOOKUP(C197,Monsters!$T$4:$AH$15,15,FALSE),0))=0,120,IFERROR(VLOOKUP(C197,Monsters!$T$4:$AH$15,15,FALSE),0))),"Can't — need "&amp;TEXT(IF((IFERROR(VLOOKUP(C197,Monsters!$T$4:$AH$15,15,FALSE),0))=0,120,IFERROR(VLOOKUP(C197,Monsters!$T$4:$AH$15,15,FALSE),0))-I196,"0.0")&amp;" more Slayer points on the meter",IF(AND(B197="Hire hunter",C197="Briar",AD196&gt;=1),"Can't — already hired",IF(AND(B197="Hire hunter",H196&lt;IF(C197="Briar",140,IF(C197="Quill",3650,IF(C197="Moss",4850,IF(C197="Ember",12200,0))))),"Can't — need "&amp;TEXT(IF(C197="Briar",140,IF(C197="Quill",3650,IF(C197="Moss",4850,IF(C197="Ember",12200,0))))-H196,"0")&amp;" more gold",IF(AND(OR(B197="Buy upgrade",B197="Forge/Scrapwork buy"),IFERROR(VLOOKUP(C197,Upgrades!$N$4:$T$47,2,FALSE),0)="points"),"Can't — Sp-wallet spends not tracked here",IF(AND(OR(B197="Buy upgrade",B197="Forge/Scrapwork buy"),IFERROR(VLOOKUP(C197,Upgrades!$N$4:$T$47,2,FALSE),0)="gold",H196&lt;IFERROR(FLOOR(IFERROR(VLOOKUP(C197,Upgrades!$N$4:$T$47,3,FALSE),0)*(IFERROR(VLOOKUP(C197,Upgrades!$N$4:$T$47,4,FALSE),0)^(COUNTIFS($B$3:$B196,"Buy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buy",$C$3:$C196,C197))),1),0)),"Can't — need "&amp;TEXT(IFERROR(FLOOR(IFERROR(VLOOKUP(C197,Upgrades!$N$4:$T$47,3,FALSE),0)*(IFERROR(VLOOKUP(C197,Upgrades!$N$4:$T$47,4,FALSE),0)^(COUNTIFS($B$3:$B196,"Buy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buy",$C$3:$C196,C197))),1),0)-H196,"0")&amp;" more gold",IF(AND(OR(B197="Buy upgrade",B197="Forge/Scrapwork buy"),IFERROR(VLOOKUP(C197,Upgrades!$N$4:$T$47,2,FALSE),0)="scraps",J196&lt;IFERROR(FLOOR(IFERROR(VLOOKUP(C197,Upgrades!$N$4:$T$47,3,FALSE),0)*(IFERROR(VLOOKUP(C197,Upgrades!$N$4:$T$47,4,FALSE),0)^(COUNTIFS($B$3:$B196,"Buy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buy",$C$3:$C196,C197))),1),0)),"Can't — need "&amp;TEXT(IFERROR(FLOOR(IFERROR(VLOOKUP(C197,Upgrades!$N$4:$T$47,3,FALSE),0)*(IFERROR(VLOOKUP(C197,Upgrades!$N$4:$T$47,4,FALSE),0)^(COUNTIFS($B$3:$B196,"Buy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buy",$C$3:$C196,C197))),1),0)-J196,"0")&amp;" more scraps",IF(AND(B197="Fight boss",E197="OK",(IF((((105/'Rules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Formulas'!B12)),"WIN — boss down, next Level unlocks",IF(AND(B197="Fight boss",E197="OK"),"LOSE — TTK "&amp;TEXT(IF((((105/'Rules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Formulas'!B20*SQRT(1+0.55*(AG196&gt;=1))),0)))),"0")&amp;"s &gt; patience "&amp;TEXT('Rules &amp; Formulas'!B12,"0")&amp;"s (leave resets HP)",IF(B197="Go AFK","AFK resolved (see AFK counted h)","Applied")))))))))</f>
        <v/>
      </c>
      <c r="G197" s="7">
        <f>IF(AND((E197="OK"),B197="Fight boss",(IF((((105/'Rules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Formulas'!B12),C197="Elder Thornpelt"),2,IF(AND((E197="OK"),B197="Fight boss",(IF((((105/'Rules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Formulas'!B12),C197="Ashfang Alpha"),3,G196))</f>
        <v/>
      </c>
      <c r="H197" s="7">
        <f>MAX(0,H196+IF(AND((E197="OK"),B197="Hunt"),(IF(B197="Hunt",(('Rules &amp; Formulas'!B4*N196*('Rules &amp; Formulas'!B5+O196)*IFERROR(VLOOKUP(C197,Monsters!$T$4:$AH$15,10,FALSE),0)*IFERROR(VLOOKUP(C197,Monsters!$T$4:$AH$15,9,FALSE),0))*'Rules &amp; Formulas'!B6)*IF(D197="",0,D197),0))*(IFERROR(VLOOKUP(C197,Monsters!$T$4:$AH$15,3,FALSE),0))*(1+0.1*AH196)+(IF(OR(B197&lt;&gt;"Hunt",IFERROR(VLOOKUP(C197,Monsters!$T$4:$AH$15,6,FALSE),0)=0),0,FLOOR((IF(B197="Hunt",(('Rules &amp; Formulas'!B4*N196*('Rules &amp; Formulas'!B5+O196)*IFERROR(VLOOKUP(C197,Monsters!$T$4:$AH$15,10,FALSE),0)*IFERROR(VLOOKUP(C197,Monsters!$T$4:$AH$15,9,FALSE),0))*'Rules &amp; Formulas'!B6)*IF(D197="",0,D197),0))/MAX(1,IFERROR(VLOOKUP(C197,Monsters!$T$4:$AH$15,6,FALSE),0)),1)))*(IFERROR(VLOOKUP(C197,Monsters!$T$4:$AH$15,7,FALSE),0))*0.5*(1+0.1*AH196),0)+IF(AND((E197="OK"),B197="Go AFK"),(IF(B197="Go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AFK",IF(D197="",0,D197),0),Z196/60)*60)),0))*(IFERROR(VLOOKUP(C197,Monsters!$T$4:$AH$15,3,FALSE),0))*(1+0.1*AH196)+(IF(OR(B197&lt;&gt;"Go AFK",IFERROR(VLOOKUP(C197,Monsters!$T$4:$AH$15,6,FALSE),0)=0),0,FLOOR((IF(B197="Go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AFK",IF(D197="",0,D197),0),Z196/60)*60)),0))/MAX(1,IFERROR(VLOOKUP(C197,Monsters!$T$4:$AH$15,6,FALSE),0)),1)))*(IFERROR(VLOOKUP(C197,Monsters!$T$4:$AH$15,7,FALSE),0))*0.5*(1+0.1*AH196),0)+IF(AND((E197="OK"),B197="Fight boss",(IF((((105/'Rules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Formulas'!B12)),IFERROR(VLOOKUP(C197,Monsters!$T$4:$AH$15,3,FALSE),0),0)-IF(AND((E197="OK"),OR(B197="Buy upgrade",B197="Forge/Scrapwork buy"),IFERROR(VLOOKUP(C197,Upgrades!$N$4:$T$47,2,FALSE),0)="gold"),IFERROR(FLOOR(IFERROR(VLOOKUP(C197,Upgrades!$N$4:$T$47,3,FALSE),0)*(IFERROR(VLOOKUP(C197,Upgrades!$N$4:$T$47,4,FALSE),0)^(COUNTIFS($B$3:$B196,"Buy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buy",$C$3:$C196,C197))),1),0),0)-IF(AND((E197="OK"),B197="Hire hunter"),IF(C197="Briar",140,IF(C197="Quill",3650,IF(C197="Moss",4850,IF(C197="Ember",12200,0)))),0))</f>
        <v/>
      </c>
      <c r="I197" s="7">
        <f>IF(AND((E197="OK"),B197="Fight boss",(IF((((105/'Rules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Formulas'!B12)),0,MIN(IF(G196&lt;=1,120,IF(G196=2,280,600)),I196+IF(AND((E197="OK"),B197="Hunt"),((IF(B197="Hunt",(('Rules &amp; Formulas'!B4*N196*('Rules &amp; Formulas'!B5+O196)*IFERROR(VLOOKUP(C197,Monsters!$T$4:$AH$15,10,FALSE),0)*IFERROR(VLOOKUP(C197,Monsters!$T$4:$AH$15,9,FALSE),0))*'Rules &amp; Formulas'!B6)*IF(D197="",0,D197),0))*(IFERROR(VLOOKUP(C197,Monsters!$T$4:$AH$15,4,FALSE),0))+(IF(OR(B197&lt;&gt;"Hunt",IFERROR(VLOOKUP(C197,Monsters!$T$4:$AH$15,6,FALSE),0)=0),0,FLOOR((IF(B197="Hunt",(('Rules &amp; Formulas'!B4*N196*('Rules &amp; Formulas'!B5+O196)*IFERROR(VLOOKUP(C197,Monsters!$T$4:$AH$15,10,FALSE),0)*IFERROR(VLOOKUP(C197,Monsters!$T$4:$AH$15,9,FALSE),0))*'Rules &amp; Formulas'!B6)*IF(D197="",0,D197),0))/MAX(1,IFERROR(VLOOKUP(C197,Monsters!$T$4:$AH$15,6,FALSE),0)),1)))*(IFERROR(VLOOKUP(C197,Monsters!$T$4:$AH$15,7,FALSE),0))),0)+IF(AND((E197="OK"),B197="Go AFK"),((IF(B197="Go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AFK",IF(D197="",0,D197),0),Z196/60)*60)),0))*(IFERROR(VLOOKUP(C197,Monsters!$T$4:$AH$15,4,FALSE),0))+(IF(OR(B197&lt;&gt;"Go AFK",IFERROR(VLOOKUP(C197,Monsters!$T$4:$AH$15,6,FALSE),0)=0),0,FLOOR((IF(B197="Go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AFK",IF(D197="",0,D197),0),Z196/60)*60)),0))/MAX(1,IFERROR(VLOOKUP(C197,Monsters!$T$4:$AH$15,6,FALSE),0)),1)))*(IFERROR(VLOOKUP(C197,Monsters!$T$4:$AH$15,7,FALSE),0))),0)))</f>
        <v/>
      </c>
      <c r="J197" s="7">
        <f>MAX(0,J196+IF(AND((E197="OK"),B197="Hunt"),(IF(B197="Hunt",(('Rules &amp; Formulas'!B4*N196*('Rules &amp; Formulas'!B5+O196)*IFERROR(VLOOKUP(C197,Monsters!$T$4:$AH$15,10,FALSE),0)*IFERROR(VLOOKUP(C197,Monsters!$T$4:$AH$15,9,FALSE),0))*'Rules &amp; Formulas'!B6)*IF(D197="",0,D197),0))*(IFERROR(VLOOKUP(C197,Monsters!$T$4:$AH$15,5,FALSE),0)),0)+IF(AND((E197="OK"),B197="Go AFK"),(IF(B197="Go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AFK",IF(D197="",0,D197),0),Z196/60)*60)),0))*(IFERROR(VLOOKUP(C197,Monsters!$T$4:$AH$15,5,FALSE),0)),0)-IF(AND((E197="OK"),OR(B197="Buy upgrade",B197="Forge/Scrapwork buy"),IFERROR(VLOOKUP(C197,Upgrades!$N$4:$T$47,2,FALSE),0)="scraps"),IFERROR(FLOOR(IFERROR(VLOOKUP(C197,Upgrades!$N$4:$T$47,3,FALSE),0)*(IFERROR(VLOOKUP(C197,Upgrades!$N$4:$T$47,4,FALSE),0)^(COUNTIFS($B$3:$B196,"Buy upgrade",$C$3:$C196,C197)+COUNTIFS($B$3:$B196,"Hire hunter",$C$3:$C196,C197)+COUNTIFS($B$3:$B196,"Forge/Scrapwork buy",$C$3:$C196,C197))),1),0),0))</f>
        <v/>
      </c>
      <c r="K197" s="7">
        <f>MAX(0,K196+IF(AND((E197="OK"),B197="Hunt"),IF(C197="Thornpelt Bear",(IF(B197="Hunt",(('Rules &amp; Formulas'!B4*N196*('Rules &amp; Formulas'!B5+O196)*IFERROR(VLOOKUP(C197,Monsters!$T$4:$AH$15,10,FALSE),0)*IFERROR(VLOOKUP(C197,Monsters!$T$4:$AH$15,9,FALSE),0))*'Rules &amp; Formulas'!B6)*IF(D197="",0,D197),0))*0.12,0),0)+IF(AND((E197="OK"),B197="Go AFK"),IF(C197="Thornpelt Bear",(IF(B197="Go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AFK",IF(D197="",0,D197),0),Z196/60)*60)),0))*0.12,0),0))</f>
        <v/>
      </c>
      <c r="L197" s="7">
        <f>MAX(0,L196+IF(AND((E197="OK"),B197="Hunt"),IF(C197="Dire Thornpelt",(IF(B197="Hunt",(('Rules &amp; Formulas'!B4*N196*('Rules &amp; Formulas'!B5+O196)*IFERROR(VLOOKUP(C197,Monsters!$T$4:$AH$15,10,FALSE),0)*IFERROR(VLOOKUP(C197,Monsters!$T$4:$AH$15,9,FALSE),0))*'Rules &amp; Formulas'!B6)*IF(D197="",0,D197),0))*0.1,0),0)+IF(AND((E197="OK"),B197="Go AFK"),IF(C197="Dire Thornpelt",(IF(B197="Go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AFK",IF(D197="",0,D197),0),Z196/60)*60)),0))*0.1,0),0))</f>
        <v/>
      </c>
      <c r="M197" s="7">
        <f>IF(AND((E197="OK"),B197="Go AFK"),MAX(0,MIN(('Rules &amp; Formulas'!B15+25*AJ196),M196+('Rules &amp; Formulas'!B14+0.4*AJ196)*(MIN(IF(B197="Go AFK",IF(D197="",0,D197),0),Z196/60)*60))-(IF(B197="Go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AFK",IF(D197="",0,D197),0),Z196/60)*60)),0))*(IF((IFERROR(VLOOKUP(C197,Monsters!$T$4:$AH$15,8,FALSE),0))=0,0.35,IFERROR(VLOOKUP(C197,Monsters!$T$4:$AH$15,8,FALSE),0))/(1+0.08*AK196))),MIN(('Rules &amp; Formulas'!B15+25*AJ197),M196))</f>
        <v/>
      </c>
      <c r="N197" s="7">
        <f>(1+0.08+0.12*AA197+0.12*AB197+0.16*AC197)</f>
        <v/>
      </c>
      <c r="O197" s="7">
        <f>((AD197&gt;=1)*1*(1+0.3*AE197))</f>
        <v/>
      </c>
      <c r="P197" s="7">
        <f>IF(OR(B197="Hunt",B197="Go AFK"),(('Rules &amp; Formulas'!B4*N196*('Rules &amp; Formulas'!B5+O196)*IFERROR(VLOOKUP(C197,Monsters!$T$4:$AH$15,10,FALSE),0)*IFERROR(VLOOKUP(C197,Monsters!$T$4:$AH$15,9,FALSE),0))*'Rules &amp; Formulas'!B6),"")</f>
        <v/>
      </c>
      <c r="Q197" s="7">
        <f>IF(OR(B197="Hunt",B197="Go AFK"),('Rules &amp; Formulas'!B4*N196*('Rules &amp; Formulas'!B5+O196)*IFERROR(VLOOKUP(C197,Monsters!$T$4:$AH$15,10,FALSE),0)*IFERROR(VLOOKUP(C197,Monsters!$T$4:$AH$15,9,FALSE),0)),"")</f>
        <v/>
      </c>
      <c r="R197" s="7">
        <f>IF(AND((E197="OK"),B197="Hunt"),IF(B197="Hunt",(('Rules &amp; Formulas'!B4*N196*('Rules &amp; Formulas'!B5+O196)*IFERROR(VLOOKUP(C197,Monsters!$T$4:$AH$15,10,FALSE),0)*IFERROR(VLOOKUP(C197,Monsters!$T$4:$AH$15,9,FALSE),0))*'Rules &amp; Formulas'!B6)*IF(D197="",0,D197),0),IF(AND((E197="OK"),B197="Go AFK"),IF(B197="Go AFK",MIN(IF((IF((IFERROR(VLOOKUP(C197,Monsters!$T$4:$AH$15,8,FALSE),0))=0,0.35,IFERROR(VLOOKUP(C197,Monsters!$T$4:$AH$15,8,FALSE),0))/(1+0.08*AK196))&lt;=0,999999,FLOOR(MIN(('Rules &amp; Formulas'!B15+25*AJ196),M196+('Rules &amp; Formulas'!B14+0.4*AJ196)*(MIN(IF(B197="Go AFK",IF(D197="",0,D197),0),Z196/60)*60))/(IF((IFERROR(VLOOKUP(C197,Monsters!$T$4:$AH$15,8,FALSE),0))=0,0.35,IFERROR(VLOOKUP(C197,Monsters!$T$4:$AH$15,8,FALSE),0))/(1+0.08*AK196)),1)),('Rules &amp; Formulas'!B4*N196*('Rules &amp; Formulas'!B5+O196)*IFERROR(VLOOKUP(C197,Monsters!$T$4:$AH$15,10,FALSE),0)*IFERROR(VLOOKUP(C197,Monsters!$T$4:$AH$15,9,FALSE),0))*(MIN(IF(B197="Go AFK",IF(D197="",0,D197),0),Z196/60)*60)),0),0))</f>
        <v/>
      </c>
      <c r="S197" s="7">
        <f>(105/'Rules &amp; Formulas'!B10)*'Rules &amp; Formulas'!B11</f>
        <v/>
      </c>
      <c r="T197" s="7">
        <f>IF(AD196&gt;=1,(MAX(1,ROUND('Rules &amp; Formulas'!B18*(1+0.3*AE196)*(1+0.4*AF196),0)))*(1000/'Rules &amp; Formulas'!B19)*MIN(0.95,'Rules &amp; Formulas'!B20*SQRT(1+0.55*(AG196&gt;=1))),0)</f>
        <v/>
      </c>
      <c r="U197" s="7">
        <f>S197+T197</f>
        <v/>
      </c>
      <c r="V197" s="7">
        <f>IF(I196&gt;=IF((IFERROR(VLOOKUP(C197,Monsters!$T$4:$AH$15,15,FALSE),0))=0,120,IFERROR(VLOOKUP(C197,Monsters!$T$4:$AH$15,15,FALSE),0)),"YES","no")</f>
        <v/>
      </c>
      <c r="W197" s="7">
        <f>IF(AND(B197="Fight boss",E197="OK"),IF((((105/'Rules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Formulas'!B20*SQRT(1+0.55*(AG196&gt;=1))),0)))),"")</f>
        <v/>
      </c>
      <c r="X197" s="7">
        <f>IF(AND(B197="Fight boss",E197="OK"),IF((IF((((105/'Rules &amp; Formulas'!B10)*'Rules &amp; Formulas'!B11+IF(AD196&gt;=1,(MAX(1,ROUND('Rules &amp; Formulas'!B18*(1+0.3*AE196)*(1+0.4*AF196),0)))*(1000/'Rules &amp; Formulas'!B19)*MIN(0.95,'Rules &amp; Formulas'!B20*SQRT(1+0.55*(AG196&gt;=1))),0)))&lt;=0,9999,(IFERROR(VLOOKUP(C197,Monsters!$T$4:$AH$15,2,FALSE),0))/(((105/'Rules &amp; Formulas'!B10)*'Rules &amp; Formulas'!B11+IF(AD196&gt;=1,(MAX(1,ROUND('Rules &amp; Formulas'!B18*(1+0.3*AE196)*(1+0.4*AF196),0)))*(1000/'Rules &amp; Formulas'!B19)*MIN(0.95,'Rules &amp; Formulas'!B20*SQRT(1+0.55*(AG196&gt;=1))),0))))&lt;='Rules &amp; Formulas'!B12),"WIN","LOSE"),"")</f>
        <v/>
      </c>
      <c r="Y197" s="7">
        <f>IF(B197="Go AFK",MIN(IF(B197="Go AFK",IF(D197="",0,D197),0),Z196/60),"")</f>
        <v/>
      </c>
      <c r="Z197" s="7">
        <f>('Rules &amp; Formulas'!B13+30*AI197)</f>
        <v/>
      </c>
      <c r="AA197">
        <f>COUNTIFS($B$3:$B197,"Buy upgrade",$C$3:$C197,"Idle Power")</f>
        <v/>
      </c>
      <c r="AB197">
        <f>COUNTIFS($B$3:$B197,"Buy upgrade",$C$3:$C197,"Iron Blade")</f>
        <v/>
      </c>
      <c r="AC197">
        <f>COUNTIFS($B$3:$B197,"Buy upgrade",$C$3:$C197,"Steel Blade")</f>
        <v/>
      </c>
      <c r="AD197">
        <f>COUNTIFS($B$3:$B197,"Hire hunter",$C$3:$C197,"Briar")+COUNTIFS($B$3:$B197,"Buy upgrade",$C$3:$C197,"Hire Briar")</f>
        <v/>
      </c>
      <c r="AE197">
        <f>COUNTIFS($B$3:$B197,"Buy upgrade",$C$3:$C197,"Hunter Power")</f>
        <v/>
      </c>
      <c r="AF197">
        <f>COUNTIFS($B$3:$B197,"Buy upgrade",$C$3:$C197,"Bigger Hits")</f>
        <v/>
      </c>
      <c r="AG197">
        <f>COUNTIFS($B$3:$B197,"Buy upgrade",$C$3:$C197,"Swift Walk")</f>
        <v/>
      </c>
      <c r="AH197">
        <f>COUNTIFS($B$3:$B197,"Buy upgrade",$C$3:$C197,"Loot Luck")</f>
        <v/>
      </c>
      <c r="AI197">
        <f>COUNTIFS($B$3:$B197,"Buy upgrade",$C$3:$C197,"Offline Cap")</f>
        <v/>
      </c>
      <c r="AJ197">
        <f>COUNTIFS($B$3:$B197,"Buy upgrade",$C$3:$C197,"Bigger Food Stock")</f>
        <v/>
      </c>
      <c r="AK197">
        <f>COUNTIFS($B$3:$B197,"Buy upgrade",$C$3:$C197,"Food Efficiency")</f>
        <v/>
      </c>
    </row>
    <row r="198">
      <c r="A198" t="n">
        <v>196</v>
      </c>
      <c r="B198" s="6" t="n"/>
      <c r="C198" s="6" t="n"/>
      <c r="D198" s="6" t="n"/>
      <c r="E198" s="7">
        <f>IF(B198="","",IF(OR(B198="Hunt",B198="Go AFK"),IF(C198="","Can't","OK"),IF(B198="Fight boss",IF(I197&lt;IF((IFERROR(VLOOKUP(C198,Monsters!$T$4:$AH$15,15,FALSE),0))=0,120,IFERROR(VLOOKUP(C198,Monsters!$T$4:$AH$15,15,FALSE),0)),"Can't","OK"),IF(B198="Hire hunter",IF(AND(C198="Briar",AD197&gt;=1),"Can't",IF(H197&lt;IF(C198="Briar",140,IF(C198="Quill",3650,IF(C198="Moss",4850,IF(C198="Ember",12200,0)))),"Can't","OK")),IF(OR(B198="Buy upgrade",B198="Forge/Scrapwork buy"),IF(IFERROR(VLOOKUP(C198,Upgrades!$N$4:$T$47,2,FALSE),0)="points","Can't",IF(IFERROR(VLOOKUP(C198,Upgrades!$N$4:$T$47,2,FALSE),0)="gold",IF(H197&lt;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buy",$C$3:$C197,C198))),1),0),"Can't","OK"),IF(IFERROR(VLOOKUP(C198,Upgrades!$N$4:$T$47,2,FALSE),0)="scraps",IF(J197&lt;IFERROR(FLOOR(IFERROR(VLOOKUP(C198,Upgrades!$N$4:$T$47,3,FALSE),0)*(IFERROR(VLOOKUP(C198,Upgrades!$N$4:$T$47,4,FALSE),0)^(COUNTIFS($B$3:$B197,"Buy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buy",$C$3:$C197,C198))),1),0),"Can't","OK"),IF(IFERROR(VLOOKUP(C198,Upgrades!$N$4:$T$47,2,FALSE),0)="mats","Can't","OK")))),"Check")))))</f>
        <v/>
      </c>
      <c r="F198" s="7">
        <f>IF(B198="","",IF(AND(B198="Fight boss",I197&lt;IF((IFERROR(VLOOKUP(C198,Monsters!$T$4:$AH$15,15,FALSE),0))=0,120,IFERROR(VLOOKUP(C198,Monsters!$T$4:$AH$15,15,FALSE),0))),"Can't — need "&amp;TEXT(IF((IFERROR(VLOOKUP(C198,Monsters!$T$4:$AH$15,15,FALSE),0))=0,120,IFERROR(VLOOKUP(C198,Monsters!$T$4:$AH$15,15,FALSE),0))-I197,"0.0")&amp;" more Slayer points on the meter",IF(AND(B198="Hire hunter",C198="Briar",AD197&gt;=1),"Can't — already hired",IF(AND(B198="Hire hunter",H197&lt;IF(C198="Briar",140,IF(C198="Quill",3650,IF(C198="Moss",4850,IF(C198="Ember",12200,0))))),"Can't — need "&amp;TEXT(IF(C198="Briar",140,IF(C198="Quill",3650,IF(C198="Moss",4850,IF(C198="Ember",12200,0))))-H197,"0")&amp;" more gold",IF(AND(OR(B198="Buy upgrade",B198="Forge/Scrapwork buy"),IFERROR(VLOOKUP(C198,Upgrades!$N$4:$T$47,2,FALSE),0)="points"),"Can't — Sp-wallet spends not tracked here",IF(AND(OR(B198="Buy upgrade",B198="Forge/Scrapwork buy"),IFERROR(VLOOKUP(C198,Upgrades!$N$4:$T$47,2,FALSE),0)="gold",H197&lt;IFERROR(FLOOR(IFERROR(VLOOKUP(C198,Upgrades!$N$4:$T$47,3,FALSE),0)*(IFERROR(VLOOKUP(C198,Upgrades!$N$4:$T$47,4,FALSE),0)^(COUNTIFS($B$3:$B197,"Buy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buy",$C$3:$C197,C198))),1),0)),"Can't — need "&amp;TEXT(IFERROR(FLOOR(IFERROR(VLOOKUP(C198,Upgrades!$N$4:$T$47,3,FALSE),0)*(IFERROR(VLOOKUP(C198,Upgrades!$N$4:$T$47,4,FALSE),0)^(COUNTIFS($B$3:$B197,"Buy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buy",$C$3:$C197,C198))),1),0)-H197,"0")&amp;" more gold",IF(AND(OR(B198="Buy upgrade",B198="Forge/Scrapwork buy"),IFERROR(VLOOKUP(C198,Upgrades!$N$4:$T$47,2,FALSE),0)="scraps",J197&lt;IFERROR(FLOOR(IFERROR(VLOOKUP(C198,Upgrades!$N$4:$T$47,3,FALSE),0)*(IFERROR(VLOOKUP(C198,Upgrades!$N$4:$T$47,4,FALSE),0)^(COUNTIFS($B$3:$B197,"Buy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buy",$C$3:$C197,C198))),1),0)),"Can't — need "&amp;TEXT(IFERROR(FLOOR(IFERROR(VLOOKUP(C198,Upgrades!$N$4:$T$47,3,FALSE),0)*(IFERROR(VLOOKUP(C198,Upgrades!$N$4:$T$47,4,FALSE),0)^(COUNTIFS($B$3:$B197,"Buy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buy",$C$3:$C197,C198))),1),0)-J197,"0")&amp;" more scraps",IF(AND(B198="Fight boss",E198="OK",(IF((((105/'Rules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Formulas'!B12)),"WIN — boss down, next Level unlocks",IF(AND(B198="Fight boss",E198="OK"),"LOSE — TTK "&amp;TEXT(IF((((105/'Rules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Formulas'!B20*SQRT(1+0.55*(AG197&gt;=1))),0)))),"0")&amp;"s &gt; patience "&amp;TEXT('Rules &amp; Formulas'!B12,"0")&amp;"s (leave resets HP)",IF(B198="Go AFK","AFK resolved (see AFK counted h)","Applied")))))))))</f>
        <v/>
      </c>
      <c r="G198" s="7">
        <f>IF(AND((E198="OK"),B198="Fight boss",(IF((((105/'Rules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Formulas'!B12),C198="Elder Thornpelt"),2,IF(AND((E198="OK"),B198="Fight boss",(IF((((105/'Rules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Formulas'!B12),C198="Ashfang Alpha"),3,G197))</f>
        <v/>
      </c>
      <c r="H198" s="7">
        <f>MAX(0,H197+IF(AND((E198="OK"),B198="Hunt"),(IF(B198="Hunt",(('Rules &amp; Formulas'!B4*N197*('Rules &amp; Formulas'!B5+O197)*IFERROR(VLOOKUP(C198,Monsters!$T$4:$AH$15,10,FALSE),0)*IFERROR(VLOOKUP(C198,Monsters!$T$4:$AH$15,9,FALSE),0))*'Rules &amp; Formulas'!B6)*IF(D198="",0,D198),0))*(IFERROR(VLOOKUP(C198,Monsters!$T$4:$AH$15,3,FALSE),0))*(1+0.1*AH197)+(IF(OR(B198&lt;&gt;"Hunt",IFERROR(VLOOKUP(C198,Monsters!$T$4:$AH$15,6,FALSE),0)=0),0,FLOOR((IF(B198="Hunt",(('Rules &amp; Formulas'!B4*N197*('Rules &amp; Formulas'!B5+O197)*IFERROR(VLOOKUP(C198,Monsters!$T$4:$AH$15,10,FALSE),0)*IFERROR(VLOOKUP(C198,Monsters!$T$4:$AH$15,9,FALSE),0))*'Rules &amp; Formulas'!B6)*IF(D198="",0,D198),0))/MAX(1,IFERROR(VLOOKUP(C198,Monsters!$T$4:$AH$15,6,FALSE),0)),1)))*(IFERROR(VLOOKUP(C198,Monsters!$T$4:$AH$15,7,FALSE),0))*0.5*(1+0.1*AH197),0)+IF(AND((E198="OK"),B198="Go AFK"),(IF(B198="Go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AFK",IF(D198="",0,D198),0),Z197/60)*60)),0))*(IFERROR(VLOOKUP(C198,Monsters!$T$4:$AH$15,3,FALSE),0))*(1+0.1*AH197)+(IF(OR(B198&lt;&gt;"Go AFK",IFERROR(VLOOKUP(C198,Monsters!$T$4:$AH$15,6,FALSE),0)=0),0,FLOOR((IF(B198="Go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AFK",IF(D198="",0,D198),0),Z197/60)*60)),0))/MAX(1,IFERROR(VLOOKUP(C198,Monsters!$T$4:$AH$15,6,FALSE),0)),1)))*(IFERROR(VLOOKUP(C198,Monsters!$T$4:$AH$15,7,FALSE),0))*0.5*(1+0.1*AH197),0)+IF(AND((E198="OK"),B198="Fight boss",(IF((((105/'Rules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Formulas'!B12)),IFERROR(VLOOKUP(C198,Monsters!$T$4:$AH$15,3,FALSE),0),0)-IF(AND((E198="OK"),OR(B198="Buy upgrade",B198="Forge/Scrapwork buy"),IFERROR(VLOOKUP(C198,Upgrades!$N$4:$T$47,2,FALSE),0)="gold"),IFERROR(FLOOR(IFERROR(VLOOKUP(C198,Upgrades!$N$4:$T$47,3,FALSE),0)*(IFERROR(VLOOKUP(C198,Upgrades!$N$4:$T$47,4,FALSE),0)^(COUNTIFS($B$3:$B197,"Buy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buy",$C$3:$C197,C198))),1),0),0)-IF(AND((E198="OK"),B198="Hire hunter"),IF(C198="Briar",140,IF(C198="Quill",3650,IF(C198="Moss",4850,IF(C198="Ember",12200,0)))),0))</f>
        <v/>
      </c>
      <c r="I198" s="7">
        <f>IF(AND((E198="OK"),B198="Fight boss",(IF((((105/'Rules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Formulas'!B12)),0,MIN(IF(G197&lt;=1,120,IF(G197=2,280,600)),I197+IF(AND((E198="OK"),B198="Hunt"),((IF(B198="Hunt",(('Rules &amp; Formulas'!B4*N197*('Rules &amp; Formulas'!B5+O197)*IFERROR(VLOOKUP(C198,Monsters!$T$4:$AH$15,10,FALSE),0)*IFERROR(VLOOKUP(C198,Monsters!$T$4:$AH$15,9,FALSE),0))*'Rules &amp; Formulas'!B6)*IF(D198="",0,D198),0))*(IFERROR(VLOOKUP(C198,Monsters!$T$4:$AH$15,4,FALSE),0))+(IF(OR(B198&lt;&gt;"Hunt",IFERROR(VLOOKUP(C198,Monsters!$T$4:$AH$15,6,FALSE),0)=0),0,FLOOR((IF(B198="Hunt",(('Rules &amp; Formulas'!B4*N197*('Rules &amp; Formulas'!B5+O197)*IFERROR(VLOOKUP(C198,Monsters!$T$4:$AH$15,10,FALSE),0)*IFERROR(VLOOKUP(C198,Monsters!$T$4:$AH$15,9,FALSE),0))*'Rules &amp; Formulas'!B6)*IF(D198="",0,D198),0))/MAX(1,IFERROR(VLOOKUP(C198,Monsters!$T$4:$AH$15,6,FALSE),0)),1)))*(IFERROR(VLOOKUP(C198,Monsters!$T$4:$AH$15,7,FALSE),0))),0)+IF(AND((E198="OK"),B198="Go AFK"),((IF(B198="Go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AFK",IF(D198="",0,D198),0),Z197/60)*60)),0))*(IFERROR(VLOOKUP(C198,Monsters!$T$4:$AH$15,4,FALSE),0))+(IF(OR(B198&lt;&gt;"Go AFK",IFERROR(VLOOKUP(C198,Monsters!$T$4:$AH$15,6,FALSE),0)=0),0,FLOOR((IF(B198="Go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AFK",IF(D198="",0,D198),0),Z197/60)*60)),0))/MAX(1,IFERROR(VLOOKUP(C198,Monsters!$T$4:$AH$15,6,FALSE),0)),1)))*(IFERROR(VLOOKUP(C198,Monsters!$T$4:$AH$15,7,FALSE),0))),0)))</f>
        <v/>
      </c>
      <c r="J198" s="7">
        <f>MAX(0,J197+IF(AND((E198="OK"),B198="Hunt"),(IF(B198="Hunt",(('Rules &amp; Formulas'!B4*N197*('Rules &amp; Formulas'!B5+O197)*IFERROR(VLOOKUP(C198,Monsters!$T$4:$AH$15,10,FALSE),0)*IFERROR(VLOOKUP(C198,Monsters!$T$4:$AH$15,9,FALSE),0))*'Rules &amp; Formulas'!B6)*IF(D198="",0,D198),0))*(IFERROR(VLOOKUP(C198,Monsters!$T$4:$AH$15,5,FALSE),0)),0)+IF(AND((E198="OK"),B198="Go AFK"),(IF(B198="Go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AFK",IF(D198="",0,D198),0),Z197/60)*60)),0))*(IFERROR(VLOOKUP(C198,Monsters!$T$4:$AH$15,5,FALSE),0)),0)-IF(AND((E198="OK"),OR(B198="Buy upgrade",B198="Forge/Scrapwork buy"),IFERROR(VLOOKUP(C198,Upgrades!$N$4:$T$47,2,FALSE),0)="scraps"),IFERROR(FLOOR(IFERROR(VLOOKUP(C198,Upgrades!$N$4:$T$47,3,FALSE),0)*(IFERROR(VLOOKUP(C198,Upgrades!$N$4:$T$47,4,FALSE),0)^(COUNTIFS($B$3:$B197,"Buy upgrade",$C$3:$C197,C198)+COUNTIFS($B$3:$B197,"Hire hunter",$C$3:$C197,C198)+COUNTIFS($B$3:$B197,"Forge/Scrapwork buy",$C$3:$C197,C198))),1),0),0))</f>
        <v/>
      </c>
      <c r="K198" s="7">
        <f>MAX(0,K197+IF(AND((E198="OK"),B198="Hunt"),IF(C198="Thornpelt Bear",(IF(B198="Hunt",(('Rules &amp; Formulas'!B4*N197*('Rules &amp; Formulas'!B5+O197)*IFERROR(VLOOKUP(C198,Monsters!$T$4:$AH$15,10,FALSE),0)*IFERROR(VLOOKUP(C198,Monsters!$T$4:$AH$15,9,FALSE),0))*'Rules &amp; Formulas'!B6)*IF(D198="",0,D198),0))*0.12,0),0)+IF(AND((E198="OK"),B198="Go AFK"),IF(C198="Thornpelt Bear",(IF(B198="Go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AFK",IF(D198="",0,D198),0),Z197/60)*60)),0))*0.12,0),0))</f>
        <v/>
      </c>
      <c r="L198" s="7">
        <f>MAX(0,L197+IF(AND((E198="OK"),B198="Hunt"),IF(C198="Dire Thornpelt",(IF(B198="Hunt",(('Rules &amp; Formulas'!B4*N197*('Rules &amp; Formulas'!B5+O197)*IFERROR(VLOOKUP(C198,Monsters!$T$4:$AH$15,10,FALSE),0)*IFERROR(VLOOKUP(C198,Monsters!$T$4:$AH$15,9,FALSE),0))*'Rules &amp; Formulas'!B6)*IF(D198="",0,D198),0))*0.1,0),0)+IF(AND((E198="OK"),B198="Go AFK"),IF(C198="Dire Thornpelt",(IF(B198="Go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AFK",IF(D198="",0,D198),0),Z197/60)*60)),0))*0.1,0),0))</f>
        <v/>
      </c>
      <c r="M198" s="7">
        <f>IF(AND((E198="OK"),B198="Go AFK"),MAX(0,MIN(('Rules &amp; Formulas'!B15+25*AJ197),M197+('Rules &amp; Formulas'!B14+0.4*AJ197)*(MIN(IF(B198="Go AFK",IF(D198="",0,D198),0),Z197/60)*60))-(IF(B198="Go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AFK",IF(D198="",0,D198),0),Z197/60)*60)),0))*(IF((IFERROR(VLOOKUP(C198,Monsters!$T$4:$AH$15,8,FALSE),0))=0,0.35,IFERROR(VLOOKUP(C198,Monsters!$T$4:$AH$15,8,FALSE),0))/(1+0.08*AK197))),MIN(('Rules &amp; Formulas'!B15+25*AJ198),M197))</f>
        <v/>
      </c>
      <c r="N198" s="7">
        <f>(1+0.08+0.12*AA198+0.12*AB198+0.16*AC198)</f>
        <v/>
      </c>
      <c r="O198" s="7">
        <f>((AD198&gt;=1)*1*(1+0.3*AE198))</f>
        <v/>
      </c>
      <c r="P198" s="7">
        <f>IF(OR(B198="Hunt",B198="Go AFK"),(('Rules &amp; Formulas'!B4*N197*('Rules &amp; Formulas'!B5+O197)*IFERROR(VLOOKUP(C198,Monsters!$T$4:$AH$15,10,FALSE),0)*IFERROR(VLOOKUP(C198,Monsters!$T$4:$AH$15,9,FALSE),0))*'Rules &amp; Formulas'!B6),"")</f>
        <v/>
      </c>
      <c r="Q198" s="7">
        <f>IF(OR(B198="Hunt",B198="Go AFK"),('Rules &amp; Formulas'!B4*N197*('Rules &amp; Formulas'!B5+O197)*IFERROR(VLOOKUP(C198,Monsters!$T$4:$AH$15,10,FALSE),0)*IFERROR(VLOOKUP(C198,Monsters!$T$4:$AH$15,9,FALSE),0)),"")</f>
        <v/>
      </c>
      <c r="R198" s="7">
        <f>IF(AND((E198="OK"),B198="Hunt"),IF(B198="Hunt",(('Rules &amp; Formulas'!B4*N197*('Rules &amp; Formulas'!B5+O197)*IFERROR(VLOOKUP(C198,Monsters!$T$4:$AH$15,10,FALSE),0)*IFERROR(VLOOKUP(C198,Monsters!$T$4:$AH$15,9,FALSE),0))*'Rules &amp; Formulas'!B6)*IF(D198="",0,D198),0),IF(AND((E198="OK"),B198="Go AFK"),IF(B198="Go AFK",MIN(IF((IF((IFERROR(VLOOKUP(C198,Monsters!$T$4:$AH$15,8,FALSE),0))=0,0.35,IFERROR(VLOOKUP(C198,Monsters!$T$4:$AH$15,8,FALSE),0))/(1+0.08*AK197))&lt;=0,999999,FLOOR(MIN(('Rules &amp; Formulas'!B15+25*AJ197),M197+('Rules &amp; Formulas'!B14+0.4*AJ197)*(MIN(IF(B198="Go AFK",IF(D198="",0,D198),0),Z197/60)*60))/(IF((IFERROR(VLOOKUP(C198,Monsters!$T$4:$AH$15,8,FALSE),0))=0,0.35,IFERROR(VLOOKUP(C198,Monsters!$T$4:$AH$15,8,FALSE),0))/(1+0.08*AK197)),1)),('Rules &amp; Formulas'!B4*N197*('Rules &amp; Formulas'!B5+O197)*IFERROR(VLOOKUP(C198,Monsters!$T$4:$AH$15,10,FALSE),0)*IFERROR(VLOOKUP(C198,Monsters!$T$4:$AH$15,9,FALSE),0))*(MIN(IF(B198="Go AFK",IF(D198="",0,D198),0),Z197/60)*60)),0),0))</f>
        <v/>
      </c>
      <c r="S198" s="7">
        <f>(105/'Rules &amp; Formulas'!B10)*'Rules &amp; Formulas'!B11</f>
        <v/>
      </c>
      <c r="T198" s="7">
        <f>IF(AD197&gt;=1,(MAX(1,ROUND('Rules &amp; Formulas'!B18*(1+0.3*AE197)*(1+0.4*AF197),0)))*(1000/'Rules &amp; Formulas'!B19)*MIN(0.95,'Rules &amp; Formulas'!B20*SQRT(1+0.55*(AG197&gt;=1))),0)</f>
        <v/>
      </c>
      <c r="U198" s="7">
        <f>S198+T198</f>
        <v/>
      </c>
      <c r="V198" s="7">
        <f>IF(I197&gt;=IF((IFERROR(VLOOKUP(C198,Monsters!$T$4:$AH$15,15,FALSE),0))=0,120,IFERROR(VLOOKUP(C198,Monsters!$T$4:$AH$15,15,FALSE),0)),"YES","no")</f>
        <v/>
      </c>
      <c r="W198" s="7">
        <f>IF(AND(B198="Fight boss",E198="OK"),IF((((105/'Rules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Formulas'!B20*SQRT(1+0.55*(AG197&gt;=1))),0)))),"")</f>
        <v/>
      </c>
      <c r="X198" s="7">
        <f>IF(AND(B198="Fight boss",E198="OK"),IF((IF((((105/'Rules &amp; Formulas'!B10)*'Rules &amp; Formulas'!B11+IF(AD197&gt;=1,(MAX(1,ROUND('Rules &amp; Formulas'!B18*(1+0.3*AE197)*(1+0.4*AF197),0)))*(1000/'Rules &amp; Formulas'!B19)*MIN(0.95,'Rules &amp; Formulas'!B20*SQRT(1+0.55*(AG197&gt;=1))),0)))&lt;=0,9999,(IFERROR(VLOOKUP(C198,Monsters!$T$4:$AH$15,2,FALSE),0))/(((105/'Rules &amp; Formulas'!B10)*'Rules &amp; Formulas'!B11+IF(AD197&gt;=1,(MAX(1,ROUND('Rules &amp; Formulas'!B18*(1+0.3*AE197)*(1+0.4*AF197),0)))*(1000/'Rules &amp; Formulas'!B19)*MIN(0.95,'Rules &amp; Formulas'!B20*SQRT(1+0.55*(AG197&gt;=1))),0))))&lt;='Rules &amp; Formulas'!B12),"WIN","LOSE"),"")</f>
        <v/>
      </c>
      <c r="Y198" s="7">
        <f>IF(B198="Go AFK",MIN(IF(B198="Go AFK",IF(D198="",0,D198),0),Z197/60),"")</f>
        <v/>
      </c>
      <c r="Z198" s="7">
        <f>('Rules &amp; Formulas'!B13+30*AI198)</f>
        <v/>
      </c>
      <c r="AA198">
        <f>COUNTIFS($B$3:$B198,"Buy upgrade",$C$3:$C198,"Idle Power")</f>
        <v/>
      </c>
      <c r="AB198">
        <f>COUNTIFS($B$3:$B198,"Buy upgrade",$C$3:$C198,"Iron Blade")</f>
        <v/>
      </c>
      <c r="AC198">
        <f>COUNTIFS($B$3:$B198,"Buy upgrade",$C$3:$C198,"Steel Blade")</f>
        <v/>
      </c>
      <c r="AD198">
        <f>COUNTIFS($B$3:$B198,"Hire hunter",$C$3:$C198,"Briar")+COUNTIFS($B$3:$B198,"Buy upgrade",$C$3:$C198,"Hire Briar")</f>
        <v/>
      </c>
      <c r="AE198">
        <f>COUNTIFS($B$3:$B198,"Buy upgrade",$C$3:$C198,"Hunter Power")</f>
        <v/>
      </c>
      <c r="AF198">
        <f>COUNTIFS($B$3:$B198,"Buy upgrade",$C$3:$C198,"Bigger Hits")</f>
        <v/>
      </c>
      <c r="AG198">
        <f>COUNTIFS($B$3:$B198,"Buy upgrade",$C$3:$C198,"Swift Walk")</f>
        <v/>
      </c>
      <c r="AH198">
        <f>COUNTIFS($B$3:$B198,"Buy upgrade",$C$3:$C198,"Loot Luck")</f>
        <v/>
      </c>
      <c r="AI198">
        <f>COUNTIFS($B$3:$B198,"Buy upgrade",$C$3:$C198,"Offline Cap")</f>
        <v/>
      </c>
      <c r="AJ198">
        <f>COUNTIFS($B$3:$B198,"Buy upgrade",$C$3:$C198,"Bigger Food Stock")</f>
        <v/>
      </c>
      <c r="AK198">
        <f>COUNTIFS($B$3:$B198,"Buy upgrade",$C$3:$C198,"Food Efficiency")</f>
        <v/>
      </c>
    </row>
    <row r="199">
      <c r="A199" t="n">
        <v>197</v>
      </c>
      <c r="B199" s="6" t="n"/>
      <c r="C199" s="6" t="n"/>
      <c r="D199" s="6" t="n"/>
      <c r="E199" s="7">
        <f>IF(B199="","",IF(OR(B199="Hunt",B199="Go AFK"),IF(C199="","Can't","OK"),IF(B199="Fight boss",IF(I198&lt;IF((IFERROR(VLOOKUP(C199,Monsters!$T$4:$AH$15,15,FALSE),0))=0,120,IFERROR(VLOOKUP(C199,Monsters!$T$4:$AH$15,15,FALSE),0)),"Can't","OK"),IF(B199="Hire hunter",IF(AND(C199="Briar",AD198&gt;=1),"Can't",IF(H198&lt;IF(C199="Briar",140,IF(C199="Quill",3650,IF(C199="Moss",4850,IF(C199="Ember",12200,0)))),"Can't","OK")),IF(OR(B199="Buy upgrade",B199="Forge/Scrapwork buy"),IF(IFERROR(VLOOKUP(C199,Upgrades!$N$4:$T$47,2,FALSE),0)="points","Can't",IF(IFERROR(VLOOKUP(C199,Upgrades!$N$4:$T$47,2,FALSE),0)="gold",IF(H198&lt;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buy",$C$3:$C198,C199))),1),0),"Can't","OK"),IF(IFERROR(VLOOKUP(C199,Upgrades!$N$4:$T$47,2,FALSE),0)="scraps",IF(J198&lt;IFERROR(FLOOR(IFERROR(VLOOKUP(C199,Upgrades!$N$4:$T$47,3,FALSE),0)*(IFERROR(VLOOKUP(C199,Upgrades!$N$4:$T$47,4,FALSE),0)^(COUNTIFS($B$3:$B198,"Buy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buy",$C$3:$C198,C199))),1),0),"Can't","OK"),IF(IFERROR(VLOOKUP(C199,Upgrades!$N$4:$T$47,2,FALSE),0)="mats","Can't","OK")))),"Check")))))</f>
        <v/>
      </c>
      <c r="F199" s="7">
        <f>IF(B199="","",IF(AND(B199="Fight boss",I198&lt;IF((IFERROR(VLOOKUP(C199,Monsters!$T$4:$AH$15,15,FALSE),0))=0,120,IFERROR(VLOOKUP(C199,Monsters!$T$4:$AH$15,15,FALSE),0))),"Can't — need "&amp;TEXT(IF((IFERROR(VLOOKUP(C199,Monsters!$T$4:$AH$15,15,FALSE),0))=0,120,IFERROR(VLOOKUP(C199,Monsters!$T$4:$AH$15,15,FALSE),0))-I198,"0.0")&amp;" more Slayer points on the meter",IF(AND(B199="Hire hunter",C199="Briar",AD198&gt;=1),"Can't — already hired",IF(AND(B199="Hire hunter",H198&lt;IF(C199="Briar",140,IF(C199="Quill",3650,IF(C199="Moss",4850,IF(C199="Ember",12200,0))))),"Can't — need "&amp;TEXT(IF(C199="Briar",140,IF(C199="Quill",3650,IF(C199="Moss",4850,IF(C199="Ember",12200,0))))-H198,"0")&amp;" more gold",IF(AND(OR(B199="Buy upgrade",B199="Forge/Scrapwork buy"),IFERROR(VLOOKUP(C199,Upgrades!$N$4:$T$47,2,FALSE),0)="points"),"Can't — Sp-wallet spends not tracked here",IF(AND(OR(B199="Buy upgrade",B199="Forge/Scrapwork buy"),IFERROR(VLOOKUP(C199,Upgrades!$N$4:$T$47,2,FALSE),0)="gold",H198&lt;IFERROR(FLOOR(IFERROR(VLOOKUP(C199,Upgrades!$N$4:$T$47,3,FALSE),0)*(IFERROR(VLOOKUP(C199,Upgrades!$N$4:$T$47,4,FALSE),0)^(COUNTIFS($B$3:$B198,"Buy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buy",$C$3:$C198,C199))),1),0)),"Can't — need "&amp;TEXT(IFERROR(FLOOR(IFERROR(VLOOKUP(C199,Upgrades!$N$4:$T$47,3,FALSE),0)*(IFERROR(VLOOKUP(C199,Upgrades!$N$4:$T$47,4,FALSE),0)^(COUNTIFS($B$3:$B198,"Buy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buy",$C$3:$C198,C199))),1),0)-H198,"0")&amp;" more gold",IF(AND(OR(B199="Buy upgrade",B199="Forge/Scrapwork buy"),IFERROR(VLOOKUP(C199,Upgrades!$N$4:$T$47,2,FALSE),0)="scraps",J198&lt;IFERROR(FLOOR(IFERROR(VLOOKUP(C199,Upgrades!$N$4:$T$47,3,FALSE),0)*(IFERROR(VLOOKUP(C199,Upgrades!$N$4:$T$47,4,FALSE),0)^(COUNTIFS($B$3:$B198,"Buy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buy",$C$3:$C198,C199))),1),0)),"Can't — need "&amp;TEXT(IFERROR(FLOOR(IFERROR(VLOOKUP(C199,Upgrades!$N$4:$T$47,3,FALSE),0)*(IFERROR(VLOOKUP(C199,Upgrades!$N$4:$T$47,4,FALSE),0)^(COUNTIFS($B$3:$B198,"Buy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buy",$C$3:$C198,C199))),1),0)-J198,"0")&amp;" more scraps",IF(AND(B199="Fight boss",E199="OK",(IF((((105/'Rules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Formulas'!B12)),"WIN — boss down, next Level unlocks",IF(AND(B199="Fight boss",E199="OK"),"LOSE — TTK "&amp;TEXT(IF((((105/'Rules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Formulas'!B20*SQRT(1+0.55*(AG198&gt;=1))),0)))),"0")&amp;"s &gt; patience "&amp;TEXT('Rules &amp; Formulas'!B12,"0")&amp;"s (leave resets HP)",IF(B199="Go AFK","AFK resolved (see AFK counted h)","Applied")))))))))</f>
        <v/>
      </c>
      <c r="G199" s="7">
        <f>IF(AND((E199="OK"),B199="Fight boss",(IF((((105/'Rules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Formulas'!B12),C199="Elder Thornpelt"),2,IF(AND((E199="OK"),B199="Fight boss",(IF((((105/'Rules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Formulas'!B12),C199="Ashfang Alpha"),3,G198))</f>
        <v/>
      </c>
      <c r="H199" s="7">
        <f>MAX(0,H198+IF(AND((E199="OK"),B199="Hunt"),(IF(B199="Hunt",(('Rules &amp; Formulas'!B4*N198*('Rules &amp; Formulas'!B5+O198)*IFERROR(VLOOKUP(C199,Monsters!$T$4:$AH$15,10,FALSE),0)*IFERROR(VLOOKUP(C199,Monsters!$T$4:$AH$15,9,FALSE),0))*'Rules &amp; Formulas'!B6)*IF(D199="",0,D199),0))*(IFERROR(VLOOKUP(C199,Monsters!$T$4:$AH$15,3,FALSE),0))*(1+0.1*AH198)+(IF(OR(B199&lt;&gt;"Hunt",IFERROR(VLOOKUP(C199,Monsters!$T$4:$AH$15,6,FALSE),0)=0),0,FLOOR((IF(B199="Hunt",(('Rules &amp; Formulas'!B4*N198*('Rules &amp; Formulas'!B5+O198)*IFERROR(VLOOKUP(C199,Monsters!$T$4:$AH$15,10,FALSE),0)*IFERROR(VLOOKUP(C199,Monsters!$T$4:$AH$15,9,FALSE),0))*'Rules &amp; Formulas'!B6)*IF(D199="",0,D199),0))/MAX(1,IFERROR(VLOOKUP(C199,Monsters!$T$4:$AH$15,6,FALSE),0)),1)))*(IFERROR(VLOOKUP(C199,Monsters!$T$4:$AH$15,7,FALSE),0))*0.5*(1+0.1*AH198),0)+IF(AND((E199="OK"),B199="Go AFK"),(IF(B199="Go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AFK",IF(D199="",0,D199),0),Z198/60)*60)),0))*(IFERROR(VLOOKUP(C199,Monsters!$T$4:$AH$15,3,FALSE),0))*(1+0.1*AH198)+(IF(OR(B199&lt;&gt;"Go AFK",IFERROR(VLOOKUP(C199,Monsters!$T$4:$AH$15,6,FALSE),0)=0),0,FLOOR((IF(B199="Go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AFK",IF(D199="",0,D199),0),Z198/60)*60)),0))/MAX(1,IFERROR(VLOOKUP(C199,Monsters!$T$4:$AH$15,6,FALSE),0)),1)))*(IFERROR(VLOOKUP(C199,Monsters!$T$4:$AH$15,7,FALSE),0))*0.5*(1+0.1*AH198),0)+IF(AND((E199="OK"),B199="Fight boss",(IF((((105/'Rules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Formulas'!B12)),IFERROR(VLOOKUP(C199,Monsters!$T$4:$AH$15,3,FALSE),0),0)-IF(AND((E199="OK"),OR(B199="Buy upgrade",B199="Forge/Scrapwork buy"),IFERROR(VLOOKUP(C199,Upgrades!$N$4:$T$47,2,FALSE),0)="gold"),IFERROR(FLOOR(IFERROR(VLOOKUP(C199,Upgrades!$N$4:$T$47,3,FALSE),0)*(IFERROR(VLOOKUP(C199,Upgrades!$N$4:$T$47,4,FALSE),0)^(COUNTIFS($B$3:$B198,"Buy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buy",$C$3:$C198,C199))),1),0),0)-IF(AND((E199="OK"),B199="Hire hunter"),IF(C199="Briar",140,IF(C199="Quill",3650,IF(C199="Moss",4850,IF(C199="Ember",12200,0)))),0))</f>
        <v/>
      </c>
      <c r="I199" s="7">
        <f>IF(AND((E199="OK"),B199="Fight boss",(IF((((105/'Rules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Formulas'!B12)),0,MIN(IF(G198&lt;=1,120,IF(G198=2,280,600)),I198+IF(AND((E199="OK"),B199="Hunt"),((IF(B199="Hunt",(('Rules &amp; Formulas'!B4*N198*('Rules &amp; Formulas'!B5+O198)*IFERROR(VLOOKUP(C199,Monsters!$T$4:$AH$15,10,FALSE),0)*IFERROR(VLOOKUP(C199,Monsters!$T$4:$AH$15,9,FALSE),0))*'Rules &amp; Formulas'!B6)*IF(D199="",0,D199),0))*(IFERROR(VLOOKUP(C199,Monsters!$T$4:$AH$15,4,FALSE),0))+(IF(OR(B199&lt;&gt;"Hunt",IFERROR(VLOOKUP(C199,Monsters!$T$4:$AH$15,6,FALSE),0)=0),0,FLOOR((IF(B199="Hunt",(('Rules &amp; Formulas'!B4*N198*('Rules &amp; Formulas'!B5+O198)*IFERROR(VLOOKUP(C199,Monsters!$T$4:$AH$15,10,FALSE),0)*IFERROR(VLOOKUP(C199,Monsters!$T$4:$AH$15,9,FALSE),0))*'Rules &amp; Formulas'!B6)*IF(D199="",0,D199),0))/MAX(1,IFERROR(VLOOKUP(C199,Monsters!$T$4:$AH$15,6,FALSE),0)),1)))*(IFERROR(VLOOKUP(C199,Monsters!$T$4:$AH$15,7,FALSE),0))),0)+IF(AND((E199="OK"),B199="Go AFK"),((IF(B199="Go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AFK",IF(D199="",0,D199),0),Z198/60)*60)),0))*(IFERROR(VLOOKUP(C199,Monsters!$T$4:$AH$15,4,FALSE),0))+(IF(OR(B199&lt;&gt;"Go AFK",IFERROR(VLOOKUP(C199,Monsters!$T$4:$AH$15,6,FALSE),0)=0),0,FLOOR((IF(B199="Go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AFK",IF(D199="",0,D199),0),Z198/60)*60)),0))/MAX(1,IFERROR(VLOOKUP(C199,Monsters!$T$4:$AH$15,6,FALSE),0)),1)))*(IFERROR(VLOOKUP(C199,Monsters!$T$4:$AH$15,7,FALSE),0))),0)))</f>
        <v/>
      </c>
      <c r="J199" s="7">
        <f>MAX(0,J198+IF(AND((E199="OK"),B199="Hunt"),(IF(B199="Hunt",(('Rules &amp; Formulas'!B4*N198*('Rules &amp; Formulas'!B5+O198)*IFERROR(VLOOKUP(C199,Monsters!$T$4:$AH$15,10,FALSE),0)*IFERROR(VLOOKUP(C199,Monsters!$T$4:$AH$15,9,FALSE),0))*'Rules &amp; Formulas'!B6)*IF(D199="",0,D199),0))*(IFERROR(VLOOKUP(C199,Monsters!$T$4:$AH$15,5,FALSE),0)),0)+IF(AND((E199="OK"),B199="Go AFK"),(IF(B199="Go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AFK",IF(D199="",0,D199),0),Z198/60)*60)),0))*(IFERROR(VLOOKUP(C199,Monsters!$T$4:$AH$15,5,FALSE),0)),0)-IF(AND((E199="OK"),OR(B199="Buy upgrade",B199="Forge/Scrapwork buy"),IFERROR(VLOOKUP(C199,Upgrades!$N$4:$T$47,2,FALSE),0)="scraps"),IFERROR(FLOOR(IFERROR(VLOOKUP(C199,Upgrades!$N$4:$T$47,3,FALSE),0)*(IFERROR(VLOOKUP(C199,Upgrades!$N$4:$T$47,4,FALSE),0)^(COUNTIFS($B$3:$B198,"Buy upgrade",$C$3:$C198,C199)+COUNTIFS($B$3:$B198,"Hire hunter",$C$3:$C198,C199)+COUNTIFS($B$3:$B198,"Forge/Scrapwork buy",$C$3:$C198,C199))),1),0),0))</f>
        <v/>
      </c>
      <c r="K199" s="7">
        <f>MAX(0,K198+IF(AND((E199="OK"),B199="Hunt"),IF(C199="Thornpelt Bear",(IF(B199="Hunt",(('Rules &amp; Formulas'!B4*N198*('Rules &amp; Formulas'!B5+O198)*IFERROR(VLOOKUP(C199,Monsters!$T$4:$AH$15,10,FALSE),0)*IFERROR(VLOOKUP(C199,Monsters!$T$4:$AH$15,9,FALSE),0))*'Rules &amp; Formulas'!B6)*IF(D199="",0,D199),0))*0.12,0),0)+IF(AND((E199="OK"),B199="Go AFK"),IF(C199="Thornpelt Bear",(IF(B199="Go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AFK",IF(D199="",0,D199),0),Z198/60)*60)),0))*0.12,0),0))</f>
        <v/>
      </c>
      <c r="L199" s="7">
        <f>MAX(0,L198+IF(AND((E199="OK"),B199="Hunt"),IF(C199="Dire Thornpelt",(IF(B199="Hunt",(('Rules &amp; Formulas'!B4*N198*('Rules &amp; Formulas'!B5+O198)*IFERROR(VLOOKUP(C199,Monsters!$T$4:$AH$15,10,FALSE),0)*IFERROR(VLOOKUP(C199,Monsters!$T$4:$AH$15,9,FALSE),0))*'Rules &amp; Formulas'!B6)*IF(D199="",0,D199),0))*0.1,0),0)+IF(AND((E199="OK"),B199="Go AFK"),IF(C199="Dire Thornpelt",(IF(B199="Go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AFK",IF(D199="",0,D199),0),Z198/60)*60)),0))*0.1,0),0))</f>
        <v/>
      </c>
      <c r="M199" s="7">
        <f>IF(AND((E199="OK"),B199="Go AFK"),MAX(0,MIN(('Rules &amp; Formulas'!B15+25*AJ198),M198+('Rules &amp; Formulas'!B14+0.4*AJ198)*(MIN(IF(B199="Go AFK",IF(D199="",0,D199),0),Z198/60)*60))-(IF(B199="Go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AFK",IF(D199="",0,D199),0),Z198/60)*60)),0))*(IF((IFERROR(VLOOKUP(C199,Monsters!$T$4:$AH$15,8,FALSE),0))=0,0.35,IFERROR(VLOOKUP(C199,Monsters!$T$4:$AH$15,8,FALSE),0))/(1+0.08*AK198))),MIN(('Rules &amp; Formulas'!B15+25*AJ199),M198))</f>
        <v/>
      </c>
      <c r="N199" s="7">
        <f>(1+0.08+0.12*AA199+0.12*AB199+0.16*AC199)</f>
        <v/>
      </c>
      <c r="O199" s="7">
        <f>((AD199&gt;=1)*1*(1+0.3*AE199))</f>
        <v/>
      </c>
      <c r="P199" s="7">
        <f>IF(OR(B199="Hunt",B199="Go AFK"),(('Rules &amp; Formulas'!B4*N198*('Rules &amp; Formulas'!B5+O198)*IFERROR(VLOOKUP(C199,Monsters!$T$4:$AH$15,10,FALSE),0)*IFERROR(VLOOKUP(C199,Monsters!$T$4:$AH$15,9,FALSE),0))*'Rules &amp; Formulas'!B6),"")</f>
        <v/>
      </c>
      <c r="Q199" s="7">
        <f>IF(OR(B199="Hunt",B199="Go AFK"),('Rules &amp; Formulas'!B4*N198*('Rules &amp; Formulas'!B5+O198)*IFERROR(VLOOKUP(C199,Monsters!$T$4:$AH$15,10,FALSE),0)*IFERROR(VLOOKUP(C199,Monsters!$T$4:$AH$15,9,FALSE),0)),"")</f>
        <v/>
      </c>
      <c r="R199" s="7">
        <f>IF(AND((E199="OK"),B199="Hunt"),IF(B199="Hunt",(('Rules &amp; Formulas'!B4*N198*('Rules &amp; Formulas'!B5+O198)*IFERROR(VLOOKUP(C199,Monsters!$T$4:$AH$15,10,FALSE),0)*IFERROR(VLOOKUP(C199,Monsters!$T$4:$AH$15,9,FALSE),0))*'Rules &amp; Formulas'!B6)*IF(D199="",0,D199),0),IF(AND((E199="OK"),B199="Go AFK"),IF(B199="Go AFK",MIN(IF((IF((IFERROR(VLOOKUP(C199,Monsters!$T$4:$AH$15,8,FALSE),0))=0,0.35,IFERROR(VLOOKUP(C199,Monsters!$T$4:$AH$15,8,FALSE),0))/(1+0.08*AK198))&lt;=0,999999,FLOOR(MIN(('Rules &amp; Formulas'!B15+25*AJ198),M198+('Rules &amp; Formulas'!B14+0.4*AJ198)*(MIN(IF(B199="Go AFK",IF(D199="",0,D199),0),Z198/60)*60))/(IF((IFERROR(VLOOKUP(C199,Monsters!$T$4:$AH$15,8,FALSE),0))=0,0.35,IFERROR(VLOOKUP(C199,Monsters!$T$4:$AH$15,8,FALSE),0))/(1+0.08*AK198)),1)),('Rules &amp; Formulas'!B4*N198*('Rules &amp; Formulas'!B5+O198)*IFERROR(VLOOKUP(C199,Monsters!$T$4:$AH$15,10,FALSE),0)*IFERROR(VLOOKUP(C199,Monsters!$T$4:$AH$15,9,FALSE),0))*(MIN(IF(B199="Go AFK",IF(D199="",0,D199),0),Z198/60)*60)),0),0))</f>
        <v/>
      </c>
      <c r="S199" s="7">
        <f>(105/'Rules &amp; Formulas'!B10)*'Rules &amp; Formulas'!B11</f>
        <v/>
      </c>
      <c r="T199" s="7">
        <f>IF(AD198&gt;=1,(MAX(1,ROUND('Rules &amp; Formulas'!B18*(1+0.3*AE198)*(1+0.4*AF198),0)))*(1000/'Rules &amp; Formulas'!B19)*MIN(0.95,'Rules &amp; Formulas'!B20*SQRT(1+0.55*(AG198&gt;=1))),0)</f>
        <v/>
      </c>
      <c r="U199" s="7">
        <f>S199+T199</f>
        <v/>
      </c>
      <c r="V199" s="7">
        <f>IF(I198&gt;=IF((IFERROR(VLOOKUP(C199,Monsters!$T$4:$AH$15,15,FALSE),0))=0,120,IFERROR(VLOOKUP(C199,Monsters!$T$4:$AH$15,15,FALSE),0)),"YES","no")</f>
        <v/>
      </c>
      <c r="W199" s="7">
        <f>IF(AND(B199="Fight boss",E199="OK"),IF((((105/'Rules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Formulas'!B20*SQRT(1+0.55*(AG198&gt;=1))),0)))),"")</f>
        <v/>
      </c>
      <c r="X199" s="7">
        <f>IF(AND(B199="Fight boss",E199="OK"),IF((IF((((105/'Rules &amp; Formulas'!B10)*'Rules &amp; Formulas'!B11+IF(AD198&gt;=1,(MAX(1,ROUND('Rules &amp; Formulas'!B18*(1+0.3*AE198)*(1+0.4*AF198),0)))*(1000/'Rules &amp; Formulas'!B19)*MIN(0.95,'Rules &amp; Formulas'!B20*SQRT(1+0.55*(AG198&gt;=1))),0)))&lt;=0,9999,(IFERROR(VLOOKUP(C199,Monsters!$T$4:$AH$15,2,FALSE),0))/(((105/'Rules &amp; Formulas'!B10)*'Rules &amp; Formulas'!B11+IF(AD198&gt;=1,(MAX(1,ROUND('Rules &amp; Formulas'!B18*(1+0.3*AE198)*(1+0.4*AF198),0)))*(1000/'Rules &amp; Formulas'!B19)*MIN(0.95,'Rules &amp; Formulas'!B20*SQRT(1+0.55*(AG198&gt;=1))),0))))&lt;='Rules &amp; Formulas'!B12),"WIN","LOSE"),"")</f>
        <v/>
      </c>
      <c r="Y199" s="7">
        <f>IF(B199="Go AFK",MIN(IF(B199="Go AFK",IF(D199="",0,D199),0),Z198/60),"")</f>
        <v/>
      </c>
      <c r="Z199" s="7">
        <f>('Rules &amp; Formulas'!B13+30*AI199)</f>
        <v/>
      </c>
      <c r="AA199">
        <f>COUNTIFS($B$3:$B199,"Buy upgrade",$C$3:$C199,"Idle Power")</f>
        <v/>
      </c>
      <c r="AB199">
        <f>COUNTIFS($B$3:$B199,"Buy upgrade",$C$3:$C199,"Iron Blade")</f>
        <v/>
      </c>
      <c r="AC199">
        <f>COUNTIFS($B$3:$B199,"Buy upgrade",$C$3:$C199,"Steel Blade")</f>
        <v/>
      </c>
      <c r="AD199">
        <f>COUNTIFS($B$3:$B199,"Hire hunter",$C$3:$C199,"Briar")+COUNTIFS($B$3:$B199,"Buy upgrade",$C$3:$C199,"Hire Briar")</f>
        <v/>
      </c>
      <c r="AE199">
        <f>COUNTIFS($B$3:$B199,"Buy upgrade",$C$3:$C199,"Hunter Power")</f>
        <v/>
      </c>
      <c r="AF199">
        <f>COUNTIFS($B$3:$B199,"Buy upgrade",$C$3:$C199,"Bigger Hits")</f>
        <v/>
      </c>
      <c r="AG199">
        <f>COUNTIFS($B$3:$B199,"Buy upgrade",$C$3:$C199,"Swift Walk")</f>
        <v/>
      </c>
      <c r="AH199">
        <f>COUNTIFS($B$3:$B199,"Buy upgrade",$C$3:$C199,"Loot Luck")</f>
        <v/>
      </c>
      <c r="AI199">
        <f>COUNTIFS($B$3:$B199,"Buy upgrade",$C$3:$C199,"Offline Cap")</f>
        <v/>
      </c>
      <c r="AJ199">
        <f>COUNTIFS($B$3:$B199,"Buy upgrade",$C$3:$C199,"Bigger Food Stock")</f>
        <v/>
      </c>
      <c r="AK199">
        <f>COUNTIFS($B$3:$B199,"Buy upgrade",$C$3:$C199,"Food Efficiency")</f>
        <v/>
      </c>
    </row>
    <row r="200">
      <c r="A200" t="n">
        <v>198</v>
      </c>
      <c r="B200" s="6" t="n"/>
      <c r="C200" s="6" t="n"/>
      <c r="D200" s="6" t="n"/>
      <c r="E200" s="7">
        <f>IF(B200="","",IF(OR(B200="Hunt",B200="Go AFK"),IF(C200="","Can't","OK"),IF(B200="Fight boss",IF(I199&lt;IF((IFERROR(VLOOKUP(C200,Monsters!$T$4:$AH$15,15,FALSE),0))=0,120,IFERROR(VLOOKUP(C200,Monsters!$T$4:$AH$15,15,FALSE),0)),"Can't","OK"),IF(B200="Hire hunter",IF(AND(C200="Briar",AD199&gt;=1),"Can't",IF(H199&lt;IF(C200="Briar",140,IF(C200="Quill",3650,IF(C200="Moss",4850,IF(C200="Ember",12200,0)))),"Can't","OK")),IF(OR(B200="Buy upgrade",B200="Forge/Scrapwork buy"),IF(IFERROR(VLOOKUP(C200,Upgrades!$N$4:$T$47,2,FALSE),0)="points","Can't",IF(IFERROR(VLOOKUP(C200,Upgrades!$N$4:$T$47,2,FALSE),0)="gold",IF(H199&lt;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buy",$C$3:$C199,C200))),1),0),"Can't","OK"),IF(IFERROR(VLOOKUP(C200,Upgrades!$N$4:$T$47,2,FALSE),0)="scraps",IF(J199&lt;IFERROR(FLOOR(IFERROR(VLOOKUP(C200,Upgrades!$N$4:$T$47,3,FALSE),0)*(IFERROR(VLOOKUP(C200,Upgrades!$N$4:$T$47,4,FALSE),0)^(COUNTIFS($B$3:$B199,"Buy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buy",$C$3:$C199,C200))),1),0),"Can't","OK"),IF(IFERROR(VLOOKUP(C200,Upgrades!$N$4:$T$47,2,FALSE),0)="mats","Can't","OK")))),"Check")))))</f>
        <v/>
      </c>
      <c r="F200" s="7">
        <f>IF(B200="","",IF(AND(B200="Fight boss",I199&lt;IF((IFERROR(VLOOKUP(C200,Monsters!$T$4:$AH$15,15,FALSE),0))=0,120,IFERROR(VLOOKUP(C200,Monsters!$T$4:$AH$15,15,FALSE),0))),"Can't — need "&amp;TEXT(IF((IFERROR(VLOOKUP(C200,Monsters!$T$4:$AH$15,15,FALSE),0))=0,120,IFERROR(VLOOKUP(C200,Monsters!$T$4:$AH$15,15,FALSE),0))-I199,"0.0")&amp;" more Slayer points on the meter",IF(AND(B200="Hire hunter",C200="Briar",AD199&gt;=1),"Can't — already hired",IF(AND(B200="Hire hunter",H199&lt;IF(C200="Briar",140,IF(C200="Quill",3650,IF(C200="Moss",4850,IF(C200="Ember",12200,0))))),"Can't — need "&amp;TEXT(IF(C200="Briar",140,IF(C200="Quill",3650,IF(C200="Moss",4850,IF(C200="Ember",12200,0))))-H199,"0")&amp;" more gold",IF(AND(OR(B200="Buy upgrade",B200="Forge/Scrapwork buy"),IFERROR(VLOOKUP(C200,Upgrades!$N$4:$T$47,2,FALSE),0)="points"),"Can't — Sp-wallet spends not tracked here",IF(AND(OR(B200="Buy upgrade",B200="Forge/Scrapwork buy"),IFERROR(VLOOKUP(C200,Upgrades!$N$4:$T$47,2,FALSE),0)="gold",H199&lt;IFERROR(FLOOR(IFERROR(VLOOKUP(C200,Upgrades!$N$4:$T$47,3,FALSE),0)*(IFERROR(VLOOKUP(C200,Upgrades!$N$4:$T$47,4,FALSE),0)^(COUNTIFS($B$3:$B199,"Buy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buy",$C$3:$C199,C200))),1),0)),"Can't — need "&amp;TEXT(IFERROR(FLOOR(IFERROR(VLOOKUP(C200,Upgrades!$N$4:$T$47,3,FALSE),0)*(IFERROR(VLOOKUP(C200,Upgrades!$N$4:$T$47,4,FALSE),0)^(COUNTIFS($B$3:$B199,"Buy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buy",$C$3:$C199,C200))),1),0)-H199,"0")&amp;" more gold",IF(AND(OR(B200="Buy upgrade",B200="Forge/Scrapwork buy"),IFERROR(VLOOKUP(C200,Upgrades!$N$4:$T$47,2,FALSE),0)="scraps",J199&lt;IFERROR(FLOOR(IFERROR(VLOOKUP(C200,Upgrades!$N$4:$T$47,3,FALSE),0)*(IFERROR(VLOOKUP(C200,Upgrades!$N$4:$T$47,4,FALSE),0)^(COUNTIFS($B$3:$B199,"Buy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buy",$C$3:$C199,C200))),1),0)),"Can't — need "&amp;TEXT(IFERROR(FLOOR(IFERROR(VLOOKUP(C200,Upgrades!$N$4:$T$47,3,FALSE),0)*(IFERROR(VLOOKUP(C200,Upgrades!$N$4:$T$47,4,FALSE),0)^(COUNTIFS($B$3:$B199,"Buy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buy",$C$3:$C199,C200))),1),0)-J199,"0")&amp;" more scraps",IF(AND(B200="Fight boss",E200="OK",(IF((((105/'Rules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Formulas'!B12)),"WIN — boss down, next Level unlocks",IF(AND(B200="Fight boss",E200="OK"),"LOSE — TTK "&amp;TEXT(IF((((105/'Rules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Formulas'!B20*SQRT(1+0.55*(AG199&gt;=1))),0)))),"0")&amp;"s &gt; patience "&amp;TEXT('Rules &amp; Formulas'!B12,"0")&amp;"s (leave resets HP)",IF(B200="Go AFK","AFK resolved (see AFK counted h)","Applied")))))))))</f>
        <v/>
      </c>
      <c r="G200" s="7">
        <f>IF(AND((E200="OK"),B200="Fight boss",(IF((((105/'Rules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Formulas'!B12),C200="Elder Thornpelt"),2,IF(AND((E200="OK"),B200="Fight boss",(IF((((105/'Rules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Formulas'!B12),C200="Ashfang Alpha"),3,G199))</f>
        <v/>
      </c>
      <c r="H200" s="7">
        <f>MAX(0,H199+IF(AND((E200="OK"),B200="Hunt"),(IF(B200="Hunt",(('Rules &amp; Formulas'!B4*N199*('Rules &amp; Formulas'!B5+O199)*IFERROR(VLOOKUP(C200,Monsters!$T$4:$AH$15,10,FALSE),0)*IFERROR(VLOOKUP(C200,Monsters!$T$4:$AH$15,9,FALSE),0))*'Rules &amp; Formulas'!B6)*IF(D200="",0,D200),0))*(IFERROR(VLOOKUP(C200,Monsters!$T$4:$AH$15,3,FALSE),0))*(1+0.1*AH199)+(IF(OR(B200&lt;&gt;"Hunt",IFERROR(VLOOKUP(C200,Monsters!$T$4:$AH$15,6,FALSE),0)=0),0,FLOOR((IF(B200="Hunt",(('Rules &amp; Formulas'!B4*N199*('Rules &amp; Formulas'!B5+O199)*IFERROR(VLOOKUP(C200,Monsters!$T$4:$AH$15,10,FALSE),0)*IFERROR(VLOOKUP(C200,Monsters!$T$4:$AH$15,9,FALSE),0))*'Rules &amp; Formulas'!B6)*IF(D200="",0,D200),0))/MAX(1,IFERROR(VLOOKUP(C200,Monsters!$T$4:$AH$15,6,FALSE),0)),1)))*(IFERROR(VLOOKUP(C200,Monsters!$T$4:$AH$15,7,FALSE),0))*0.5*(1+0.1*AH199),0)+IF(AND((E200="OK"),B200="Go AFK"),(IF(B200="Go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AFK",IF(D200="",0,D200),0),Z199/60)*60)),0))*(IFERROR(VLOOKUP(C200,Monsters!$T$4:$AH$15,3,FALSE),0))*(1+0.1*AH199)+(IF(OR(B200&lt;&gt;"Go AFK",IFERROR(VLOOKUP(C200,Monsters!$T$4:$AH$15,6,FALSE),0)=0),0,FLOOR((IF(B200="Go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AFK",IF(D200="",0,D200),0),Z199/60)*60)),0))/MAX(1,IFERROR(VLOOKUP(C200,Monsters!$T$4:$AH$15,6,FALSE),0)),1)))*(IFERROR(VLOOKUP(C200,Monsters!$T$4:$AH$15,7,FALSE),0))*0.5*(1+0.1*AH199),0)+IF(AND((E200="OK"),B200="Fight boss",(IF((((105/'Rules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Formulas'!B12)),IFERROR(VLOOKUP(C200,Monsters!$T$4:$AH$15,3,FALSE),0),0)-IF(AND((E200="OK"),OR(B200="Buy upgrade",B200="Forge/Scrapwork buy"),IFERROR(VLOOKUP(C200,Upgrades!$N$4:$T$47,2,FALSE),0)="gold"),IFERROR(FLOOR(IFERROR(VLOOKUP(C200,Upgrades!$N$4:$T$47,3,FALSE),0)*(IFERROR(VLOOKUP(C200,Upgrades!$N$4:$T$47,4,FALSE),0)^(COUNTIFS($B$3:$B199,"Buy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buy",$C$3:$C199,C200))),1),0),0)-IF(AND((E200="OK"),B200="Hire hunter"),IF(C200="Briar",140,IF(C200="Quill",3650,IF(C200="Moss",4850,IF(C200="Ember",12200,0)))),0))</f>
        <v/>
      </c>
      <c r="I200" s="7">
        <f>IF(AND((E200="OK"),B200="Fight boss",(IF((((105/'Rules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Formulas'!B12)),0,MIN(IF(G199&lt;=1,120,IF(G199=2,280,600)),I199+IF(AND((E200="OK"),B200="Hunt"),((IF(B200="Hunt",(('Rules &amp; Formulas'!B4*N199*('Rules &amp; Formulas'!B5+O199)*IFERROR(VLOOKUP(C200,Monsters!$T$4:$AH$15,10,FALSE),0)*IFERROR(VLOOKUP(C200,Monsters!$T$4:$AH$15,9,FALSE),0))*'Rules &amp; Formulas'!B6)*IF(D200="",0,D200),0))*(IFERROR(VLOOKUP(C200,Monsters!$T$4:$AH$15,4,FALSE),0))+(IF(OR(B200&lt;&gt;"Hunt",IFERROR(VLOOKUP(C200,Monsters!$T$4:$AH$15,6,FALSE),0)=0),0,FLOOR((IF(B200="Hunt",(('Rules &amp; Formulas'!B4*N199*('Rules &amp; Formulas'!B5+O199)*IFERROR(VLOOKUP(C200,Monsters!$T$4:$AH$15,10,FALSE),0)*IFERROR(VLOOKUP(C200,Monsters!$T$4:$AH$15,9,FALSE),0))*'Rules &amp; Formulas'!B6)*IF(D200="",0,D200),0))/MAX(1,IFERROR(VLOOKUP(C200,Monsters!$T$4:$AH$15,6,FALSE),0)),1)))*(IFERROR(VLOOKUP(C200,Monsters!$T$4:$AH$15,7,FALSE),0))),0)+IF(AND((E200="OK"),B200="Go AFK"),((IF(B200="Go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AFK",IF(D200="",0,D200),0),Z199/60)*60)),0))*(IFERROR(VLOOKUP(C200,Monsters!$T$4:$AH$15,4,FALSE),0))+(IF(OR(B200&lt;&gt;"Go AFK",IFERROR(VLOOKUP(C200,Monsters!$T$4:$AH$15,6,FALSE),0)=0),0,FLOOR((IF(B200="Go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AFK",IF(D200="",0,D200),0),Z199/60)*60)),0))/MAX(1,IFERROR(VLOOKUP(C200,Monsters!$T$4:$AH$15,6,FALSE),0)),1)))*(IFERROR(VLOOKUP(C200,Monsters!$T$4:$AH$15,7,FALSE),0))),0)))</f>
        <v/>
      </c>
      <c r="J200" s="7">
        <f>MAX(0,J199+IF(AND((E200="OK"),B200="Hunt"),(IF(B200="Hunt",(('Rules &amp; Formulas'!B4*N199*('Rules &amp; Formulas'!B5+O199)*IFERROR(VLOOKUP(C200,Monsters!$T$4:$AH$15,10,FALSE),0)*IFERROR(VLOOKUP(C200,Monsters!$T$4:$AH$15,9,FALSE),0))*'Rules &amp; Formulas'!B6)*IF(D200="",0,D200),0))*(IFERROR(VLOOKUP(C200,Monsters!$T$4:$AH$15,5,FALSE),0)),0)+IF(AND((E200="OK"),B200="Go AFK"),(IF(B200="Go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AFK",IF(D200="",0,D200),0),Z199/60)*60)),0))*(IFERROR(VLOOKUP(C200,Monsters!$T$4:$AH$15,5,FALSE),0)),0)-IF(AND((E200="OK"),OR(B200="Buy upgrade",B200="Forge/Scrapwork buy"),IFERROR(VLOOKUP(C200,Upgrades!$N$4:$T$47,2,FALSE),0)="scraps"),IFERROR(FLOOR(IFERROR(VLOOKUP(C200,Upgrades!$N$4:$T$47,3,FALSE),0)*(IFERROR(VLOOKUP(C200,Upgrades!$N$4:$T$47,4,FALSE),0)^(COUNTIFS($B$3:$B199,"Buy upgrade",$C$3:$C199,C200)+COUNTIFS($B$3:$B199,"Hire hunter",$C$3:$C199,C200)+COUNTIFS($B$3:$B199,"Forge/Scrapwork buy",$C$3:$C199,C200))),1),0),0))</f>
        <v/>
      </c>
      <c r="K200" s="7">
        <f>MAX(0,K199+IF(AND((E200="OK"),B200="Hunt"),IF(C200="Thornpelt Bear",(IF(B200="Hunt",(('Rules &amp; Formulas'!B4*N199*('Rules &amp; Formulas'!B5+O199)*IFERROR(VLOOKUP(C200,Monsters!$T$4:$AH$15,10,FALSE),0)*IFERROR(VLOOKUP(C200,Monsters!$T$4:$AH$15,9,FALSE),0))*'Rules &amp; Formulas'!B6)*IF(D200="",0,D200),0))*0.12,0),0)+IF(AND((E200="OK"),B200="Go AFK"),IF(C200="Thornpelt Bear",(IF(B200="Go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AFK",IF(D200="",0,D200),0),Z199/60)*60)),0))*0.12,0),0))</f>
        <v/>
      </c>
      <c r="L200" s="7">
        <f>MAX(0,L199+IF(AND((E200="OK"),B200="Hunt"),IF(C200="Dire Thornpelt",(IF(B200="Hunt",(('Rules &amp; Formulas'!B4*N199*('Rules &amp; Formulas'!B5+O199)*IFERROR(VLOOKUP(C200,Monsters!$T$4:$AH$15,10,FALSE),0)*IFERROR(VLOOKUP(C200,Monsters!$T$4:$AH$15,9,FALSE),0))*'Rules &amp; Formulas'!B6)*IF(D200="",0,D200),0))*0.1,0),0)+IF(AND((E200="OK"),B200="Go AFK"),IF(C200="Dire Thornpelt",(IF(B200="Go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AFK",IF(D200="",0,D200),0),Z199/60)*60)),0))*0.1,0),0))</f>
        <v/>
      </c>
      <c r="M200" s="7">
        <f>IF(AND((E200="OK"),B200="Go AFK"),MAX(0,MIN(('Rules &amp; Formulas'!B15+25*AJ199),M199+('Rules &amp; Formulas'!B14+0.4*AJ199)*(MIN(IF(B200="Go AFK",IF(D200="",0,D200),0),Z199/60)*60))-(IF(B200="Go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AFK",IF(D200="",0,D200),0),Z199/60)*60)),0))*(IF((IFERROR(VLOOKUP(C200,Monsters!$T$4:$AH$15,8,FALSE),0))=0,0.35,IFERROR(VLOOKUP(C200,Monsters!$T$4:$AH$15,8,FALSE),0))/(1+0.08*AK199))),MIN(('Rules &amp; Formulas'!B15+25*AJ200),M199))</f>
        <v/>
      </c>
      <c r="N200" s="7">
        <f>(1+0.08+0.12*AA200+0.12*AB200+0.16*AC200)</f>
        <v/>
      </c>
      <c r="O200" s="7">
        <f>((AD200&gt;=1)*1*(1+0.3*AE200))</f>
        <v/>
      </c>
      <c r="P200" s="7">
        <f>IF(OR(B200="Hunt",B200="Go AFK"),(('Rules &amp; Formulas'!B4*N199*('Rules &amp; Formulas'!B5+O199)*IFERROR(VLOOKUP(C200,Monsters!$T$4:$AH$15,10,FALSE),0)*IFERROR(VLOOKUP(C200,Monsters!$T$4:$AH$15,9,FALSE),0))*'Rules &amp; Formulas'!B6),"")</f>
        <v/>
      </c>
      <c r="Q200" s="7">
        <f>IF(OR(B200="Hunt",B200="Go AFK"),('Rules &amp; Formulas'!B4*N199*('Rules &amp; Formulas'!B5+O199)*IFERROR(VLOOKUP(C200,Monsters!$T$4:$AH$15,10,FALSE),0)*IFERROR(VLOOKUP(C200,Monsters!$T$4:$AH$15,9,FALSE),0)),"")</f>
        <v/>
      </c>
      <c r="R200" s="7">
        <f>IF(AND((E200="OK"),B200="Hunt"),IF(B200="Hunt",(('Rules &amp; Formulas'!B4*N199*('Rules &amp; Formulas'!B5+O199)*IFERROR(VLOOKUP(C200,Monsters!$T$4:$AH$15,10,FALSE),0)*IFERROR(VLOOKUP(C200,Monsters!$T$4:$AH$15,9,FALSE),0))*'Rules &amp; Formulas'!B6)*IF(D200="",0,D200),0),IF(AND((E200="OK"),B200="Go AFK"),IF(B200="Go AFK",MIN(IF((IF((IFERROR(VLOOKUP(C200,Monsters!$T$4:$AH$15,8,FALSE),0))=0,0.35,IFERROR(VLOOKUP(C200,Monsters!$T$4:$AH$15,8,FALSE),0))/(1+0.08*AK199))&lt;=0,999999,FLOOR(MIN(('Rules &amp; Formulas'!B15+25*AJ199),M199+('Rules &amp; Formulas'!B14+0.4*AJ199)*(MIN(IF(B200="Go AFK",IF(D200="",0,D200),0),Z199/60)*60))/(IF((IFERROR(VLOOKUP(C200,Monsters!$T$4:$AH$15,8,FALSE),0))=0,0.35,IFERROR(VLOOKUP(C200,Monsters!$T$4:$AH$15,8,FALSE),0))/(1+0.08*AK199)),1)),('Rules &amp; Formulas'!B4*N199*('Rules &amp; Formulas'!B5+O199)*IFERROR(VLOOKUP(C200,Monsters!$T$4:$AH$15,10,FALSE),0)*IFERROR(VLOOKUP(C200,Monsters!$T$4:$AH$15,9,FALSE),0))*(MIN(IF(B200="Go AFK",IF(D200="",0,D200),0),Z199/60)*60)),0),0))</f>
        <v/>
      </c>
      <c r="S200" s="7">
        <f>(105/'Rules &amp; Formulas'!B10)*'Rules &amp; Formulas'!B11</f>
        <v/>
      </c>
      <c r="T200" s="7">
        <f>IF(AD199&gt;=1,(MAX(1,ROUND('Rules &amp; Formulas'!B18*(1+0.3*AE199)*(1+0.4*AF199),0)))*(1000/'Rules &amp; Formulas'!B19)*MIN(0.95,'Rules &amp; Formulas'!B20*SQRT(1+0.55*(AG199&gt;=1))),0)</f>
        <v/>
      </c>
      <c r="U200" s="7">
        <f>S200+T200</f>
        <v/>
      </c>
      <c r="V200" s="7">
        <f>IF(I199&gt;=IF((IFERROR(VLOOKUP(C200,Monsters!$T$4:$AH$15,15,FALSE),0))=0,120,IFERROR(VLOOKUP(C200,Monsters!$T$4:$AH$15,15,FALSE),0)),"YES","no")</f>
        <v/>
      </c>
      <c r="W200" s="7">
        <f>IF(AND(B200="Fight boss",E200="OK"),IF((((105/'Rules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Formulas'!B20*SQRT(1+0.55*(AG199&gt;=1))),0)))),"")</f>
        <v/>
      </c>
      <c r="X200" s="7">
        <f>IF(AND(B200="Fight boss",E200="OK"),IF((IF((((105/'Rules &amp; Formulas'!B10)*'Rules &amp; Formulas'!B11+IF(AD199&gt;=1,(MAX(1,ROUND('Rules &amp; Formulas'!B18*(1+0.3*AE199)*(1+0.4*AF199),0)))*(1000/'Rules &amp; Formulas'!B19)*MIN(0.95,'Rules &amp; Formulas'!B20*SQRT(1+0.55*(AG199&gt;=1))),0)))&lt;=0,9999,(IFERROR(VLOOKUP(C200,Monsters!$T$4:$AH$15,2,FALSE),0))/(((105/'Rules &amp; Formulas'!B10)*'Rules &amp; Formulas'!B11+IF(AD199&gt;=1,(MAX(1,ROUND('Rules &amp; Formulas'!B18*(1+0.3*AE199)*(1+0.4*AF199),0)))*(1000/'Rules &amp; Formulas'!B19)*MIN(0.95,'Rules &amp; Formulas'!B20*SQRT(1+0.55*(AG199&gt;=1))),0))))&lt;='Rules &amp; Formulas'!B12),"WIN","LOSE"),"")</f>
        <v/>
      </c>
      <c r="Y200" s="7">
        <f>IF(B200="Go AFK",MIN(IF(B200="Go AFK",IF(D200="",0,D200),0),Z199/60),"")</f>
        <v/>
      </c>
      <c r="Z200" s="7">
        <f>('Rules &amp; Formulas'!B13+30*AI200)</f>
        <v/>
      </c>
      <c r="AA200">
        <f>COUNTIFS($B$3:$B200,"Buy upgrade",$C$3:$C200,"Idle Power")</f>
        <v/>
      </c>
      <c r="AB200">
        <f>COUNTIFS($B$3:$B200,"Buy upgrade",$C$3:$C200,"Iron Blade")</f>
        <v/>
      </c>
      <c r="AC200">
        <f>COUNTIFS($B$3:$B200,"Buy upgrade",$C$3:$C200,"Steel Blade")</f>
        <v/>
      </c>
      <c r="AD200">
        <f>COUNTIFS($B$3:$B200,"Hire hunter",$C$3:$C200,"Briar")+COUNTIFS($B$3:$B200,"Buy upgrade",$C$3:$C200,"Hire Briar")</f>
        <v/>
      </c>
      <c r="AE200">
        <f>COUNTIFS($B$3:$B200,"Buy upgrade",$C$3:$C200,"Hunter Power")</f>
        <v/>
      </c>
      <c r="AF200">
        <f>COUNTIFS($B$3:$B200,"Buy upgrade",$C$3:$C200,"Bigger Hits")</f>
        <v/>
      </c>
      <c r="AG200">
        <f>COUNTIFS($B$3:$B200,"Buy upgrade",$C$3:$C200,"Swift Walk")</f>
        <v/>
      </c>
      <c r="AH200">
        <f>COUNTIFS($B$3:$B200,"Buy upgrade",$C$3:$C200,"Loot Luck")</f>
        <v/>
      </c>
      <c r="AI200">
        <f>COUNTIFS($B$3:$B200,"Buy upgrade",$C$3:$C200,"Offline Cap")</f>
        <v/>
      </c>
      <c r="AJ200">
        <f>COUNTIFS($B$3:$B200,"Buy upgrade",$C$3:$C200,"Bigger Food Stock")</f>
        <v/>
      </c>
      <c r="AK200">
        <f>COUNTIFS($B$3:$B200,"Buy upgrade",$C$3:$C200,"Food Efficiency")</f>
        <v/>
      </c>
    </row>
    <row r="201">
      <c r="A201" t="n">
        <v>199</v>
      </c>
      <c r="B201" s="6" t="n"/>
      <c r="C201" s="6" t="n"/>
      <c r="D201" s="6" t="n"/>
      <c r="E201" s="7">
        <f>IF(B201="","",IF(OR(B201="Hunt",B201="Go AFK"),IF(C201="","Can't","OK"),IF(B201="Fight boss",IF(I200&lt;IF((IFERROR(VLOOKUP(C201,Monsters!$T$4:$AH$15,15,FALSE),0))=0,120,IFERROR(VLOOKUP(C201,Monsters!$T$4:$AH$15,15,FALSE),0)),"Can't","OK"),IF(B201="Hire hunter",IF(AND(C201="Briar",AD200&gt;=1),"Can't",IF(H200&lt;IF(C201="Briar",140,IF(C201="Quill",3650,IF(C201="Moss",4850,IF(C201="Ember",12200,0)))),"Can't","OK")),IF(OR(B201="Buy upgrade",B201="Forge/Scrapwork buy"),IF(IFERROR(VLOOKUP(C201,Upgrades!$N$4:$T$47,2,FALSE),0)="points","Can't",IF(IFERROR(VLOOKUP(C201,Upgrades!$N$4:$T$47,2,FALSE),0)="gold",IF(H200&lt;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buy",$C$3:$C200,C201))),1),0),"Can't","OK"),IF(IFERROR(VLOOKUP(C201,Upgrades!$N$4:$T$47,2,FALSE),0)="scraps",IF(J200&lt;IFERROR(FLOOR(IFERROR(VLOOKUP(C201,Upgrades!$N$4:$T$47,3,FALSE),0)*(IFERROR(VLOOKUP(C201,Upgrades!$N$4:$T$47,4,FALSE),0)^(COUNTIFS($B$3:$B200,"Buy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buy",$C$3:$C200,C201))),1),0),"Can't","OK"),IF(IFERROR(VLOOKUP(C201,Upgrades!$N$4:$T$47,2,FALSE),0)="mats","Can't","OK")))),"Check")))))</f>
        <v/>
      </c>
      <c r="F201" s="7">
        <f>IF(B201="","",IF(AND(B201="Fight boss",I200&lt;IF((IFERROR(VLOOKUP(C201,Monsters!$T$4:$AH$15,15,FALSE),0))=0,120,IFERROR(VLOOKUP(C201,Monsters!$T$4:$AH$15,15,FALSE),0))),"Can't — need "&amp;TEXT(IF((IFERROR(VLOOKUP(C201,Monsters!$T$4:$AH$15,15,FALSE),0))=0,120,IFERROR(VLOOKUP(C201,Monsters!$T$4:$AH$15,15,FALSE),0))-I200,"0.0")&amp;" more Slayer points on the meter",IF(AND(B201="Hire hunter",C201="Briar",AD200&gt;=1),"Can't — already hired",IF(AND(B201="Hire hunter",H200&lt;IF(C201="Briar",140,IF(C201="Quill",3650,IF(C201="Moss",4850,IF(C201="Ember",12200,0))))),"Can't — need "&amp;TEXT(IF(C201="Briar",140,IF(C201="Quill",3650,IF(C201="Moss",4850,IF(C201="Ember",12200,0))))-H200,"0")&amp;" more gold",IF(AND(OR(B201="Buy upgrade",B201="Forge/Scrapwork buy"),IFERROR(VLOOKUP(C201,Upgrades!$N$4:$T$47,2,FALSE),0)="points"),"Can't — Sp-wallet spends not tracked here",IF(AND(OR(B201="Buy upgrade",B201="Forge/Scrapwork buy"),IFERROR(VLOOKUP(C201,Upgrades!$N$4:$T$47,2,FALSE),0)="gold",H200&lt;IFERROR(FLOOR(IFERROR(VLOOKUP(C201,Upgrades!$N$4:$T$47,3,FALSE),0)*(IFERROR(VLOOKUP(C201,Upgrades!$N$4:$T$47,4,FALSE),0)^(COUNTIFS($B$3:$B200,"Buy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buy",$C$3:$C200,C201))),1),0)),"Can't — need "&amp;TEXT(IFERROR(FLOOR(IFERROR(VLOOKUP(C201,Upgrades!$N$4:$T$47,3,FALSE),0)*(IFERROR(VLOOKUP(C201,Upgrades!$N$4:$T$47,4,FALSE),0)^(COUNTIFS($B$3:$B200,"Buy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buy",$C$3:$C200,C201))),1),0)-H200,"0")&amp;" more gold",IF(AND(OR(B201="Buy upgrade",B201="Forge/Scrapwork buy"),IFERROR(VLOOKUP(C201,Upgrades!$N$4:$T$47,2,FALSE),0)="scraps",J200&lt;IFERROR(FLOOR(IFERROR(VLOOKUP(C201,Upgrades!$N$4:$T$47,3,FALSE),0)*(IFERROR(VLOOKUP(C201,Upgrades!$N$4:$T$47,4,FALSE),0)^(COUNTIFS($B$3:$B200,"Buy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buy",$C$3:$C200,C201))),1),0)),"Can't — need "&amp;TEXT(IFERROR(FLOOR(IFERROR(VLOOKUP(C201,Upgrades!$N$4:$T$47,3,FALSE),0)*(IFERROR(VLOOKUP(C201,Upgrades!$N$4:$T$47,4,FALSE),0)^(COUNTIFS($B$3:$B200,"Buy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buy",$C$3:$C200,C201))),1),0)-J200,"0")&amp;" more scraps",IF(AND(B201="Fight boss",E201="OK",(IF((((105/'Rules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Formulas'!B12)),"WIN — boss down, next Level unlocks",IF(AND(B201="Fight boss",E201="OK"),"LOSE — TTK "&amp;TEXT(IF((((105/'Rules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Formulas'!B20*SQRT(1+0.55*(AG200&gt;=1))),0)))),"0")&amp;"s &gt; patience "&amp;TEXT('Rules &amp; Formulas'!B12,"0")&amp;"s (leave resets HP)",IF(B201="Go AFK","AFK resolved (see AFK counted h)","Applied")))))))))</f>
        <v/>
      </c>
      <c r="G201" s="7">
        <f>IF(AND((E201="OK"),B201="Fight boss",(IF((((105/'Rules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Formulas'!B12),C201="Elder Thornpelt"),2,IF(AND((E201="OK"),B201="Fight boss",(IF((((105/'Rules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Formulas'!B12),C201="Ashfang Alpha"),3,G200))</f>
        <v/>
      </c>
      <c r="H201" s="7">
        <f>MAX(0,H200+IF(AND((E201="OK"),B201="Hunt"),(IF(B201="Hunt",(('Rules &amp; Formulas'!B4*N200*('Rules &amp; Formulas'!B5+O200)*IFERROR(VLOOKUP(C201,Monsters!$T$4:$AH$15,10,FALSE),0)*IFERROR(VLOOKUP(C201,Monsters!$T$4:$AH$15,9,FALSE),0))*'Rules &amp; Formulas'!B6)*IF(D201="",0,D201),0))*(IFERROR(VLOOKUP(C201,Monsters!$T$4:$AH$15,3,FALSE),0))*(1+0.1*AH200)+(IF(OR(B201&lt;&gt;"Hunt",IFERROR(VLOOKUP(C201,Monsters!$T$4:$AH$15,6,FALSE),0)=0),0,FLOOR((IF(B201="Hunt",(('Rules &amp; Formulas'!B4*N200*('Rules &amp; Formulas'!B5+O200)*IFERROR(VLOOKUP(C201,Monsters!$T$4:$AH$15,10,FALSE),0)*IFERROR(VLOOKUP(C201,Monsters!$T$4:$AH$15,9,FALSE),0))*'Rules &amp; Formulas'!B6)*IF(D201="",0,D201),0))/MAX(1,IFERROR(VLOOKUP(C201,Monsters!$T$4:$AH$15,6,FALSE),0)),1)))*(IFERROR(VLOOKUP(C201,Monsters!$T$4:$AH$15,7,FALSE),0))*0.5*(1+0.1*AH200),0)+IF(AND((E201="OK"),B201="Go AFK"),(IF(B201="Go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AFK",IF(D201="",0,D201),0),Z200/60)*60)),0))*(IFERROR(VLOOKUP(C201,Monsters!$T$4:$AH$15,3,FALSE),0))*(1+0.1*AH200)+(IF(OR(B201&lt;&gt;"Go AFK",IFERROR(VLOOKUP(C201,Monsters!$T$4:$AH$15,6,FALSE),0)=0),0,FLOOR((IF(B201="Go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AFK",IF(D201="",0,D201),0),Z200/60)*60)),0))/MAX(1,IFERROR(VLOOKUP(C201,Monsters!$T$4:$AH$15,6,FALSE),0)),1)))*(IFERROR(VLOOKUP(C201,Monsters!$T$4:$AH$15,7,FALSE),0))*0.5*(1+0.1*AH200),0)+IF(AND((E201="OK"),B201="Fight boss",(IF((((105/'Rules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Formulas'!B12)),IFERROR(VLOOKUP(C201,Monsters!$T$4:$AH$15,3,FALSE),0),0)-IF(AND((E201="OK"),OR(B201="Buy upgrade",B201="Forge/Scrapwork buy"),IFERROR(VLOOKUP(C201,Upgrades!$N$4:$T$47,2,FALSE),0)="gold"),IFERROR(FLOOR(IFERROR(VLOOKUP(C201,Upgrades!$N$4:$T$47,3,FALSE),0)*(IFERROR(VLOOKUP(C201,Upgrades!$N$4:$T$47,4,FALSE),0)^(COUNTIFS($B$3:$B200,"Buy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buy",$C$3:$C200,C201))),1),0),0)-IF(AND((E201="OK"),B201="Hire hunter"),IF(C201="Briar",140,IF(C201="Quill",3650,IF(C201="Moss",4850,IF(C201="Ember",12200,0)))),0))</f>
        <v/>
      </c>
      <c r="I201" s="7">
        <f>IF(AND((E201="OK"),B201="Fight boss",(IF((((105/'Rules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Formulas'!B12)),0,MIN(IF(G200&lt;=1,120,IF(G200=2,280,600)),I200+IF(AND((E201="OK"),B201="Hunt"),((IF(B201="Hunt",(('Rules &amp; Formulas'!B4*N200*('Rules &amp; Formulas'!B5+O200)*IFERROR(VLOOKUP(C201,Monsters!$T$4:$AH$15,10,FALSE),0)*IFERROR(VLOOKUP(C201,Monsters!$T$4:$AH$15,9,FALSE),0))*'Rules &amp; Formulas'!B6)*IF(D201="",0,D201),0))*(IFERROR(VLOOKUP(C201,Monsters!$T$4:$AH$15,4,FALSE),0))+(IF(OR(B201&lt;&gt;"Hunt",IFERROR(VLOOKUP(C201,Monsters!$T$4:$AH$15,6,FALSE),0)=0),0,FLOOR((IF(B201="Hunt",(('Rules &amp; Formulas'!B4*N200*('Rules &amp; Formulas'!B5+O200)*IFERROR(VLOOKUP(C201,Monsters!$T$4:$AH$15,10,FALSE),0)*IFERROR(VLOOKUP(C201,Monsters!$T$4:$AH$15,9,FALSE),0))*'Rules &amp; Formulas'!B6)*IF(D201="",0,D201),0))/MAX(1,IFERROR(VLOOKUP(C201,Monsters!$T$4:$AH$15,6,FALSE),0)),1)))*(IFERROR(VLOOKUP(C201,Monsters!$T$4:$AH$15,7,FALSE),0))),0)+IF(AND((E201="OK"),B201="Go AFK"),((IF(B201="Go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AFK",IF(D201="",0,D201),0),Z200/60)*60)),0))*(IFERROR(VLOOKUP(C201,Monsters!$T$4:$AH$15,4,FALSE),0))+(IF(OR(B201&lt;&gt;"Go AFK",IFERROR(VLOOKUP(C201,Monsters!$T$4:$AH$15,6,FALSE),0)=0),0,FLOOR((IF(B201="Go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AFK",IF(D201="",0,D201),0),Z200/60)*60)),0))/MAX(1,IFERROR(VLOOKUP(C201,Monsters!$T$4:$AH$15,6,FALSE),0)),1)))*(IFERROR(VLOOKUP(C201,Monsters!$T$4:$AH$15,7,FALSE),0))),0)))</f>
        <v/>
      </c>
      <c r="J201" s="7">
        <f>MAX(0,J200+IF(AND((E201="OK"),B201="Hunt"),(IF(B201="Hunt",(('Rules &amp; Formulas'!B4*N200*('Rules &amp; Formulas'!B5+O200)*IFERROR(VLOOKUP(C201,Monsters!$T$4:$AH$15,10,FALSE),0)*IFERROR(VLOOKUP(C201,Monsters!$T$4:$AH$15,9,FALSE),0))*'Rules &amp; Formulas'!B6)*IF(D201="",0,D201),0))*(IFERROR(VLOOKUP(C201,Monsters!$T$4:$AH$15,5,FALSE),0)),0)+IF(AND((E201="OK"),B201="Go AFK"),(IF(B201="Go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AFK",IF(D201="",0,D201),0),Z200/60)*60)),0))*(IFERROR(VLOOKUP(C201,Monsters!$T$4:$AH$15,5,FALSE),0)),0)-IF(AND((E201="OK"),OR(B201="Buy upgrade",B201="Forge/Scrapwork buy"),IFERROR(VLOOKUP(C201,Upgrades!$N$4:$T$47,2,FALSE),0)="scraps"),IFERROR(FLOOR(IFERROR(VLOOKUP(C201,Upgrades!$N$4:$T$47,3,FALSE),0)*(IFERROR(VLOOKUP(C201,Upgrades!$N$4:$T$47,4,FALSE),0)^(COUNTIFS($B$3:$B200,"Buy upgrade",$C$3:$C200,C201)+COUNTIFS($B$3:$B200,"Hire hunter",$C$3:$C200,C201)+COUNTIFS($B$3:$B200,"Forge/Scrapwork buy",$C$3:$C200,C201))),1),0),0))</f>
        <v/>
      </c>
      <c r="K201" s="7">
        <f>MAX(0,K200+IF(AND((E201="OK"),B201="Hunt"),IF(C201="Thornpelt Bear",(IF(B201="Hunt",(('Rules &amp; Formulas'!B4*N200*('Rules &amp; Formulas'!B5+O200)*IFERROR(VLOOKUP(C201,Monsters!$T$4:$AH$15,10,FALSE),0)*IFERROR(VLOOKUP(C201,Monsters!$T$4:$AH$15,9,FALSE),0))*'Rules &amp; Formulas'!B6)*IF(D201="",0,D201),0))*0.12,0),0)+IF(AND((E201="OK"),B201="Go AFK"),IF(C201="Thornpelt Bear",(IF(B201="Go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AFK",IF(D201="",0,D201),0),Z200/60)*60)),0))*0.12,0),0))</f>
        <v/>
      </c>
      <c r="L201" s="7">
        <f>MAX(0,L200+IF(AND((E201="OK"),B201="Hunt"),IF(C201="Dire Thornpelt",(IF(B201="Hunt",(('Rules &amp; Formulas'!B4*N200*('Rules &amp; Formulas'!B5+O200)*IFERROR(VLOOKUP(C201,Monsters!$T$4:$AH$15,10,FALSE),0)*IFERROR(VLOOKUP(C201,Monsters!$T$4:$AH$15,9,FALSE),0))*'Rules &amp; Formulas'!B6)*IF(D201="",0,D201),0))*0.1,0),0)+IF(AND((E201="OK"),B201="Go AFK"),IF(C201="Dire Thornpelt",(IF(B201="Go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AFK",IF(D201="",0,D201),0),Z200/60)*60)),0))*0.1,0),0))</f>
        <v/>
      </c>
      <c r="M201" s="7">
        <f>IF(AND((E201="OK"),B201="Go AFK"),MAX(0,MIN(('Rules &amp; Formulas'!B15+25*AJ200),M200+('Rules &amp; Formulas'!B14+0.4*AJ200)*(MIN(IF(B201="Go AFK",IF(D201="",0,D201),0),Z200/60)*60))-(IF(B201="Go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AFK",IF(D201="",0,D201),0),Z200/60)*60)),0))*(IF((IFERROR(VLOOKUP(C201,Monsters!$T$4:$AH$15,8,FALSE),0))=0,0.35,IFERROR(VLOOKUP(C201,Monsters!$T$4:$AH$15,8,FALSE),0))/(1+0.08*AK200))),MIN(('Rules &amp; Formulas'!B15+25*AJ201),M200))</f>
        <v/>
      </c>
      <c r="N201" s="7">
        <f>(1+0.08+0.12*AA201+0.12*AB201+0.16*AC201)</f>
        <v/>
      </c>
      <c r="O201" s="7">
        <f>((AD201&gt;=1)*1*(1+0.3*AE201))</f>
        <v/>
      </c>
      <c r="P201" s="7">
        <f>IF(OR(B201="Hunt",B201="Go AFK"),(('Rules &amp; Formulas'!B4*N200*('Rules &amp; Formulas'!B5+O200)*IFERROR(VLOOKUP(C201,Monsters!$T$4:$AH$15,10,FALSE),0)*IFERROR(VLOOKUP(C201,Monsters!$T$4:$AH$15,9,FALSE),0))*'Rules &amp; Formulas'!B6),"")</f>
        <v/>
      </c>
      <c r="Q201" s="7">
        <f>IF(OR(B201="Hunt",B201="Go AFK"),('Rules &amp; Formulas'!B4*N200*('Rules &amp; Formulas'!B5+O200)*IFERROR(VLOOKUP(C201,Monsters!$T$4:$AH$15,10,FALSE),0)*IFERROR(VLOOKUP(C201,Monsters!$T$4:$AH$15,9,FALSE),0)),"")</f>
        <v/>
      </c>
      <c r="R201" s="7">
        <f>IF(AND((E201="OK"),B201="Hunt"),IF(B201="Hunt",(('Rules &amp; Formulas'!B4*N200*('Rules &amp; Formulas'!B5+O200)*IFERROR(VLOOKUP(C201,Monsters!$T$4:$AH$15,10,FALSE),0)*IFERROR(VLOOKUP(C201,Monsters!$T$4:$AH$15,9,FALSE),0))*'Rules &amp; Formulas'!B6)*IF(D201="",0,D201),0),IF(AND((E201="OK"),B201="Go AFK"),IF(B201="Go AFK",MIN(IF((IF((IFERROR(VLOOKUP(C201,Monsters!$T$4:$AH$15,8,FALSE),0))=0,0.35,IFERROR(VLOOKUP(C201,Monsters!$T$4:$AH$15,8,FALSE),0))/(1+0.08*AK200))&lt;=0,999999,FLOOR(MIN(('Rules &amp; Formulas'!B15+25*AJ200),M200+('Rules &amp; Formulas'!B14+0.4*AJ200)*(MIN(IF(B201="Go AFK",IF(D201="",0,D201),0),Z200/60)*60))/(IF((IFERROR(VLOOKUP(C201,Monsters!$T$4:$AH$15,8,FALSE),0))=0,0.35,IFERROR(VLOOKUP(C201,Monsters!$T$4:$AH$15,8,FALSE),0))/(1+0.08*AK200)),1)),('Rules &amp; Formulas'!B4*N200*('Rules &amp; Formulas'!B5+O200)*IFERROR(VLOOKUP(C201,Monsters!$T$4:$AH$15,10,FALSE),0)*IFERROR(VLOOKUP(C201,Monsters!$T$4:$AH$15,9,FALSE),0))*(MIN(IF(B201="Go AFK",IF(D201="",0,D201),0),Z200/60)*60)),0),0))</f>
        <v/>
      </c>
      <c r="S201" s="7">
        <f>(105/'Rules &amp; Formulas'!B10)*'Rules &amp; Formulas'!B11</f>
        <v/>
      </c>
      <c r="T201" s="7">
        <f>IF(AD200&gt;=1,(MAX(1,ROUND('Rules &amp; Formulas'!B18*(1+0.3*AE200)*(1+0.4*AF200),0)))*(1000/'Rules &amp; Formulas'!B19)*MIN(0.95,'Rules &amp; Formulas'!B20*SQRT(1+0.55*(AG200&gt;=1))),0)</f>
        <v/>
      </c>
      <c r="U201" s="7">
        <f>S201+T201</f>
        <v/>
      </c>
      <c r="V201" s="7">
        <f>IF(I200&gt;=IF((IFERROR(VLOOKUP(C201,Monsters!$T$4:$AH$15,15,FALSE),0))=0,120,IFERROR(VLOOKUP(C201,Monsters!$T$4:$AH$15,15,FALSE),0)),"YES","no")</f>
        <v/>
      </c>
      <c r="W201" s="7">
        <f>IF(AND(B201="Fight boss",E201="OK"),IF((((105/'Rules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Formulas'!B20*SQRT(1+0.55*(AG200&gt;=1))),0)))),"")</f>
        <v/>
      </c>
      <c r="X201" s="7">
        <f>IF(AND(B201="Fight boss",E201="OK"),IF((IF((((105/'Rules &amp; Formulas'!B10)*'Rules &amp; Formulas'!B11+IF(AD200&gt;=1,(MAX(1,ROUND('Rules &amp; Formulas'!B18*(1+0.3*AE200)*(1+0.4*AF200),0)))*(1000/'Rules &amp; Formulas'!B19)*MIN(0.95,'Rules &amp; Formulas'!B20*SQRT(1+0.55*(AG200&gt;=1))),0)))&lt;=0,9999,(IFERROR(VLOOKUP(C201,Monsters!$T$4:$AH$15,2,FALSE),0))/(((105/'Rules &amp; Formulas'!B10)*'Rules &amp; Formulas'!B11+IF(AD200&gt;=1,(MAX(1,ROUND('Rules &amp; Formulas'!B18*(1+0.3*AE200)*(1+0.4*AF200),0)))*(1000/'Rules &amp; Formulas'!B19)*MIN(0.95,'Rules &amp; Formulas'!B20*SQRT(1+0.55*(AG200&gt;=1))),0))))&lt;='Rules &amp; Formulas'!B12),"WIN","LOSE"),"")</f>
        <v/>
      </c>
      <c r="Y201" s="7">
        <f>IF(B201="Go AFK",MIN(IF(B201="Go AFK",IF(D201="",0,D201),0),Z200/60),"")</f>
        <v/>
      </c>
      <c r="Z201" s="7">
        <f>('Rules &amp; Formulas'!B13+30*AI201)</f>
        <v/>
      </c>
      <c r="AA201">
        <f>COUNTIFS($B$3:$B201,"Buy upgrade",$C$3:$C201,"Idle Power")</f>
        <v/>
      </c>
      <c r="AB201">
        <f>COUNTIFS($B$3:$B201,"Buy upgrade",$C$3:$C201,"Iron Blade")</f>
        <v/>
      </c>
      <c r="AC201">
        <f>COUNTIFS($B$3:$B201,"Buy upgrade",$C$3:$C201,"Steel Blade")</f>
        <v/>
      </c>
      <c r="AD201">
        <f>COUNTIFS($B$3:$B201,"Hire hunter",$C$3:$C201,"Briar")+COUNTIFS($B$3:$B201,"Buy upgrade",$C$3:$C201,"Hire Briar")</f>
        <v/>
      </c>
      <c r="AE201">
        <f>COUNTIFS($B$3:$B201,"Buy upgrade",$C$3:$C201,"Hunter Power")</f>
        <v/>
      </c>
      <c r="AF201">
        <f>COUNTIFS($B$3:$B201,"Buy upgrade",$C$3:$C201,"Bigger Hits")</f>
        <v/>
      </c>
      <c r="AG201">
        <f>COUNTIFS($B$3:$B201,"Buy upgrade",$C$3:$C201,"Swift Walk")</f>
        <v/>
      </c>
      <c r="AH201">
        <f>COUNTIFS($B$3:$B201,"Buy upgrade",$C$3:$C201,"Loot Luck")</f>
        <v/>
      </c>
      <c r="AI201">
        <f>COUNTIFS($B$3:$B201,"Buy upgrade",$C$3:$C201,"Offline Cap")</f>
        <v/>
      </c>
      <c r="AJ201">
        <f>COUNTIFS($B$3:$B201,"Buy upgrade",$C$3:$C201,"Bigger Food Stock")</f>
        <v/>
      </c>
      <c r="AK201">
        <f>COUNTIFS($B$3:$B201,"Buy upgrade",$C$3:$C201,"Food Efficiency")</f>
        <v/>
      </c>
    </row>
    <row r="202">
      <c r="A202" t="n">
        <v>200</v>
      </c>
      <c r="B202" s="6" t="n"/>
      <c r="C202" s="6" t="n"/>
      <c r="D202" s="6" t="n"/>
      <c r="E202" s="7">
        <f>IF(B202="","",IF(OR(B202="Hunt",B202="Go AFK"),IF(C202="","Can't","OK"),IF(B202="Fight boss",IF(I201&lt;IF((IFERROR(VLOOKUP(C202,Monsters!$T$4:$AH$15,15,FALSE),0))=0,120,IFERROR(VLOOKUP(C202,Monsters!$T$4:$AH$15,15,FALSE),0)),"Can't","OK"),IF(B202="Hire hunter",IF(AND(C202="Briar",AD201&gt;=1),"Can't",IF(H201&lt;IF(C202="Briar",140,IF(C202="Quill",3650,IF(C202="Moss",4850,IF(C202="Ember",12200,0)))),"Can't","OK")),IF(OR(B202="Buy upgrade",B202="Forge/Scrapwork buy"),IF(IFERROR(VLOOKUP(C202,Upgrades!$N$4:$T$47,2,FALSE),0)="points","Can't",IF(IFERROR(VLOOKUP(C202,Upgrades!$N$4:$T$47,2,FALSE),0)="gold",IF(H201&lt;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buy",$C$3:$C201,C202))),1),0),"Can't","OK"),IF(IFERROR(VLOOKUP(C202,Upgrades!$N$4:$T$47,2,FALSE),0)="scraps",IF(J201&lt;IFERROR(FLOOR(IFERROR(VLOOKUP(C202,Upgrades!$N$4:$T$47,3,FALSE),0)*(IFERROR(VLOOKUP(C202,Upgrades!$N$4:$T$47,4,FALSE),0)^(COUNTIFS($B$3:$B201,"Buy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buy",$C$3:$C201,C202))),1),0),"Can't","OK"),IF(IFERROR(VLOOKUP(C202,Upgrades!$N$4:$T$47,2,FALSE),0)="mats","Can't","OK")))),"Check")))))</f>
        <v/>
      </c>
      <c r="F202" s="7">
        <f>IF(B202="","",IF(AND(B202="Fight boss",I201&lt;IF((IFERROR(VLOOKUP(C202,Monsters!$T$4:$AH$15,15,FALSE),0))=0,120,IFERROR(VLOOKUP(C202,Monsters!$T$4:$AH$15,15,FALSE),0))),"Can't — need "&amp;TEXT(IF((IFERROR(VLOOKUP(C202,Monsters!$T$4:$AH$15,15,FALSE),0))=0,120,IFERROR(VLOOKUP(C202,Monsters!$T$4:$AH$15,15,FALSE),0))-I201,"0.0")&amp;" more Slayer points on the meter",IF(AND(B202="Hire hunter",C202="Briar",AD201&gt;=1),"Can't — already hired",IF(AND(B202="Hire hunter",H201&lt;IF(C202="Briar",140,IF(C202="Quill",3650,IF(C202="Moss",4850,IF(C202="Ember",12200,0))))),"Can't — need "&amp;TEXT(IF(C202="Briar",140,IF(C202="Quill",3650,IF(C202="Moss",4850,IF(C202="Ember",12200,0))))-H201,"0")&amp;" more gold",IF(AND(OR(B202="Buy upgrade",B202="Forge/Scrapwork buy"),IFERROR(VLOOKUP(C202,Upgrades!$N$4:$T$47,2,FALSE),0)="points"),"Can't — Sp-wallet spends not tracked here",IF(AND(OR(B202="Buy upgrade",B202="Forge/Scrapwork buy"),IFERROR(VLOOKUP(C202,Upgrades!$N$4:$T$47,2,FALSE),0)="gold",H201&lt;IFERROR(FLOOR(IFERROR(VLOOKUP(C202,Upgrades!$N$4:$T$47,3,FALSE),0)*(IFERROR(VLOOKUP(C202,Upgrades!$N$4:$T$47,4,FALSE),0)^(COUNTIFS($B$3:$B201,"Buy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buy",$C$3:$C201,C202))),1),0)),"Can't — need "&amp;TEXT(IFERROR(FLOOR(IFERROR(VLOOKUP(C202,Upgrades!$N$4:$T$47,3,FALSE),0)*(IFERROR(VLOOKUP(C202,Upgrades!$N$4:$T$47,4,FALSE),0)^(COUNTIFS($B$3:$B201,"Buy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buy",$C$3:$C201,C202))),1),0)-H201,"0")&amp;" more gold",IF(AND(OR(B202="Buy upgrade",B202="Forge/Scrapwork buy"),IFERROR(VLOOKUP(C202,Upgrades!$N$4:$T$47,2,FALSE),0)="scraps",J201&lt;IFERROR(FLOOR(IFERROR(VLOOKUP(C202,Upgrades!$N$4:$T$47,3,FALSE),0)*(IFERROR(VLOOKUP(C202,Upgrades!$N$4:$T$47,4,FALSE),0)^(COUNTIFS($B$3:$B201,"Buy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buy",$C$3:$C201,C202))),1),0)),"Can't — need "&amp;TEXT(IFERROR(FLOOR(IFERROR(VLOOKUP(C202,Upgrades!$N$4:$T$47,3,FALSE),0)*(IFERROR(VLOOKUP(C202,Upgrades!$N$4:$T$47,4,FALSE),0)^(COUNTIFS($B$3:$B201,"Buy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buy",$C$3:$C201,C202))),1),0)-J201,"0")&amp;" more scraps",IF(AND(B202="Fight boss",E202="OK",(IF((((105/'Rules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Formulas'!B12)),"WIN — boss down, next Level unlocks",IF(AND(B202="Fight boss",E202="OK"),"LOSE — TTK "&amp;TEXT(IF((((105/'Rules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Formulas'!B20*SQRT(1+0.55*(AG201&gt;=1))),0)))),"0")&amp;"s &gt; patience "&amp;TEXT('Rules &amp; Formulas'!B12,"0")&amp;"s (leave resets HP)",IF(B202="Go AFK","AFK resolved (see AFK counted h)","Applied")))))))))</f>
        <v/>
      </c>
      <c r="G202" s="7">
        <f>IF(AND((E202="OK"),B202="Fight boss",(IF((((105/'Rules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Formulas'!B12),C202="Elder Thornpelt"),2,IF(AND((E202="OK"),B202="Fight boss",(IF((((105/'Rules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Formulas'!B12),C202="Ashfang Alpha"),3,G201))</f>
        <v/>
      </c>
      <c r="H202" s="7">
        <f>MAX(0,H201+IF(AND((E202="OK"),B202="Hunt"),(IF(B202="Hunt",(('Rules &amp; Formulas'!B4*N201*('Rules &amp; Formulas'!B5+O201)*IFERROR(VLOOKUP(C202,Monsters!$T$4:$AH$15,10,FALSE),0)*IFERROR(VLOOKUP(C202,Monsters!$T$4:$AH$15,9,FALSE),0))*'Rules &amp; Formulas'!B6)*IF(D202="",0,D202),0))*(IFERROR(VLOOKUP(C202,Monsters!$T$4:$AH$15,3,FALSE),0))*(1+0.1*AH201)+(IF(OR(B202&lt;&gt;"Hunt",IFERROR(VLOOKUP(C202,Monsters!$T$4:$AH$15,6,FALSE),0)=0),0,FLOOR((IF(B202="Hunt",(('Rules &amp; Formulas'!B4*N201*('Rules &amp; Formulas'!B5+O201)*IFERROR(VLOOKUP(C202,Monsters!$T$4:$AH$15,10,FALSE),0)*IFERROR(VLOOKUP(C202,Monsters!$T$4:$AH$15,9,FALSE),0))*'Rules &amp; Formulas'!B6)*IF(D202="",0,D202),0))/MAX(1,IFERROR(VLOOKUP(C202,Monsters!$T$4:$AH$15,6,FALSE),0)),1)))*(IFERROR(VLOOKUP(C202,Monsters!$T$4:$AH$15,7,FALSE),0))*0.5*(1+0.1*AH201),0)+IF(AND((E202="OK"),B202="Go AFK"),(IF(B202="Go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AFK",IF(D202="",0,D202),0),Z201/60)*60)),0))*(IFERROR(VLOOKUP(C202,Monsters!$T$4:$AH$15,3,FALSE),0))*(1+0.1*AH201)+(IF(OR(B202&lt;&gt;"Go AFK",IFERROR(VLOOKUP(C202,Monsters!$T$4:$AH$15,6,FALSE),0)=0),0,FLOOR((IF(B202="Go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AFK",IF(D202="",0,D202),0),Z201/60)*60)),0))/MAX(1,IFERROR(VLOOKUP(C202,Monsters!$T$4:$AH$15,6,FALSE),0)),1)))*(IFERROR(VLOOKUP(C202,Monsters!$T$4:$AH$15,7,FALSE),0))*0.5*(1+0.1*AH201),0)+IF(AND((E202="OK"),B202="Fight boss",(IF((((105/'Rules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Formulas'!B12)),IFERROR(VLOOKUP(C202,Monsters!$T$4:$AH$15,3,FALSE),0),0)-IF(AND((E202="OK"),OR(B202="Buy upgrade",B202="Forge/Scrapwork buy"),IFERROR(VLOOKUP(C202,Upgrades!$N$4:$T$47,2,FALSE),0)="gold"),IFERROR(FLOOR(IFERROR(VLOOKUP(C202,Upgrades!$N$4:$T$47,3,FALSE),0)*(IFERROR(VLOOKUP(C202,Upgrades!$N$4:$T$47,4,FALSE),0)^(COUNTIFS($B$3:$B201,"Buy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buy",$C$3:$C201,C202))),1),0),0)-IF(AND((E202="OK"),B202="Hire hunter"),IF(C202="Briar",140,IF(C202="Quill",3650,IF(C202="Moss",4850,IF(C202="Ember",12200,0)))),0))</f>
        <v/>
      </c>
      <c r="I202" s="7">
        <f>IF(AND((E202="OK"),B202="Fight boss",(IF((((105/'Rules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Formulas'!B12)),0,MIN(IF(G201&lt;=1,120,IF(G201=2,280,600)),I201+IF(AND((E202="OK"),B202="Hunt"),((IF(B202="Hunt",(('Rules &amp; Formulas'!B4*N201*('Rules &amp; Formulas'!B5+O201)*IFERROR(VLOOKUP(C202,Monsters!$T$4:$AH$15,10,FALSE),0)*IFERROR(VLOOKUP(C202,Monsters!$T$4:$AH$15,9,FALSE),0))*'Rules &amp; Formulas'!B6)*IF(D202="",0,D202),0))*(IFERROR(VLOOKUP(C202,Monsters!$T$4:$AH$15,4,FALSE),0))+(IF(OR(B202&lt;&gt;"Hunt",IFERROR(VLOOKUP(C202,Monsters!$T$4:$AH$15,6,FALSE),0)=0),0,FLOOR((IF(B202="Hunt",(('Rules &amp; Formulas'!B4*N201*('Rules &amp; Formulas'!B5+O201)*IFERROR(VLOOKUP(C202,Monsters!$T$4:$AH$15,10,FALSE),0)*IFERROR(VLOOKUP(C202,Monsters!$T$4:$AH$15,9,FALSE),0))*'Rules &amp; Formulas'!B6)*IF(D202="",0,D202),0))/MAX(1,IFERROR(VLOOKUP(C202,Monsters!$T$4:$AH$15,6,FALSE),0)),1)))*(IFERROR(VLOOKUP(C202,Monsters!$T$4:$AH$15,7,FALSE),0))),0)+IF(AND((E202="OK"),B202="Go AFK"),((IF(B202="Go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AFK",IF(D202="",0,D202),0),Z201/60)*60)),0))*(IFERROR(VLOOKUP(C202,Monsters!$T$4:$AH$15,4,FALSE),0))+(IF(OR(B202&lt;&gt;"Go AFK",IFERROR(VLOOKUP(C202,Monsters!$T$4:$AH$15,6,FALSE),0)=0),0,FLOOR((IF(B202="Go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AFK",IF(D202="",0,D202),0),Z201/60)*60)),0))/MAX(1,IFERROR(VLOOKUP(C202,Monsters!$T$4:$AH$15,6,FALSE),0)),1)))*(IFERROR(VLOOKUP(C202,Monsters!$T$4:$AH$15,7,FALSE),0))),0)))</f>
        <v/>
      </c>
      <c r="J202" s="7">
        <f>MAX(0,J201+IF(AND((E202="OK"),B202="Hunt"),(IF(B202="Hunt",(('Rules &amp; Formulas'!B4*N201*('Rules &amp; Formulas'!B5+O201)*IFERROR(VLOOKUP(C202,Monsters!$T$4:$AH$15,10,FALSE),0)*IFERROR(VLOOKUP(C202,Monsters!$T$4:$AH$15,9,FALSE),0))*'Rules &amp; Formulas'!B6)*IF(D202="",0,D202),0))*(IFERROR(VLOOKUP(C202,Monsters!$T$4:$AH$15,5,FALSE),0)),0)+IF(AND((E202="OK"),B202="Go AFK"),(IF(B202="Go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AFK",IF(D202="",0,D202),0),Z201/60)*60)),0))*(IFERROR(VLOOKUP(C202,Monsters!$T$4:$AH$15,5,FALSE),0)),0)-IF(AND((E202="OK"),OR(B202="Buy upgrade",B202="Forge/Scrapwork buy"),IFERROR(VLOOKUP(C202,Upgrades!$N$4:$T$47,2,FALSE),0)="scraps"),IFERROR(FLOOR(IFERROR(VLOOKUP(C202,Upgrades!$N$4:$T$47,3,FALSE),0)*(IFERROR(VLOOKUP(C202,Upgrades!$N$4:$T$47,4,FALSE),0)^(COUNTIFS($B$3:$B201,"Buy upgrade",$C$3:$C201,C202)+COUNTIFS($B$3:$B201,"Hire hunter",$C$3:$C201,C202)+COUNTIFS($B$3:$B201,"Forge/Scrapwork buy",$C$3:$C201,C202))),1),0),0))</f>
        <v/>
      </c>
      <c r="K202" s="7">
        <f>MAX(0,K201+IF(AND((E202="OK"),B202="Hunt"),IF(C202="Thornpelt Bear",(IF(B202="Hunt",(('Rules &amp; Formulas'!B4*N201*('Rules &amp; Formulas'!B5+O201)*IFERROR(VLOOKUP(C202,Monsters!$T$4:$AH$15,10,FALSE),0)*IFERROR(VLOOKUP(C202,Monsters!$T$4:$AH$15,9,FALSE),0))*'Rules &amp; Formulas'!B6)*IF(D202="",0,D202),0))*0.12,0),0)+IF(AND((E202="OK"),B202="Go AFK"),IF(C202="Thornpelt Bear",(IF(B202="Go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AFK",IF(D202="",0,D202),0),Z201/60)*60)),0))*0.12,0),0))</f>
        <v/>
      </c>
      <c r="L202" s="7">
        <f>MAX(0,L201+IF(AND((E202="OK"),B202="Hunt"),IF(C202="Dire Thornpelt",(IF(B202="Hunt",(('Rules &amp; Formulas'!B4*N201*('Rules &amp; Formulas'!B5+O201)*IFERROR(VLOOKUP(C202,Monsters!$T$4:$AH$15,10,FALSE),0)*IFERROR(VLOOKUP(C202,Monsters!$T$4:$AH$15,9,FALSE),0))*'Rules &amp; Formulas'!B6)*IF(D202="",0,D202),0))*0.1,0),0)+IF(AND((E202="OK"),B202="Go AFK"),IF(C202="Dire Thornpelt",(IF(B202="Go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AFK",IF(D202="",0,D202),0),Z201/60)*60)),0))*0.1,0),0))</f>
        <v/>
      </c>
      <c r="M202" s="7">
        <f>IF(AND((E202="OK"),B202="Go AFK"),MAX(0,MIN(('Rules &amp; Formulas'!B15+25*AJ201),M201+('Rules &amp; Formulas'!B14+0.4*AJ201)*(MIN(IF(B202="Go AFK",IF(D202="",0,D202),0),Z201/60)*60))-(IF(B202="Go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AFK",IF(D202="",0,D202),0),Z201/60)*60)),0))*(IF((IFERROR(VLOOKUP(C202,Monsters!$T$4:$AH$15,8,FALSE),0))=0,0.35,IFERROR(VLOOKUP(C202,Monsters!$T$4:$AH$15,8,FALSE),0))/(1+0.08*AK201))),MIN(('Rules &amp; Formulas'!B15+25*AJ202),M201))</f>
        <v/>
      </c>
      <c r="N202" s="7">
        <f>(1+0.08+0.12*AA202+0.12*AB202+0.16*AC202)</f>
        <v/>
      </c>
      <c r="O202" s="7">
        <f>((AD202&gt;=1)*1*(1+0.3*AE202))</f>
        <v/>
      </c>
      <c r="P202" s="7">
        <f>IF(OR(B202="Hunt",B202="Go AFK"),(('Rules &amp; Formulas'!B4*N201*('Rules &amp; Formulas'!B5+O201)*IFERROR(VLOOKUP(C202,Monsters!$T$4:$AH$15,10,FALSE),0)*IFERROR(VLOOKUP(C202,Monsters!$T$4:$AH$15,9,FALSE),0))*'Rules &amp; Formulas'!B6),"")</f>
        <v/>
      </c>
      <c r="Q202" s="7">
        <f>IF(OR(B202="Hunt",B202="Go AFK"),('Rules &amp; Formulas'!B4*N201*('Rules &amp; Formulas'!B5+O201)*IFERROR(VLOOKUP(C202,Monsters!$T$4:$AH$15,10,FALSE),0)*IFERROR(VLOOKUP(C202,Monsters!$T$4:$AH$15,9,FALSE),0)),"")</f>
        <v/>
      </c>
      <c r="R202" s="7">
        <f>IF(AND((E202="OK"),B202="Hunt"),IF(B202="Hunt",(('Rules &amp; Formulas'!B4*N201*('Rules &amp; Formulas'!B5+O201)*IFERROR(VLOOKUP(C202,Monsters!$T$4:$AH$15,10,FALSE),0)*IFERROR(VLOOKUP(C202,Monsters!$T$4:$AH$15,9,FALSE),0))*'Rules &amp; Formulas'!B6)*IF(D202="",0,D202),0),IF(AND((E202="OK"),B202="Go AFK"),IF(B202="Go AFK",MIN(IF((IF((IFERROR(VLOOKUP(C202,Monsters!$T$4:$AH$15,8,FALSE),0))=0,0.35,IFERROR(VLOOKUP(C202,Monsters!$T$4:$AH$15,8,FALSE),0))/(1+0.08*AK201))&lt;=0,999999,FLOOR(MIN(('Rules &amp; Formulas'!B15+25*AJ201),M201+('Rules &amp; Formulas'!B14+0.4*AJ201)*(MIN(IF(B202="Go AFK",IF(D202="",0,D202),0),Z201/60)*60))/(IF((IFERROR(VLOOKUP(C202,Monsters!$T$4:$AH$15,8,FALSE),0))=0,0.35,IFERROR(VLOOKUP(C202,Monsters!$T$4:$AH$15,8,FALSE),0))/(1+0.08*AK201)),1)),('Rules &amp; Formulas'!B4*N201*('Rules &amp; Formulas'!B5+O201)*IFERROR(VLOOKUP(C202,Monsters!$T$4:$AH$15,10,FALSE),0)*IFERROR(VLOOKUP(C202,Monsters!$T$4:$AH$15,9,FALSE),0))*(MIN(IF(B202="Go AFK",IF(D202="",0,D202),0),Z201/60)*60)),0),0))</f>
        <v/>
      </c>
      <c r="S202" s="7">
        <f>(105/'Rules &amp; Formulas'!B10)*'Rules &amp; Formulas'!B11</f>
        <v/>
      </c>
      <c r="T202" s="7">
        <f>IF(AD201&gt;=1,(MAX(1,ROUND('Rules &amp; Formulas'!B18*(1+0.3*AE201)*(1+0.4*AF201),0)))*(1000/'Rules &amp; Formulas'!B19)*MIN(0.95,'Rules &amp; Formulas'!B20*SQRT(1+0.55*(AG201&gt;=1))),0)</f>
        <v/>
      </c>
      <c r="U202" s="7">
        <f>S202+T202</f>
        <v/>
      </c>
      <c r="V202" s="7">
        <f>IF(I201&gt;=IF((IFERROR(VLOOKUP(C202,Monsters!$T$4:$AH$15,15,FALSE),0))=0,120,IFERROR(VLOOKUP(C202,Monsters!$T$4:$AH$15,15,FALSE),0)),"YES","no")</f>
        <v/>
      </c>
      <c r="W202" s="7">
        <f>IF(AND(B202="Fight boss",E202="OK"),IF((((105/'Rules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Formulas'!B20*SQRT(1+0.55*(AG201&gt;=1))),0)))),"")</f>
        <v/>
      </c>
      <c r="X202" s="7">
        <f>IF(AND(B202="Fight boss",E202="OK"),IF((IF((((105/'Rules &amp; Formulas'!B10)*'Rules &amp; Formulas'!B11+IF(AD201&gt;=1,(MAX(1,ROUND('Rules &amp; Formulas'!B18*(1+0.3*AE201)*(1+0.4*AF201),0)))*(1000/'Rules &amp; Formulas'!B19)*MIN(0.95,'Rules &amp; Formulas'!B20*SQRT(1+0.55*(AG201&gt;=1))),0)))&lt;=0,9999,(IFERROR(VLOOKUP(C202,Monsters!$T$4:$AH$15,2,FALSE),0))/(((105/'Rules &amp; Formulas'!B10)*'Rules &amp; Formulas'!B11+IF(AD201&gt;=1,(MAX(1,ROUND('Rules &amp; Formulas'!B18*(1+0.3*AE201)*(1+0.4*AF201),0)))*(1000/'Rules &amp; Formulas'!B19)*MIN(0.95,'Rules &amp; Formulas'!B20*SQRT(1+0.55*(AG201&gt;=1))),0))))&lt;='Rules &amp; Formulas'!B12),"WIN","LOSE"),"")</f>
        <v/>
      </c>
      <c r="Y202" s="7">
        <f>IF(B202="Go AFK",MIN(IF(B202="Go AFK",IF(D202="",0,D202),0),Z201/60),"")</f>
        <v/>
      </c>
      <c r="Z202" s="7">
        <f>('Rules &amp; Formulas'!B13+30*AI202)</f>
        <v/>
      </c>
      <c r="AA202">
        <f>COUNTIFS($B$3:$B202,"Buy upgrade",$C$3:$C202,"Idle Power")</f>
        <v/>
      </c>
      <c r="AB202">
        <f>COUNTIFS($B$3:$B202,"Buy upgrade",$C$3:$C202,"Iron Blade")</f>
        <v/>
      </c>
      <c r="AC202">
        <f>COUNTIFS($B$3:$B202,"Buy upgrade",$C$3:$C202,"Steel Blade")</f>
        <v/>
      </c>
      <c r="AD202">
        <f>COUNTIFS($B$3:$B202,"Hire hunter",$C$3:$C202,"Briar")+COUNTIFS($B$3:$B202,"Buy upgrade",$C$3:$C202,"Hire Briar")</f>
        <v/>
      </c>
      <c r="AE202">
        <f>COUNTIFS($B$3:$B202,"Buy upgrade",$C$3:$C202,"Hunter Power")</f>
        <v/>
      </c>
      <c r="AF202">
        <f>COUNTIFS($B$3:$B202,"Buy upgrade",$C$3:$C202,"Bigger Hits")</f>
        <v/>
      </c>
      <c r="AG202">
        <f>COUNTIFS($B$3:$B202,"Buy upgrade",$C$3:$C202,"Swift Walk")</f>
        <v/>
      </c>
      <c r="AH202">
        <f>COUNTIFS($B$3:$B202,"Buy upgrade",$C$3:$C202,"Loot Luck")</f>
        <v/>
      </c>
      <c r="AI202">
        <f>COUNTIFS($B$3:$B202,"Buy upgrade",$C$3:$C202,"Offline Cap")</f>
        <v/>
      </c>
      <c r="AJ202">
        <f>COUNTIFS($B$3:$B202,"Buy upgrade",$C$3:$C202,"Bigger Food Stock")</f>
        <v/>
      </c>
      <c r="AK202">
        <f>COUNTIFS($B$3:$B202,"Buy upgrade",$C$3:$C202,"Food Efficiency")</f>
        <v/>
      </c>
    </row>
    <row r="203">
      <c r="A203" t="n">
        <v>201</v>
      </c>
      <c r="B203" s="6" t="n"/>
      <c r="C203" s="6" t="n"/>
      <c r="D203" s="6" t="n"/>
      <c r="E203" s="7">
        <f>IF(B203="","",IF(OR(B203="Hunt",B203="Go AFK"),IF(C203="","Can't","OK"),IF(B203="Fight boss",IF(I202&lt;IF((IFERROR(VLOOKUP(C203,Monsters!$T$4:$AH$15,15,FALSE),0))=0,120,IFERROR(VLOOKUP(C203,Monsters!$T$4:$AH$15,15,FALSE),0)),"Can't","OK"),IF(B203="Hire hunter",IF(AND(C203="Briar",AD202&gt;=1),"Can't",IF(H202&lt;IF(C203="Briar",140,IF(C203="Quill",3650,IF(C203="Moss",4850,IF(C203="Ember",12200,0)))),"Can't","OK")),IF(OR(B203="Buy upgrade",B203="Forge/Scrapwork buy"),IF(IFERROR(VLOOKUP(C203,Upgrades!$N$4:$T$47,2,FALSE),0)="points","Can't",IF(IFERROR(VLOOKUP(C203,Upgrades!$N$4:$T$47,2,FALSE),0)="gold",IF(H202&lt;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buy",$C$3:$C202,C203))),1),0),"Can't","OK"),IF(IFERROR(VLOOKUP(C203,Upgrades!$N$4:$T$47,2,FALSE),0)="scraps",IF(J202&lt;IFERROR(FLOOR(IFERROR(VLOOKUP(C203,Upgrades!$N$4:$T$47,3,FALSE),0)*(IFERROR(VLOOKUP(C203,Upgrades!$N$4:$T$47,4,FALSE),0)^(COUNTIFS($B$3:$B202,"Buy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buy",$C$3:$C202,C203))),1),0),"Can't","OK"),IF(IFERROR(VLOOKUP(C203,Upgrades!$N$4:$T$47,2,FALSE),0)="mats","Can't","OK")))),"Check")))))</f>
        <v/>
      </c>
      <c r="F203" s="7">
        <f>IF(B203="","",IF(AND(B203="Fight boss",I202&lt;IF((IFERROR(VLOOKUP(C203,Monsters!$T$4:$AH$15,15,FALSE),0))=0,120,IFERROR(VLOOKUP(C203,Monsters!$T$4:$AH$15,15,FALSE),0))),"Can't — need "&amp;TEXT(IF((IFERROR(VLOOKUP(C203,Monsters!$T$4:$AH$15,15,FALSE),0))=0,120,IFERROR(VLOOKUP(C203,Monsters!$T$4:$AH$15,15,FALSE),0))-I202,"0.0")&amp;" more Slayer points on the meter",IF(AND(B203="Hire hunter",C203="Briar",AD202&gt;=1),"Can't — already hired",IF(AND(B203="Hire hunter",H202&lt;IF(C203="Briar",140,IF(C203="Quill",3650,IF(C203="Moss",4850,IF(C203="Ember",12200,0))))),"Can't — need "&amp;TEXT(IF(C203="Briar",140,IF(C203="Quill",3650,IF(C203="Moss",4850,IF(C203="Ember",12200,0))))-H202,"0")&amp;" more gold",IF(AND(OR(B203="Buy upgrade",B203="Forge/Scrapwork buy"),IFERROR(VLOOKUP(C203,Upgrades!$N$4:$T$47,2,FALSE),0)="points"),"Can't — Sp-wallet spends not tracked here",IF(AND(OR(B203="Buy upgrade",B203="Forge/Scrapwork buy"),IFERROR(VLOOKUP(C203,Upgrades!$N$4:$T$47,2,FALSE),0)="gold",H202&lt;IFERROR(FLOOR(IFERROR(VLOOKUP(C203,Upgrades!$N$4:$T$47,3,FALSE),0)*(IFERROR(VLOOKUP(C203,Upgrades!$N$4:$T$47,4,FALSE),0)^(COUNTIFS($B$3:$B202,"Buy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buy",$C$3:$C202,C203))),1),0)),"Can't — need "&amp;TEXT(IFERROR(FLOOR(IFERROR(VLOOKUP(C203,Upgrades!$N$4:$T$47,3,FALSE),0)*(IFERROR(VLOOKUP(C203,Upgrades!$N$4:$T$47,4,FALSE),0)^(COUNTIFS($B$3:$B202,"Buy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buy",$C$3:$C202,C203))),1),0)-H202,"0")&amp;" more gold",IF(AND(OR(B203="Buy upgrade",B203="Forge/Scrapwork buy"),IFERROR(VLOOKUP(C203,Upgrades!$N$4:$T$47,2,FALSE),0)="scraps",J202&lt;IFERROR(FLOOR(IFERROR(VLOOKUP(C203,Upgrades!$N$4:$T$47,3,FALSE),0)*(IFERROR(VLOOKUP(C203,Upgrades!$N$4:$T$47,4,FALSE),0)^(COUNTIFS($B$3:$B202,"Buy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buy",$C$3:$C202,C203))),1),0)),"Can't — need "&amp;TEXT(IFERROR(FLOOR(IFERROR(VLOOKUP(C203,Upgrades!$N$4:$T$47,3,FALSE),0)*(IFERROR(VLOOKUP(C203,Upgrades!$N$4:$T$47,4,FALSE),0)^(COUNTIFS($B$3:$B202,"Buy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buy",$C$3:$C202,C203))),1),0)-J202,"0")&amp;" more scraps",IF(AND(B203="Fight boss",E203="OK",(IF((((105/'Rules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Formulas'!B12)),"WIN — boss down, next Level unlocks",IF(AND(B203="Fight boss",E203="OK"),"LOSE — TTK "&amp;TEXT(IF((((105/'Rules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Formulas'!B20*SQRT(1+0.55*(AG202&gt;=1))),0)))),"0")&amp;"s &gt; patience "&amp;TEXT('Rules &amp; Formulas'!B12,"0")&amp;"s (leave resets HP)",IF(B203="Go AFK","AFK resolved (see AFK counted h)","Applied")))))))))</f>
        <v/>
      </c>
      <c r="G203" s="7">
        <f>IF(AND((E203="OK"),B203="Fight boss",(IF((((105/'Rules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Formulas'!B12),C203="Elder Thornpelt"),2,IF(AND((E203="OK"),B203="Fight boss",(IF((((105/'Rules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Formulas'!B12),C203="Ashfang Alpha"),3,G202))</f>
        <v/>
      </c>
      <c r="H203" s="7">
        <f>MAX(0,H202+IF(AND((E203="OK"),B203="Hunt"),(IF(B203="Hunt",(('Rules &amp; Formulas'!B4*N202*('Rules &amp; Formulas'!B5+O202)*IFERROR(VLOOKUP(C203,Monsters!$T$4:$AH$15,10,FALSE),0)*IFERROR(VLOOKUP(C203,Monsters!$T$4:$AH$15,9,FALSE),0))*'Rules &amp; Formulas'!B6)*IF(D203="",0,D203),0))*(IFERROR(VLOOKUP(C203,Monsters!$T$4:$AH$15,3,FALSE),0))*(1+0.1*AH202)+(IF(OR(B203&lt;&gt;"Hunt",IFERROR(VLOOKUP(C203,Monsters!$T$4:$AH$15,6,FALSE),0)=0),0,FLOOR((IF(B203="Hunt",(('Rules &amp; Formulas'!B4*N202*('Rules &amp; Formulas'!B5+O202)*IFERROR(VLOOKUP(C203,Monsters!$T$4:$AH$15,10,FALSE),0)*IFERROR(VLOOKUP(C203,Monsters!$T$4:$AH$15,9,FALSE),0))*'Rules &amp; Formulas'!B6)*IF(D203="",0,D203),0))/MAX(1,IFERROR(VLOOKUP(C203,Monsters!$T$4:$AH$15,6,FALSE),0)),1)))*(IFERROR(VLOOKUP(C203,Monsters!$T$4:$AH$15,7,FALSE),0))*0.5*(1+0.1*AH202),0)+IF(AND((E203="OK"),B203="Go AFK"),(IF(B203="Go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AFK",IF(D203="",0,D203),0),Z202/60)*60)),0))*(IFERROR(VLOOKUP(C203,Monsters!$T$4:$AH$15,3,FALSE),0))*(1+0.1*AH202)+(IF(OR(B203&lt;&gt;"Go AFK",IFERROR(VLOOKUP(C203,Monsters!$T$4:$AH$15,6,FALSE),0)=0),0,FLOOR((IF(B203="Go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AFK",IF(D203="",0,D203),0),Z202/60)*60)),0))/MAX(1,IFERROR(VLOOKUP(C203,Monsters!$T$4:$AH$15,6,FALSE),0)),1)))*(IFERROR(VLOOKUP(C203,Monsters!$T$4:$AH$15,7,FALSE),0))*0.5*(1+0.1*AH202),0)+IF(AND((E203="OK"),B203="Fight boss",(IF((((105/'Rules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Formulas'!B12)),IFERROR(VLOOKUP(C203,Monsters!$T$4:$AH$15,3,FALSE),0),0)-IF(AND((E203="OK"),OR(B203="Buy upgrade",B203="Forge/Scrapwork buy"),IFERROR(VLOOKUP(C203,Upgrades!$N$4:$T$47,2,FALSE),0)="gold"),IFERROR(FLOOR(IFERROR(VLOOKUP(C203,Upgrades!$N$4:$T$47,3,FALSE),0)*(IFERROR(VLOOKUP(C203,Upgrades!$N$4:$T$47,4,FALSE),0)^(COUNTIFS($B$3:$B202,"Buy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buy",$C$3:$C202,C203))),1),0),0)-IF(AND((E203="OK"),B203="Hire hunter"),IF(C203="Briar",140,IF(C203="Quill",3650,IF(C203="Moss",4850,IF(C203="Ember",12200,0)))),0))</f>
        <v/>
      </c>
      <c r="I203" s="7">
        <f>IF(AND((E203="OK"),B203="Fight boss",(IF((((105/'Rules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Formulas'!B12)),0,MIN(IF(G202&lt;=1,120,IF(G202=2,280,600)),I202+IF(AND((E203="OK"),B203="Hunt"),((IF(B203="Hunt",(('Rules &amp; Formulas'!B4*N202*('Rules &amp; Formulas'!B5+O202)*IFERROR(VLOOKUP(C203,Monsters!$T$4:$AH$15,10,FALSE),0)*IFERROR(VLOOKUP(C203,Monsters!$T$4:$AH$15,9,FALSE),0))*'Rules &amp; Formulas'!B6)*IF(D203="",0,D203),0))*(IFERROR(VLOOKUP(C203,Monsters!$T$4:$AH$15,4,FALSE),0))+(IF(OR(B203&lt;&gt;"Hunt",IFERROR(VLOOKUP(C203,Monsters!$T$4:$AH$15,6,FALSE),0)=0),0,FLOOR((IF(B203="Hunt",(('Rules &amp; Formulas'!B4*N202*('Rules &amp; Formulas'!B5+O202)*IFERROR(VLOOKUP(C203,Monsters!$T$4:$AH$15,10,FALSE),0)*IFERROR(VLOOKUP(C203,Monsters!$T$4:$AH$15,9,FALSE),0))*'Rules &amp; Formulas'!B6)*IF(D203="",0,D203),0))/MAX(1,IFERROR(VLOOKUP(C203,Monsters!$T$4:$AH$15,6,FALSE),0)),1)))*(IFERROR(VLOOKUP(C203,Monsters!$T$4:$AH$15,7,FALSE),0))),0)+IF(AND((E203="OK"),B203="Go AFK"),((IF(B203="Go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AFK",IF(D203="",0,D203),0),Z202/60)*60)),0))*(IFERROR(VLOOKUP(C203,Monsters!$T$4:$AH$15,4,FALSE),0))+(IF(OR(B203&lt;&gt;"Go AFK",IFERROR(VLOOKUP(C203,Monsters!$T$4:$AH$15,6,FALSE),0)=0),0,FLOOR((IF(B203="Go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AFK",IF(D203="",0,D203),0),Z202/60)*60)),0))/MAX(1,IFERROR(VLOOKUP(C203,Monsters!$T$4:$AH$15,6,FALSE),0)),1)))*(IFERROR(VLOOKUP(C203,Monsters!$T$4:$AH$15,7,FALSE),0))),0)))</f>
        <v/>
      </c>
      <c r="J203" s="7">
        <f>MAX(0,J202+IF(AND((E203="OK"),B203="Hunt"),(IF(B203="Hunt",(('Rules &amp; Formulas'!B4*N202*('Rules &amp; Formulas'!B5+O202)*IFERROR(VLOOKUP(C203,Monsters!$T$4:$AH$15,10,FALSE),0)*IFERROR(VLOOKUP(C203,Monsters!$T$4:$AH$15,9,FALSE),0))*'Rules &amp; Formulas'!B6)*IF(D203="",0,D203),0))*(IFERROR(VLOOKUP(C203,Monsters!$T$4:$AH$15,5,FALSE),0)),0)+IF(AND((E203="OK"),B203="Go AFK"),(IF(B203="Go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AFK",IF(D203="",0,D203),0),Z202/60)*60)),0))*(IFERROR(VLOOKUP(C203,Monsters!$T$4:$AH$15,5,FALSE),0)),0)-IF(AND((E203="OK"),OR(B203="Buy upgrade",B203="Forge/Scrapwork buy"),IFERROR(VLOOKUP(C203,Upgrades!$N$4:$T$47,2,FALSE),0)="scraps"),IFERROR(FLOOR(IFERROR(VLOOKUP(C203,Upgrades!$N$4:$T$47,3,FALSE),0)*(IFERROR(VLOOKUP(C203,Upgrades!$N$4:$T$47,4,FALSE),0)^(COUNTIFS($B$3:$B202,"Buy upgrade",$C$3:$C202,C203)+COUNTIFS($B$3:$B202,"Hire hunter",$C$3:$C202,C203)+COUNTIFS($B$3:$B202,"Forge/Scrapwork buy",$C$3:$C202,C203))),1),0),0))</f>
        <v/>
      </c>
      <c r="K203" s="7">
        <f>MAX(0,K202+IF(AND((E203="OK"),B203="Hunt"),IF(C203="Thornpelt Bear",(IF(B203="Hunt",(('Rules &amp; Formulas'!B4*N202*('Rules &amp; Formulas'!B5+O202)*IFERROR(VLOOKUP(C203,Monsters!$T$4:$AH$15,10,FALSE),0)*IFERROR(VLOOKUP(C203,Monsters!$T$4:$AH$15,9,FALSE),0))*'Rules &amp; Formulas'!B6)*IF(D203="",0,D203),0))*0.12,0),0)+IF(AND((E203="OK"),B203="Go AFK"),IF(C203="Thornpelt Bear",(IF(B203="Go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AFK",IF(D203="",0,D203),0),Z202/60)*60)),0))*0.12,0),0))</f>
        <v/>
      </c>
      <c r="L203" s="7">
        <f>MAX(0,L202+IF(AND((E203="OK"),B203="Hunt"),IF(C203="Dire Thornpelt",(IF(B203="Hunt",(('Rules &amp; Formulas'!B4*N202*('Rules &amp; Formulas'!B5+O202)*IFERROR(VLOOKUP(C203,Monsters!$T$4:$AH$15,10,FALSE),0)*IFERROR(VLOOKUP(C203,Monsters!$T$4:$AH$15,9,FALSE),0))*'Rules &amp; Formulas'!B6)*IF(D203="",0,D203),0))*0.1,0),0)+IF(AND((E203="OK"),B203="Go AFK"),IF(C203="Dire Thornpelt",(IF(B203="Go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AFK",IF(D203="",0,D203),0),Z202/60)*60)),0))*0.1,0),0))</f>
        <v/>
      </c>
      <c r="M203" s="7">
        <f>IF(AND((E203="OK"),B203="Go AFK"),MAX(0,MIN(('Rules &amp; Formulas'!B15+25*AJ202),M202+('Rules &amp; Formulas'!B14+0.4*AJ202)*(MIN(IF(B203="Go AFK",IF(D203="",0,D203),0),Z202/60)*60))-(IF(B203="Go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AFK",IF(D203="",0,D203),0),Z202/60)*60)),0))*(IF((IFERROR(VLOOKUP(C203,Monsters!$T$4:$AH$15,8,FALSE),0))=0,0.35,IFERROR(VLOOKUP(C203,Monsters!$T$4:$AH$15,8,FALSE),0))/(1+0.08*AK202))),MIN(('Rules &amp; Formulas'!B15+25*AJ203),M202))</f>
        <v/>
      </c>
      <c r="N203" s="7">
        <f>(1+0.08+0.12*AA203+0.12*AB203+0.16*AC203)</f>
        <v/>
      </c>
      <c r="O203" s="7">
        <f>((AD203&gt;=1)*1*(1+0.3*AE203))</f>
        <v/>
      </c>
      <c r="P203" s="7">
        <f>IF(OR(B203="Hunt",B203="Go AFK"),(('Rules &amp; Formulas'!B4*N202*('Rules &amp; Formulas'!B5+O202)*IFERROR(VLOOKUP(C203,Monsters!$T$4:$AH$15,10,FALSE),0)*IFERROR(VLOOKUP(C203,Monsters!$T$4:$AH$15,9,FALSE),0))*'Rules &amp; Formulas'!B6),"")</f>
        <v/>
      </c>
      <c r="Q203" s="7">
        <f>IF(OR(B203="Hunt",B203="Go AFK"),('Rules &amp; Formulas'!B4*N202*('Rules &amp; Formulas'!B5+O202)*IFERROR(VLOOKUP(C203,Monsters!$T$4:$AH$15,10,FALSE),0)*IFERROR(VLOOKUP(C203,Monsters!$T$4:$AH$15,9,FALSE),0)),"")</f>
        <v/>
      </c>
      <c r="R203" s="7">
        <f>IF(AND((E203="OK"),B203="Hunt"),IF(B203="Hunt",(('Rules &amp; Formulas'!B4*N202*('Rules &amp; Formulas'!B5+O202)*IFERROR(VLOOKUP(C203,Monsters!$T$4:$AH$15,10,FALSE),0)*IFERROR(VLOOKUP(C203,Monsters!$T$4:$AH$15,9,FALSE),0))*'Rules &amp; Formulas'!B6)*IF(D203="",0,D203),0),IF(AND((E203="OK"),B203="Go AFK"),IF(B203="Go AFK",MIN(IF((IF((IFERROR(VLOOKUP(C203,Monsters!$T$4:$AH$15,8,FALSE),0))=0,0.35,IFERROR(VLOOKUP(C203,Monsters!$T$4:$AH$15,8,FALSE),0))/(1+0.08*AK202))&lt;=0,999999,FLOOR(MIN(('Rules &amp; Formulas'!B15+25*AJ202),M202+('Rules &amp; Formulas'!B14+0.4*AJ202)*(MIN(IF(B203="Go AFK",IF(D203="",0,D203),0),Z202/60)*60))/(IF((IFERROR(VLOOKUP(C203,Monsters!$T$4:$AH$15,8,FALSE),0))=0,0.35,IFERROR(VLOOKUP(C203,Monsters!$T$4:$AH$15,8,FALSE),0))/(1+0.08*AK202)),1)),('Rules &amp; Formulas'!B4*N202*('Rules &amp; Formulas'!B5+O202)*IFERROR(VLOOKUP(C203,Monsters!$T$4:$AH$15,10,FALSE),0)*IFERROR(VLOOKUP(C203,Monsters!$T$4:$AH$15,9,FALSE),0))*(MIN(IF(B203="Go AFK",IF(D203="",0,D203),0),Z202/60)*60)),0),0))</f>
        <v/>
      </c>
      <c r="S203" s="7">
        <f>(105/'Rules &amp; Formulas'!B10)*'Rules &amp; Formulas'!B11</f>
        <v/>
      </c>
      <c r="T203" s="7">
        <f>IF(AD202&gt;=1,(MAX(1,ROUND('Rules &amp; Formulas'!B18*(1+0.3*AE202)*(1+0.4*AF202),0)))*(1000/'Rules &amp; Formulas'!B19)*MIN(0.95,'Rules &amp; Formulas'!B20*SQRT(1+0.55*(AG202&gt;=1))),0)</f>
        <v/>
      </c>
      <c r="U203" s="7">
        <f>S203+T203</f>
        <v/>
      </c>
      <c r="V203" s="7">
        <f>IF(I202&gt;=IF((IFERROR(VLOOKUP(C203,Monsters!$T$4:$AH$15,15,FALSE),0))=0,120,IFERROR(VLOOKUP(C203,Monsters!$T$4:$AH$15,15,FALSE),0)),"YES","no")</f>
        <v/>
      </c>
      <c r="W203" s="7">
        <f>IF(AND(B203="Fight boss",E203="OK"),IF((((105/'Rules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Formulas'!B20*SQRT(1+0.55*(AG202&gt;=1))),0)))),"")</f>
        <v/>
      </c>
      <c r="X203" s="7">
        <f>IF(AND(B203="Fight boss",E203="OK"),IF((IF((((105/'Rules &amp; Formulas'!B10)*'Rules &amp; Formulas'!B11+IF(AD202&gt;=1,(MAX(1,ROUND('Rules &amp; Formulas'!B18*(1+0.3*AE202)*(1+0.4*AF202),0)))*(1000/'Rules &amp; Formulas'!B19)*MIN(0.95,'Rules &amp; Formulas'!B20*SQRT(1+0.55*(AG202&gt;=1))),0)))&lt;=0,9999,(IFERROR(VLOOKUP(C203,Monsters!$T$4:$AH$15,2,FALSE),0))/(((105/'Rules &amp; Formulas'!B10)*'Rules &amp; Formulas'!B11+IF(AD202&gt;=1,(MAX(1,ROUND('Rules &amp; Formulas'!B18*(1+0.3*AE202)*(1+0.4*AF202),0)))*(1000/'Rules &amp; Formulas'!B19)*MIN(0.95,'Rules &amp; Formulas'!B20*SQRT(1+0.55*(AG202&gt;=1))),0))))&lt;='Rules &amp; Formulas'!B12),"WIN","LOSE"),"")</f>
        <v/>
      </c>
      <c r="Y203" s="7">
        <f>IF(B203="Go AFK",MIN(IF(B203="Go AFK",IF(D203="",0,D203),0),Z202/60),"")</f>
        <v/>
      </c>
      <c r="Z203" s="7">
        <f>('Rules &amp; Formulas'!B13+30*AI203)</f>
        <v/>
      </c>
      <c r="AA203">
        <f>COUNTIFS($B$3:$B203,"Buy upgrade",$C$3:$C203,"Idle Power")</f>
        <v/>
      </c>
      <c r="AB203">
        <f>COUNTIFS($B$3:$B203,"Buy upgrade",$C$3:$C203,"Iron Blade")</f>
        <v/>
      </c>
      <c r="AC203">
        <f>COUNTIFS($B$3:$B203,"Buy upgrade",$C$3:$C203,"Steel Blade")</f>
        <v/>
      </c>
      <c r="AD203">
        <f>COUNTIFS($B$3:$B203,"Hire hunter",$C$3:$C203,"Briar")+COUNTIFS($B$3:$B203,"Buy upgrade",$C$3:$C203,"Hire Briar")</f>
        <v/>
      </c>
      <c r="AE203">
        <f>COUNTIFS($B$3:$B203,"Buy upgrade",$C$3:$C203,"Hunter Power")</f>
        <v/>
      </c>
      <c r="AF203">
        <f>COUNTIFS($B$3:$B203,"Buy upgrade",$C$3:$C203,"Bigger Hits")</f>
        <v/>
      </c>
      <c r="AG203">
        <f>COUNTIFS($B$3:$B203,"Buy upgrade",$C$3:$C203,"Swift Walk")</f>
        <v/>
      </c>
      <c r="AH203">
        <f>COUNTIFS($B$3:$B203,"Buy upgrade",$C$3:$C203,"Loot Luck")</f>
        <v/>
      </c>
      <c r="AI203">
        <f>COUNTIFS($B$3:$B203,"Buy upgrade",$C$3:$C203,"Offline Cap")</f>
        <v/>
      </c>
      <c r="AJ203">
        <f>COUNTIFS($B$3:$B203,"Buy upgrade",$C$3:$C203,"Bigger Food Stock")</f>
        <v/>
      </c>
      <c r="AK203">
        <f>COUNTIFS($B$3:$B203,"Buy upgrade",$C$3:$C203,"Food Efficiency")</f>
        <v/>
      </c>
    </row>
    <row r="204">
      <c r="A204" t="n">
        <v>202</v>
      </c>
      <c r="B204" s="6" t="n"/>
      <c r="C204" s="6" t="n"/>
      <c r="D204" s="6" t="n"/>
      <c r="E204" s="7">
        <f>IF(B204="","",IF(OR(B204="Hunt",B204="Go AFK"),IF(C204="","Can't","OK"),IF(B204="Fight boss",IF(I203&lt;IF((IFERROR(VLOOKUP(C204,Monsters!$T$4:$AH$15,15,FALSE),0))=0,120,IFERROR(VLOOKUP(C204,Monsters!$T$4:$AH$15,15,FALSE),0)),"Can't","OK"),IF(B204="Hire hunter",IF(AND(C204="Briar",AD203&gt;=1),"Can't",IF(H203&lt;IF(C204="Briar",140,IF(C204="Quill",3650,IF(C204="Moss",4850,IF(C204="Ember",12200,0)))),"Can't","OK")),IF(OR(B204="Buy upgrade",B204="Forge/Scrapwork buy"),IF(IFERROR(VLOOKUP(C204,Upgrades!$N$4:$T$47,2,FALSE),0)="points","Can't",IF(IFERROR(VLOOKUP(C204,Upgrades!$N$4:$T$47,2,FALSE),0)="gold",IF(H203&lt;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buy",$C$3:$C203,C204))),1),0),"Can't","OK"),IF(IFERROR(VLOOKUP(C204,Upgrades!$N$4:$T$47,2,FALSE),0)="scraps",IF(J203&lt;IFERROR(FLOOR(IFERROR(VLOOKUP(C204,Upgrades!$N$4:$T$47,3,FALSE),0)*(IFERROR(VLOOKUP(C204,Upgrades!$N$4:$T$47,4,FALSE),0)^(COUNTIFS($B$3:$B203,"Buy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buy",$C$3:$C203,C204))),1),0),"Can't","OK"),IF(IFERROR(VLOOKUP(C204,Upgrades!$N$4:$T$47,2,FALSE),0)="mats","Can't","OK")))),"Check")))))</f>
        <v/>
      </c>
      <c r="F204" s="7">
        <f>IF(B204="","",IF(AND(B204="Fight boss",I203&lt;IF((IFERROR(VLOOKUP(C204,Monsters!$T$4:$AH$15,15,FALSE),0))=0,120,IFERROR(VLOOKUP(C204,Monsters!$T$4:$AH$15,15,FALSE),0))),"Can't — need "&amp;TEXT(IF((IFERROR(VLOOKUP(C204,Monsters!$T$4:$AH$15,15,FALSE),0))=0,120,IFERROR(VLOOKUP(C204,Monsters!$T$4:$AH$15,15,FALSE),0))-I203,"0.0")&amp;" more Slayer points on the meter",IF(AND(B204="Hire hunter",C204="Briar",AD203&gt;=1),"Can't — already hired",IF(AND(B204="Hire hunter",H203&lt;IF(C204="Briar",140,IF(C204="Quill",3650,IF(C204="Moss",4850,IF(C204="Ember",12200,0))))),"Can't — need "&amp;TEXT(IF(C204="Briar",140,IF(C204="Quill",3650,IF(C204="Moss",4850,IF(C204="Ember",12200,0))))-H203,"0")&amp;" more gold",IF(AND(OR(B204="Buy upgrade",B204="Forge/Scrapwork buy"),IFERROR(VLOOKUP(C204,Upgrades!$N$4:$T$47,2,FALSE),0)="points"),"Can't — Sp-wallet spends not tracked here",IF(AND(OR(B204="Buy upgrade",B204="Forge/Scrapwork buy"),IFERROR(VLOOKUP(C204,Upgrades!$N$4:$T$47,2,FALSE),0)="gold",H203&lt;IFERROR(FLOOR(IFERROR(VLOOKUP(C204,Upgrades!$N$4:$T$47,3,FALSE),0)*(IFERROR(VLOOKUP(C204,Upgrades!$N$4:$T$47,4,FALSE),0)^(COUNTIFS($B$3:$B203,"Buy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buy",$C$3:$C203,C204))),1),0)),"Can't — need "&amp;TEXT(IFERROR(FLOOR(IFERROR(VLOOKUP(C204,Upgrades!$N$4:$T$47,3,FALSE),0)*(IFERROR(VLOOKUP(C204,Upgrades!$N$4:$T$47,4,FALSE),0)^(COUNTIFS($B$3:$B203,"Buy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buy",$C$3:$C203,C204))),1),0)-H203,"0")&amp;" more gold",IF(AND(OR(B204="Buy upgrade",B204="Forge/Scrapwork buy"),IFERROR(VLOOKUP(C204,Upgrades!$N$4:$T$47,2,FALSE),0)="scraps",J203&lt;IFERROR(FLOOR(IFERROR(VLOOKUP(C204,Upgrades!$N$4:$T$47,3,FALSE),0)*(IFERROR(VLOOKUP(C204,Upgrades!$N$4:$T$47,4,FALSE),0)^(COUNTIFS($B$3:$B203,"Buy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buy",$C$3:$C203,C204))),1),0)),"Can't — need "&amp;TEXT(IFERROR(FLOOR(IFERROR(VLOOKUP(C204,Upgrades!$N$4:$T$47,3,FALSE),0)*(IFERROR(VLOOKUP(C204,Upgrades!$N$4:$T$47,4,FALSE),0)^(COUNTIFS($B$3:$B203,"Buy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buy",$C$3:$C203,C204))),1),0)-J203,"0")&amp;" more scraps",IF(AND(B204="Fight boss",E204="OK",(IF((((105/'Rules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Formulas'!B12)),"WIN — boss down, next Level unlocks",IF(AND(B204="Fight boss",E204="OK"),"LOSE — TTK "&amp;TEXT(IF((((105/'Rules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Formulas'!B20*SQRT(1+0.55*(AG203&gt;=1))),0)))),"0")&amp;"s &gt; patience "&amp;TEXT('Rules &amp; Formulas'!B12,"0")&amp;"s (leave resets HP)",IF(B204="Go AFK","AFK resolved (see AFK counted h)","Applied")))))))))</f>
        <v/>
      </c>
      <c r="G204" s="7">
        <f>IF(AND((E204="OK"),B204="Fight boss",(IF((((105/'Rules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Formulas'!B12),C204="Elder Thornpelt"),2,IF(AND((E204="OK"),B204="Fight boss",(IF((((105/'Rules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Formulas'!B12),C204="Ashfang Alpha"),3,G203))</f>
        <v/>
      </c>
      <c r="H204" s="7">
        <f>MAX(0,H203+IF(AND((E204="OK"),B204="Hunt"),(IF(B204="Hunt",(('Rules &amp; Formulas'!B4*N203*('Rules &amp; Formulas'!B5+O203)*IFERROR(VLOOKUP(C204,Monsters!$T$4:$AH$15,10,FALSE),0)*IFERROR(VLOOKUP(C204,Monsters!$T$4:$AH$15,9,FALSE),0))*'Rules &amp; Formulas'!B6)*IF(D204="",0,D204),0))*(IFERROR(VLOOKUP(C204,Monsters!$T$4:$AH$15,3,FALSE),0))*(1+0.1*AH203)+(IF(OR(B204&lt;&gt;"Hunt",IFERROR(VLOOKUP(C204,Monsters!$T$4:$AH$15,6,FALSE),0)=0),0,FLOOR((IF(B204="Hunt",(('Rules &amp; Formulas'!B4*N203*('Rules &amp; Formulas'!B5+O203)*IFERROR(VLOOKUP(C204,Monsters!$T$4:$AH$15,10,FALSE),0)*IFERROR(VLOOKUP(C204,Monsters!$T$4:$AH$15,9,FALSE),0))*'Rules &amp; Formulas'!B6)*IF(D204="",0,D204),0))/MAX(1,IFERROR(VLOOKUP(C204,Monsters!$T$4:$AH$15,6,FALSE),0)),1)))*(IFERROR(VLOOKUP(C204,Monsters!$T$4:$AH$15,7,FALSE),0))*0.5*(1+0.1*AH203),0)+IF(AND((E204="OK"),B204="Go AFK"),(IF(B204="Go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AFK",IF(D204="",0,D204),0),Z203/60)*60)),0))*(IFERROR(VLOOKUP(C204,Monsters!$T$4:$AH$15,3,FALSE),0))*(1+0.1*AH203)+(IF(OR(B204&lt;&gt;"Go AFK",IFERROR(VLOOKUP(C204,Monsters!$T$4:$AH$15,6,FALSE),0)=0),0,FLOOR((IF(B204="Go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AFK",IF(D204="",0,D204),0),Z203/60)*60)),0))/MAX(1,IFERROR(VLOOKUP(C204,Monsters!$T$4:$AH$15,6,FALSE),0)),1)))*(IFERROR(VLOOKUP(C204,Monsters!$T$4:$AH$15,7,FALSE),0))*0.5*(1+0.1*AH203),0)+IF(AND((E204="OK"),B204="Fight boss",(IF((((105/'Rules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Formulas'!B12)),IFERROR(VLOOKUP(C204,Monsters!$T$4:$AH$15,3,FALSE),0),0)-IF(AND((E204="OK"),OR(B204="Buy upgrade",B204="Forge/Scrapwork buy"),IFERROR(VLOOKUP(C204,Upgrades!$N$4:$T$47,2,FALSE),0)="gold"),IFERROR(FLOOR(IFERROR(VLOOKUP(C204,Upgrades!$N$4:$T$47,3,FALSE),0)*(IFERROR(VLOOKUP(C204,Upgrades!$N$4:$T$47,4,FALSE),0)^(COUNTIFS($B$3:$B203,"Buy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buy",$C$3:$C203,C204))),1),0),0)-IF(AND((E204="OK"),B204="Hire hunter"),IF(C204="Briar",140,IF(C204="Quill",3650,IF(C204="Moss",4850,IF(C204="Ember",12200,0)))),0))</f>
        <v/>
      </c>
      <c r="I204" s="7">
        <f>IF(AND((E204="OK"),B204="Fight boss",(IF((((105/'Rules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Formulas'!B12)),0,MIN(IF(G203&lt;=1,120,IF(G203=2,280,600)),I203+IF(AND((E204="OK"),B204="Hunt"),((IF(B204="Hunt",(('Rules &amp; Formulas'!B4*N203*('Rules &amp; Formulas'!B5+O203)*IFERROR(VLOOKUP(C204,Monsters!$T$4:$AH$15,10,FALSE),0)*IFERROR(VLOOKUP(C204,Monsters!$T$4:$AH$15,9,FALSE),0))*'Rules &amp; Formulas'!B6)*IF(D204="",0,D204),0))*(IFERROR(VLOOKUP(C204,Monsters!$T$4:$AH$15,4,FALSE),0))+(IF(OR(B204&lt;&gt;"Hunt",IFERROR(VLOOKUP(C204,Monsters!$T$4:$AH$15,6,FALSE),0)=0),0,FLOOR((IF(B204="Hunt",(('Rules &amp; Formulas'!B4*N203*('Rules &amp; Formulas'!B5+O203)*IFERROR(VLOOKUP(C204,Monsters!$T$4:$AH$15,10,FALSE),0)*IFERROR(VLOOKUP(C204,Monsters!$T$4:$AH$15,9,FALSE),0))*'Rules &amp; Formulas'!B6)*IF(D204="",0,D204),0))/MAX(1,IFERROR(VLOOKUP(C204,Monsters!$T$4:$AH$15,6,FALSE),0)),1)))*(IFERROR(VLOOKUP(C204,Monsters!$T$4:$AH$15,7,FALSE),0))),0)+IF(AND((E204="OK"),B204="Go AFK"),((IF(B204="Go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AFK",IF(D204="",0,D204),0),Z203/60)*60)),0))*(IFERROR(VLOOKUP(C204,Monsters!$T$4:$AH$15,4,FALSE),0))+(IF(OR(B204&lt;&gt;"Go AFK",IFERROR(VLOOKUP(C204,Monsters!$T$4:$AH$15,6,FALSE),0)=0),0,FLOOR((IF(B204="Go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AFK",IF(D204="",0,D204),0),Z203/60)*60)),0))/MAX(1,IFERROR(VLOOKUP(C204,Monsters!$T$4:$AH$15,6,FALSE),0)),1)))*(IFERROR(VLOOKUP(C204,Monsters!$T$4:$AH$15,7,FALSE),0))),0)))</f>
        <v/>
      </c>
      <c r="J204" s="7">
        <f>MAX(0,J203+IF(AND((E204="OK"),B204="Hunt"),(IF(B204="Hunt",(('Rules &amp; Formulas'!B4*N203*('Rules &amp; Formulas'!B5+O203)*IFERROR(VLOOKUP(C204,Monsters!$T$4:$AH$15,10,FALSE),0)*IFERROR(VLOOKUP(C204,Monsters!$T$4:$AH$15,9,FALSE),0))*'Rules &amp; Formulas'!B6)*IF(D204="",0,D204),0))*(IFERROR(VLOOKUP(C204,Monsters!$T$4:$AH$15,5,FALSE),0)),0)+IF(AND((E204="OK"),B204="Go AFK"),(IF(B204="Go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AFK",IF(D204="",0,D204),0),Z203/60)*60)),0))*(IFERROR(VLOOKUP(C204,Monsters!$T$4:$AH$15,5,FALSE),0)),0)-IF(AND((E204="OK"),OR(B204="Buy upgrade",B204="Forge/Scrapwork buy"),IFERROR(VLOOKUP(C204,Upgrades!$N$4:$T$47,2,FALSE),0)="scraps"),IFERROR(FLOOR(IFERROR(VLOOKUP(C204,Upgrades!$N$4:$T$47,3,FALSE),0)*(IFERROR(VLOOKUP(C204,Upgrades!$N$4:$T$47,4,FALSE),0)^(COUNTIFS($B$3:$B203,"Buy upgrade",$C$3:$C203,C204)+COUNTIFS($B$3:$B203,"Hire hunter",$C$3:$C203,C204)+COUNTIFS($B$3:$B203,"Forge/Scrapwork buy",$C$3:$C203,C204))),1),0),0))</f>
        <v/>
      </c>
      <c r="K204" s="7">
        <f>MAX(0,K203+IF(AND((E204="OK"),B204="Hunt"),IF(C204="Thornpelt Bear",(IF(B204="Hunt",(('Rules &amp; Formulas'!B4*N203*('Rules &amp; Formulas'!B5+O203)*IFERROR(VLOOKUP(C204,Monsters!$T$4:$AH$15,10,FALSE),0)*IFERROR(VLOOKUP(C204,Monsters!$T$4:$AH$15,9,FALSE),0))*'Rules &amp; Formulas'!B6)*IF(D204="",0,D204),0))*0.12,0),0)+IF(AND((E204="OK"),B204="Go AFK"),IF(C204="Thornpelt Bear",(IF(B204="Go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AFK",IF(D204="",0,D204),0),Z203/60)*60)),0))*0.12,0),0))</f>
        <v/>
      </c>
      <c r="L204" s="7">
        <f>MAX(0,L203+IF(AND((E204="OK"),B204="Hunt"),IF(C204="Dire Thornpelt",(IF(B204="Hunt",(('Rules &amp; Formulas'!B4*N203*('Rules &amp; Formulas'!B5+O203)*IFERROR(VLOOKUP(C204,Monsters!$T$4:$AH$15,10,FALSE),0)*IFERROR(VLOOKUP(C204,Monsters!$T$4:$AH$15,9,FALSE),0))*'Rules &amp; Formulas'!B6)*IF(D204="",0,D204),0))*0.1,0),0)+IF(AND((E204="OK"),B204="Go AFK"),IF(C204="Dire Thornpelt",(IF(B204="Go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AFK",IF(D204="",0,D204),0),Z203/60)*60)),0))*0.1,0),0))</f>
        <v/>
      </c>
      <c r="M204" s="7">
        <f>IF(AND((E204="OK"),B204="Go AFK"),MAX(0,MIN(('Rules &amp; Formulas'!B15+25*AJ203),M203+('Rules &amp; Formulas'!B14+0.4*AJ203)*(MIN(IF(B204="Go AFK",IF(D204="",0,D204),0),Z203/60)*60))-(IF(B204="Go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AFK",IF(D204="",0,D204),0),Z203/60)*60)),0))*(IF((IFERROR(VLOOKUP(C204,Monsters!$T$4:$AH$15,8,FALSE),0))=0,0.35,IFERROR(VLOOKUP(C204,Monsters!$T$4:$AH$15,8,FALSE),0))/(1+0.08*AK203))),MIN(('Rules &amp; Formulas'!B15+25*AJ204),M203))</f>
        <v/>
      </c>
      <c r="N204" s="7">
        <f>(1+0.08+0.12*AA204+0.12*AB204+0.16*AC204)</f>
        <v/>
      </c>
      <c r="O204" s="7">
        <f>((AD204&gt;=1)*1*(1+0.3*AE204))</f>
        <v/>
      </c>
      <c r="P204" s="7">
        <f>IF(OR(B204="Hunt",B204="Go AFK"),(('Rules &amp; Formulas'!B4*N203*('Rules &amp; Formulas'!B5+O203)*IFERROR(VLOOKUP(C204,Monsters!$T$4:$AH$15,10,FALSE),0)*IFERROR(VLOOKUP(C204,Monsters!$T$4:$AH$15,9,FALSE),0))*'Rules &amp; Formulas'!B6),"")</f>
        <v/>
      </c>
      <c r="Q204" s="7">
        <f>IF(OR(B204="Hunt",B204="Go AFK"),('Rules &amp; Formulas'!B4*N203*('Rules &amp; Formulas'!B5+O203)*IFERROR(VLOOKUP(C204,Monsters!$T$4:$AH$15,10,FALSE),0)*IFERROR(VLOOKUP(C204,Monsters!$T$4:$AH$15,9,FALSE),0)),"")</f>
        <v/>
      </c>
      <c r="R204" s="7">
        <f>IF(AND((E204="OK"),B204="Hunt"),IF(B204="Hunt",(('Rules &amp; Formulas'!B4*N203*('Rules &amp; Formulas'!B5+O203)*IFERROR(VLOOKUP(C204,Monsters!$T$4:$AH$15,10,FALSE),0)*IFERROR(VLOOKUP(C204,Monsters!$T$4:$AH$15,9,FALSE),0))*'Rules &amp; Formulas'!B6)*IF(D204="",0,D204),0),IF(AND((E204="OK"),B204="Go AFK"),IF(B204="Go AFK",MIN(IF((IF((IFERROR(VLOOKUP(C204,Monsters!$T$4:$AH$15,8,FALSE),0))=0,0.35,IFERROR(VLOOKUP(C204,Monsters!$T$4:$AH$15,8,FALSE),0))/(1+0.08*AK203))&lt;=0,999999,FLOOR(MIN(('Rules &amp; Formulas'!B15+25*AJ203),M203+('Rules &amp; Formulas'!B14+0.4*AJ203)*(MIN(IF(B204="Go AFK",IF(D204="",0,D204),0),Z203/60)*60))/(IF((IFERROR(VLOOKUP(C204,Monsters!$T$4:$AH$15,8,FALSE),0))=0,0.35,IFERROR(VLOOKUP(C204,Monsters!$T$4:$AH$15,8,FALSE),0))/(1+0.08*AK203)),1)),('Rules &amp; Formulas'!B4*N203*('Rules &amp; Formulas'!B5+O203)*IFERROR(VLOOKUP(C204,Monsters!$T$4:$AH$15,10,FALSE),0)*IFERROR(VLOOKUP(C204,Monsters!$T$4:$AH$15,9,FALSE),0))*(MIN(IF(B204="Go AFK",IF(D204="",0,D204),0),Z203/60)*60)),0),0))</f>
        <v/>
      </c>
      <c r="S204" s="7">
        <f>(105/'Rules &amp; Formulas'!B10)*'Rules &amp; Formulas'!B11</f>
        <v/>
      </c>
      <c r="T204" s="7">
        <f>IF(AD203&gt;=1,(MAX(1,ROUND('Rules &amp; Formulas'!B18*(1+0.3*AE203)*(1+0.4*AF203),0)))*(1000/'Rules &amp; Formulas'!B19)*MIN(0.95,'Rules &amp; Formulas'!B20*SQRT(1+0.55*(AG203&gt;=1))),0)</f>
        <v/>
      </c>
      <c r="U204" s="7">
        <f>S204+T204</f>
        <v/>
      </c>
      <c r="V204" s="7">
        <f>IF(I203&gt;=IF((IFERROR(VLOOKUP(C204,Monsters!$T$4:$AH$15,15,FALSE),0))=0,120,IFERROR(VLOOKUP(C204,Monsters!$T$4:$AH$15,15,FALSE),0)),"YES","no")</f>
        <v/>
      </c>
      <c r="W204" s="7">
        <f>IF(AND(B204="Fight boss",E204="OK"),IF((((105/'Rules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Formulas'!B20*SQRT(1+0.55*(AG203&gt;=1))),0)))),"")</f>
        <v/>
      </c>
      <c r="X204" s="7">
        <f>IF(AND(B204="Fight boss",E204="OK"),IF((IF((((105/'Rules &amp; Formulas'!B10)*'Rules &amp; Formulas'!B11+IF(AD203&gt;=1,(MAX(1,ROUND('Rules &amp; Formulas'!B18*(1+0.3*AE203)*(1+0.4*AF203),0)))*(1000/'Rules &amp; Formulas'!B19)*MIN(0.95,'Rules &amp; Formulas'!B20*SQRT(1+0.55*(AG203&gt;=1))),0)))&lt;=0,9999,(IFERROR(VLOOKUP(C204,Monsters!$T$4:$AH$15,2,FALSE),0))/(((105/'Rules &amp; Formulas'!B10)*'Rules &amp; Formulas'!B11+IF(AD203&gt;=1,(MAX(1,ROUND('Rules &amp; Formulas'!B18*(1+0.3*AE203)*(1+0.4*AF203),0)))*(1000/'Rules &amp; Formulas'!B19)*MIN(0.95,'Rules &amp; Formulas'!B20*SQRT(1+0.55*(AG203&gt;=1))),0))))&lt;='Rules &amp; Formulas'!B12),"WIN","LOSE"),"")</f>
        <v/>
      </c>
      <c r="Y204" s="7">
        <f>IF(B204="Go AFK",MIN(IF(B204="Go AFK",IF(D204="",0,D204),0),Z203/60),"")</f>
        <v/>
      </c>
      <c r="Z204" s="7">
        <f>('Rules &amp; Formulas'!B13+30*AI204)</f>
        <v/>
      </c>
      <c r="AA204">
        <f>COUNTIFS($B$3:$B204,"Buy upgrade",$C$3:$C204,"Idle Power")</f>
        <v/>
      </c>
      <c r="AB204">
        <f>COUNTIFS($B$3:$B204,"Buy upgrade",$C$3:$C204,"Iron Blade")</f>
        <v/>
      </c>
      <c r="AC204">
        <f>COUNTIFS($B$3:$B204,"Buy upgrade",$C$3:$C204,"Steel Blade")</f>
        <v/>
      </c>
      <c r="AD204">
        <f>COUNTIFS($B$3:$B204,"Hire hunter",$C$3:$C204,"Briar")+COUNTIFS($B$3:$B204,"Buy upgrade",$C$3:$C204,"Hire Briar")</f>
        <v/>
      </c>
      <c r="AE204">
        <f>COUNTIFS($B$3:$B204,"Buy upgrade",$C$3:$C204,"Hunter Power")</f>
        <v/>
      </c>
      <c r="AF204">
        <f>COUNTIFS($B$3:$B204,"Buy upgrade",$C$3:$C204,"Bigger Hits")</f>
        <v/>
      </c>
      <c r="AG204">
        <f>COUNTIFS($B$3:$B204,"Buy upgrade",$C$3:$C204,"Swift Walk")</f>
        <v/>
      </c>
      <c r="AH204">
        <f>COUNTIFS($B$3:$B204,"Buy upgrade",$C$3:$C204,"Loot Luck")</f>
        <v/>
      </c>
      <c r="AI204">
        <f>COUNTIFS($B$3:$B204,"Buy upgrade",$C$3:$C204,"Offline Cap")</f>
        <v/>
      </c>
      <c r="AJ204">
        <f>COUNTIFS($B$3:$B204,"Buy upgrade",$C$3:$C204,"Bigger Food Stock")</f>
        <v/>
      </c>
      <c r="AK204">
        <f>COUNTIFS($B$3:$B204,"Buy upgrade",$C$3:$C204,"Food Efficiency")</f>
        <v/>
      </c>
    </row>
    <row r="205">
      <c r="A205" t="n">
        <v>203</v>
      </c>
      <c r="B205" s="6" t="n"/>
      <c r="C205" s="6" t="n"/>
      <c r="D205" s="6" t="n"/>
      <c r="E205" s="7">
        <f>IF(B205="","",IF(OR(B205="Hunt",B205="Go AFK"),IF(C205="","Can't","OK"),IF(B205="Fight boss",IF(I204&lt;IF((IFERROR(VLOOKUP(C205,Monsters!$T$4:$AH$15,15,FALSE),0))=0,120,IFERROR(VLOOKUP(C205,Monsters!$T$4:$AH$15,15,FALSE),0)),"Can't","OK"),IF(B205="Hire hunter",IF(AND(C205="Briar",AD204&gt;=1),"Can't",IF(H204&lt;IF(C205="Briar",140,IF(C205="Quill",3650,IF(C205="Moss",4850,IF(C205="Ember",12200,0)))),"Can't","OK")),IF(OR(B205="Buy upgrade",B205="Forge/Scrapwork buy"),IF(IFERROR(VLOOKUP(C205,Upgrades!$N$4:$T$47,2,FALSE),0)="points","Can't",IF(IFERROR(VLOOKUP(C205,Upgrades!$N$4:$T$47,2,FALSE),0)="gold",IF(H204&lt;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buy",$C$3:$C204,C205))),1),0),"Can't","OK"),IF(IFERROR(VLOOKUP(C205,Upgrades!$N$4:$T$47,2,FALSE),0)="scraps",IF(J204&lt;IFERROR(FLOOR(IFERROR(VLOOKUP(C205,Upgrades!$N$4:$T$47,3,FALSE),0)*(IFERROR(VLOOKUP(C205,Upgrades!$N$4:$T$47,4,FALSE),0)^(COUNTIFS($B$3:$B204,"Buy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buy",$C$3:$C204,C205))),1),0),"Can't","OK"),IF(IFERROR(VLOOKUP(C205,Upgrades!$N$4:$T$47,2,FALSE),0)="mats","Can't","OK")))),"Check")))))</f>
        <v/>
      </c>
      <c r="F205" s="7">
        <f>IF(B205="","",IF(AND(B205="Fight boss",I204&lt;IF((IFERROR(VLOOKUP(C205,Monsters!$T$4:$AH$15,15,FALSE),0))=0,120,IFERROR(VLOOKUP(C205,Monsters!$T$4:$AH$15,15,FALSE),0))),"Can't — need "&amp;TEXT(IF((IFERROR(VLOOKUP(C205,Monsters!$T$4:$AH$15,15,FALSE),0))=0,120,IFERROR(VLOOKUP(C205,Monsters!$T$4:$AH$15,15,FALSE),0))-I204,"0.0")&amp;" more Slayer points on the meter",IF(AND(B205="Hire hunter",C205="Briar",AD204&gt;=1),"Can't — already hired",IF(AND(B205="Hire hunter",H204&lt;IF(C205="Briar",140,IF(C205="Quill",3650,IF(C205="Moss",4850,IF(C205="Ember",12200,0))))),"Can't — need "&amp;TEXT(IF(C205="Briar",140,IF(C205="Quill",3650,IF(C205="Moss",4850,IF(C205="Ember",12200,0))))-H204,"0")&amp;" more gold",IF(AND(OR(B205="Buy upgrade",B205="Forge/Scrapwork buy"),IFERROR(VLOOKUP(C205,Upgrades!$N$4:$T$47,2,FALSE),0)="points"),"Can't — Sp-wallet spends not tracked here",IF(AND(OR(B205="Buy upgrade",B205="Forge/Scrapwork buy"),IFERROR(VLOOKUP(C205,Upgrades!$N$4:$T$47,2,FALSE),0)="gold",H204&lt;IFERROR(FLOOR(IFERROR(VLOOKUP(C205,Upgrades!$N$4:$T$47,3,FALSE),0)*(IFERROR(VLOOKUP(C205,Upgrades!$N$4:$T$47,4,FALSE),0)^(COUNTIFS($B$3:$B204,"Buy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buy",$C$3:$C204,C205))),1),0)),"Can't — need "&amp;TEXT(IFERROR(FLOOR(IFERROR(VLOOKUP(C205,Upgrades!$N$4:$T$47,3,FALSE),0)*(IFERROR(VLOOKUP(C205,Upgrades!$N$4:$T$47,4,FALSE),0)^(COUNTIFS($B$3:$B204,"Buy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buy",$C$3:$C204,C205))),1),0)-H204,"0")&amp;" more gold",IF(AND(OR(B205="Buy upgrade",B205="Forge/Scrapwork buy"),IFERROR(VLOOKUP(C205,Upgrades!$N$4:$T$47,2,FALSE),0)="scraps",J204&lt;IFERROR(FLOOR(IFERROR(VLOOKUP(C205,Upgrades!$N$4:$T$47,3,FALSE),0)*(IFERROR(VLOOKUP(C205,Upgrades!$N$4:$T$47,4,FALSE),0)^(COUNTIFS($B$3:$B204,"Buy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buy",$C$3:$C204,C205))),1),0)),"Can't — need "&amp;TEXT(IFERROR(FLOOR(IFERROR(VLOOKUP(C205,Upgrades!$N$4:$T$47,3,FALSE),0)*(IFERROR(VLOOKUP(C205,Upgrades!$N$4:$T$47,4,FALSE),0)^(COUNTIFS($B$3:$B204,"Buy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buy",$C$3:$C204,C205))),1),0)-J204,"0")&amp;" more scraps",IF(AND(B205="Fight boss",E205="OK",(IF((((105/'Rules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Formulas'!B12)),"WIN — boss down, next Level unlocks",IF(AND(B205="Fight boss",E205="OK"),"LOSE — TTK "&amp;TEXT(IF((((105/'Rules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Formulas'!B20*SQRT(1+0.55*(AG204&gt;=1))),0)))),"0")&amp;"s &gt; patience "&amp;TEXT('Rules &amp; Formulas'!B12,"0")&amp;"s (leave resets HP)",IF(B205="Go AFK","AFK resolved (see AFK counted h)","Applied")))))))))</f>
        <v/>
      </c>
      <c r="G205" s="7">
        <f>IF(AND((E205="OK"),B205="Fight boss",(IF((((105/'Rules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Formulas'!B12),C205="Elder Thornpelt"),2,IF(AND((E205="OK"),B205="Fight boss",(IF((((105/'Rules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Formulas'!B12),C205="Ashfang Alpha"),3,G204))</f>
        <v/>
      </c>
      <c r="H205" s="7">
        <f>MAX(0,H204+IF(AND((E205="OK"),B205="Hunt"),(IF(B205="Hunt",(('Rules &amp; Formulas'!B4*N204*('Rules &amp; Formulas'!B5+O204)*IFERROR(VLOOKUP(C205,Monsters!$T$4:$AH$15,10,FALSE),0)*IFERROR(VLOOKUP(C205,Monsters!$T$4:$AH$15,9,FALSE),0))*'Rules &amp; Formulas'!B6)*IF(D205="",0,D205),0))*(IFERROR(VLOOKUP(C205,Monsters!$T$4:$AH$15,3,FALSE),0))*(1+0.1*AH204)+(IF(OR(B205&lt;&gt;"Hunt",IFERROR(VLOOKUP(C205,Monsters!$T$4:$AH$15,6,FALSE),0)=0),0,FLOOR((IF(B205="Hunt",(('Rules &amp; Formulas'!B4*N204*('Rules &amp; Formulas'!B5+O204)*IFERROR(VLOOKUP(C205,Monsters!$T$4:$AH$15,10,FALSE),0)*IFERROR(VLOOKUP(C205,Monsters!$T$4:$AH$15,9,FALSE),0))*'Rules &amp; Formulas'!B6)*IF(D205="",0,D205),0))/MAX(1,IFERROR(VLOOKUP(C205,Monsters!$T$4:$AH$15,6,FALSE),0)),1)))*(IFERROR(VLOOKUP(C205,Monsters!$T$4:$AH$15,7,FALSE),0))*0.5*(1+0.1*AH204),0)+IF(AND((E205="OK"),B205="Go AFK"),(IF(B205="Go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AFK",IF(D205="",0,D205),0),Z204/60)*60)),0))*(IFERROR(VLOOKUP(C205,Monsters!$T$4:$AH$15,3,FALSE),0))*(1+0.1*AH204)+(IF(OR(B205&lt;&gt;"Go AFK",IFERROR(VLOOKUP(C205,Monsters!$T$4:$AH$15,6,FALSE),0)=0),0,FLOOR((IF(B205="Go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AFK",IF(D205="",0,D205),0),Z204/60)*60)),0))/MAX(1,IFERROR(VLOOKUP(C205,Monsters!$T$4:$AH$15,6,FALSE),0)),1)))*(IFERROR(VLOOKUP(C205,Monsters!$T$4:$AH$15,7,FALSE),0))*0.5*(1+0.1*AH204),0)+IF(AND((E205="OK"),B205="Fight boss",(IF((((105/'Rules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Formulas'!B12)),IFERROR(VLOOKUP(C205,Monsters!$T$4:$AH$15,3,FALSE),0),0)-IF(AND((E205="OK"),OR(B205="Buy upgrade",B205="Forge/Scrapwork buy"),IFERROR(VLOOKUP(C205,Upgrades!$N$4:$T$47,2,FALSE),0)="gold"),IFERROR(FLOOR(IFERROR(VLOOKUP(C205,Upgrades!$N$4:$T$47,3,FALSE),0)*(IFERROR(VLOOKUP(C205,Upgrades!$N$4:$T$47,4,FALSE),0)^(COUNTIFS($B$3:$B204,"Buy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buy",$C$3:$C204,C205))),1),0),0)-IF(AND((E205="OK"),B205="Hire hunter"),IF(C205="Briar",140,IF(C205="Quill",3650,IF(C205="Moss",4850,IF(C205="Ember",12200,0)))),0))</f>
        <v/>
      </c>
      <c r="I205" s="7">
        <f>IF(AND((E205="OK"),B205="Fight boss",(IF((((105/'Rules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Formulas'!B12)),0,MIN(IF(G204&lt;=1,120,IF(G204=2,280,600)),I204+IF(AND((E205="OK"),B205="Hunt"),((IF(B205="Hunt",(('Rules &amp; Formulas'!B4*N204*('Rules &amp; Formulas'!B5+O204)*IFERROR(VLOOKUP(C205,Monsters!$T$4:$AH$15,10,FALSE),0)*IFERROR(VLOOKUP(C205,Monsters!$T$4:$AH$15,9,FALSE),0))*'Rules &amp; Formulas'!B6)*IF(D205="",0,D205),0))*(IFERROR(VLOOKUP(C205,Monsters!$T$4:$AH$15,4,FALSE),0))+(IF(OR(B205&lt;&gt;"Hunt",IFERROR(VLOOKUP(C205,Monsters!$T$4:$AH$15,6,FALSE),0)=0),0,FLOOR((IF(B205="Hunt",(('Rules &amp; Formulas'!B4*N204*('Rules &amp; Formulas'!B5+O204)*IFERROR(VLOOKUP(C205,Monsters!$T$4:$AH$15,10,FALSE),0)*IFERROR(VLOOKUP(C205,Monsters!$T$4:$AH$15,9,FALSE),0))*'Rules &amp; Formulas'!B6)*IF(D205="",0,D205),0))/MAX(1,IFERROR(VLOOKUP(C205,Monsters!$T$4:$AH$15,6,FALSE),0)),1)))*(IFERROR(VLOOKUP(C205,Monsters!$T$4:$AH$15,7,FALSE),0))),0)+IF(AND((E205="OK"),B205="Go AFK"),((IF(B205="Go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AFK",IF(D205="",0,D205),0),Z204/60)*60)),0))*(IFERROR(VLOOKUP(C205,Monsters!$T$4:$AH$15,4,FALSE),0))+(IF(OR(B205&lt;&gt;"Go AFK",IFERROR(VLOOKUP(C205,Monsters!$T$4:$AH$15,6,FALSE),0)=0),0,FLOOR((IF(B205="Go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AFK",IF(D205="",0,D205),0),Z204/60)*60)),0))/MAX(1,IFERROR(VLOOKUP(C205,Monsters!$T$4:$AH$15,6,FALSE),0)),1)))*(IFERROR(VLOOKUP(C205,Monsters!$T$4:$AH$15,7,FALSE),0))),0)))</f>
        <v/>
      </c>
      <c r="J205" s="7">
        <f>MAX(0,J204+IF(AND((E205="OK"),B205="Hunt"),(IF(B205="Hunt",(('Rules &amp; Formulas'!B4*N204*('Rules &amp; Formulas'!B5+O204)*IFERROR(VLOOKUP(C205,Monsters!$T$4:$AH$15,10,FALSE),0)*IFERROR(VLOOKUP(C205,Monsters!$T$4:$AH$15,9,FALSE),0))*'Rules &amp; Formulas'!B6)*IF(D205="",0,D205),0))*(IFERROR(VLOOKUP(C205,Monsters!$T$4:$AH$15,5,FALSE),0)),0)+IF(AND((E205="OK"),B205="Go AFK"),(IF(B205="Go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AFK",IF(D205="",0,D205),0),Z204/60)*60)),0))*(IFERROR(VLOOKUP(C205,Monsters!$T$4:$AH$15,5,FALSE),0)),0)-IF(AND((E205="OK"),OR(B205="Buy upgrade",B205="Forge/Scrapwork buy"),IFERROR(VLOOKUP(C205,Upgrades!$N$4:$T$47,2,FALSE),0)="scraps"),IFERROR(FLOOR(IFERROR(VLOOKUP(C205,Upgrades!$N$4:$T$47,3,FALSE),0)*(IFERROR(VLOOKUP(C205,Upgrades!$N$4:$T$47,4,FALSE),0)^(COUNTIFS($B$3:$B204,"Buy upgrade",$C$3:$C204,C205)+COUNTIFS($B$3:$B204,"Hire hunter",$C$3:$C204,C205)+COUNTIFS($B$3:$B204,"Forge/Scrapwork buy",$C$3:$C204,C205))),1),0),0))</f>
        <v/>
      </c>
      <c r="K205" s="7">
        <f>MAX(0,K204+IF(AND((E205="OK"),B205="Hunt"),IF(C205="Thornpelt Bear",(IF(B205="Hunt",(('Rules &amp; Formulas'!B4*N204*('Rules &amp; Formulas'!B5+O204)*IFERROR(VLOOKUP(C205,Monsters!$T$4:$AH$15,10,FALSE),0)*IFERROR(VLOOKUP(C205,Monsters!$T$4:$AH$15,9,FALSE),0))*'Rules &amp; Formulas'!B6)*IF(D205="",0,D205),0))*0.12,0),0)+IF(AND((E205="OK"),B205="Go AFK"),IF(C205="Thornpelt Bear",(IF(B205="Go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AFK",IF(D205="",0,D205),0),Z204/60)*60)),0))*0.12,0),0))</f>
        <v/>
      </c>
      <c r="L205" s="7">
        <f>MAX(0,L204+IF(AND((E205="OK"),B205="Hunt"),IF(C205="Dire Thornpelt",(IF(B205="Hunt",(('Rules &amp; Formulas'!B4*N204*('Rules &amp; Formulas'!B5+O204)*IFERROR(VLOOKUP(C205,Monsters!$T$4:$AH$15,10,FALSE),0)*IFERROR(VLOOKUP(C205,Monsters!$T$4:$AH$15,9,FALSE),0))*'Rules &amp; Formulas'!B6)*IF(D205="",0,D205),0))*0.1,0),0)+IF(AND((E205="OK"),B205="Go AFK"),IF(C205="Dire Thornpelt",(IF(B205="Go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AFK",IF(D205="",0,D205),0),Z204/60)*60)),0))*0.1,0),0))</f>
        <v/>
      </c>
      <c r="M205" s="7">
        <f>IF(AND((E205="OK"),B205="Go AFK"),MAX(0,MIN(('Rules &amp; Formulas'!B15+25*AJ204),M204+('Rules &amp; Formulas'!B14+0.4*AJ204)*(MIN(IF(B205="Go AFK",IF(D205="",0,D205),0),Z204/60)*60))-(IF(B205="Go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AFK",IF(D205="",0,D205),0),Z204/60)*60)),0))*(IF((IFERROR(VLOOKUP(C205,Monsters!$T$4:$AH$15,8,FALSE),0))=0,0.35,IFERROR(VLOOKUP(C205,Monsters!$T$4:$AH$15,8,FALSE),0))/(1+0.08*AK204))),MIN(('Rules &amp; Formulas'!B15+25*AJ205),M204))</f>
        <v/>
      </c>
      <c r="N205" s="7">
        <f>(1+0.08+0.12*AA205+0.12*AB205+0.16*AC205)</f>
        <v/>
      </c>
      <c r="O205" s="7">
        <f>((AD205&gt;=1)*1*(1+0.3*AE205))</f>
        <v/>
      </c>
      <c r="P205" s="7">
        <f>IF(OR(B205="Hunt",B205="Go AFK"),(('Rules &amp; Formulas'!B4*N204*('Rules &amp; Formulas'!B5+O204)*IFERROR(VLOOKUP(C205,Monsters!$T$4:$AH$15,10,FALSE),0)*IFERROR(VLOOKUP(C205,Monsters!$T$4:$AH$15,9,FALSE),0))*'Rules &amp; Formulas'!B6),"")</f>
        <v/>
      </c>
      <c r="Q205" s="7">
        <f>IF(OR(B205="Hunt",B205="Go AFK"),('Rules &amp; Formulas'!B4*N204*('Rules &amp; Formulas'!B5+O204)*IFERROR(VLOOKUP(C205,Monsters!$T$4:$AH$15,10,FALSE),0)*IFERROR(VLOOKUP(C205,Monsters!$T$4:$AH$15,9,FALSE),0)),"")</f>
        <v/>
      </c>
      <c r="R205" s="7">
        <f>IF(AND((E205="OK"),B205="Hunt"),IF(B205="Hunt",(('Rules &amp; Formulas'!B4*N204*('Rules &amp; Formulas'!B5+O204)*IFERROR(VLOOKUP(C205,Monsters!$T$4:$AH$15,10,FALSE),0)*IFERROR(VLOOKUP(C205,Monsters!$T$4:$AH$15,9,FALSE),0))*'Rules &amp; Formulas'!B6)*IF(D205="",0,D205),0),IF(AND((E205="OK"),B205="Go AFK"),IF(B205="Go AFK",MIN(IF((IF((IFERROR(VLOOKUP(C205,Monsters!$T$4:$AH$15,8,FALSE),0))=0,0.35,IFERROR(VLOOKUP(C205,Monsters!$T$4:$AH$15,8,FALSE),0))/(1+0.08*AK204))&lt;=0,999999,FLOOR(MIN(('Rules &amp; Formulas'!B15+25*AJ204),M204+('Rules &amp; Formulas'!B14+0.4*AJ204)*(MIN(IF(B205="Go AFK",IF(D205="",0,D205),0),Z204/60)*60))/(IF((IFERROR(VLOOKUP(C205,Monsters!$T$4:$AH$15,8,FALSE),0))=0,0.35,IFERROR(VLOOKUP(C205,Monsters!$T$4:$AH$15,8,FALSE),0))/(1+0.08*AK204)),1)),('Rules &amp; Formulas'!B4*N204*('Rules &amp; Formulas'!B5+O204)*IFERROR(VLOOKUP(C205,Monsters!$T$4:$AH$15,10,FALSE),0)*IFERROR(VLOOKUP(C205,Monsters!$T$4:$AH$15,9,FALSE),0))*(MIN(IF(B205="Go AFK",IF(D205="",0,D205),0),Z204/60)*60)),0),0))</f>
        <v/>
      </c>
      <c r="S205" s="7">
        <f>(105/'Rules &amp; Formulas'!B10)*'Rules &amp; Formulas'!B11</f>
        <v/>
      </c>
      <c r="T205" s="7">
        <f>IF(AD204&gt;=1,(MAX(1,ROUND('Rules &amp; Formulas'!B18*(1+0.3*AE204)*(1+0.4*AF204),0)))*(1000/'Rules &amp; Formulas'!B19)*MIN(0.95,'Rules &amp; Formulas'!B20*SQRT(1+0.55*(AG204&gt;=1))),0)</f>
        <v/>
      </c>
      <c r="U205" s="7">
        <f>S205+T205</f>
        <v/>
      </c>
      <c r="V205" s="7">
        <f>IF(I204&gt;=IF((IFERROR(VLOOKUP(C205,Monsters!$T$4:$AH$15,15,FALSE),0))=0,120,IFERROR(VLOOKUP(C205,Monsters!$T$4:$AH$15,15,FALSE),0)),"YES","no")</f>
        <v/>
      </c>
      <c r="W205" s="7">
        <f>IF(AND(B205="Fight boss",E205="OK"),IF((((105/'Rules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Formulas'!B20*SQRT(1+0.55*(AG204&gt;=1))),0)))),"")</f>
        <v/>
      </c>
      <c r="X205" s="7">
        <f>IF(AND(B205="Fight boss",E205="OK"),IF((IF((((105/'Rules &amp; Formulas'!B10)*'Rules &amp; Formulas'!B11+IF(AD204&gt;=1,(MAX(1,ROUND('Rules &amp; Formulas'!B18*(1+0.3*AE204)*(1+0.4*AF204),0)))*(1000/'Rules &amp; Formulas'!B19)*MIN(0.95,'Rules &amp; Formulas'!B20*SQRT(1+0.55*(AG204&gt;=1))),0)))&lt;=0,9999,(IFERROR(VLOOKUP(C205,Monsters!$T$4:$AH$15,2,FALSE),0))/(((105/'Rules &amp; Formulas'!B10)*'Rules &amp; Formulas'!B11+IF(AD204&gt;=1,(MAX(1,ROUND('Rules &amp; Formulas'!B18*(1+0.3*AE204)*(1+0.4*AF204),0)))*(1000/'Rules &amp; Formulas'!B19)*MIN(0.95,'Rules &amp; Formulas'!B20*SQRT(1+0.55*(AG204&gt;=1))),0))))&lt;='Rules &amp; Formulas'!B12),"WIN","LOSE"),"")</f>
        <v/>
      </c>
      <c r="Y205" s="7">
        <f>IF(B205="Go AFK",MIN(IF(B205="Go AFK",IF(D205="",0,D205),0),Z204/60),"")</f>
        <v/>
      </c>
      <c r="Z205" s="7">
        <f>('Rules &amp; Formulas'!B13+30*AI205)</f>
        <v/>
      </c>
      <c r="AA205">
        <f>COUNTIFS($B$3:$B205,"Buy upgrade",$C$3:$C205,"Idle Power")</f>
        <v/>
      </c>
      <c r="AB205">
        <f>COUNTIFS($B$3:$B205,"Buy upgrade",$C$3:$C205,"Iron Blade")</f>
        <v/>
      </c>
      <c r="AC205">
        <f>COUNTIFS($B$3:$B205,"Buy upgrade",$C$3:$C205,"Steel Blade")</f>
        <v/>
      </c>
      <c r="AD205">
        <f>COUNTIFS($B$3:$B205,"Hire hunter",$C$3:$C205,"Briar")+COUNTIFS($B$3:$B205,"Buy upgrade",$C$3:$C205,"Hire Briar")</f>
        <v/>
      </c>
      <c r="AE205">
        <f>COUNTIFS($B$3:$B205,"Buy upgrade",$C$3:$C205,"Hunter Power")</f>
        <v/>
      </c>
      <c r="AF205">
        <f>COUNTIFS($B$3:$B205,"Buy upgrade",$C$3:$C205,"Bigger Hits")</f>
        <v/>
      </c>
      <c r="AG205">
        <f>COUNTIFS($B$3:$B205,"Buy upgrade",$C$3:$C205,"Swift Walk")</f>
        <v/>
      </c>
      <c r="AH205">
        <f>COUNTIFS($B$3:$B205,"Buy upgrade",$C$3:$C205,"Loot Luck")</f>
        <v/>
      </c>
      <c r="AI205">
        <f>COUNTIFS($B$3:$B205,"Buy upgrade",$C$3:$C205,"Offline Cap")</f>
        <v/>
      </c>
      <c r="AJ205">
        <f>COUNTIFS($B$3:$B205,"Buy upgrade",$C$3:$C205,"Bigger Food Stock")</f>
        <v/>
      </c>
      <c r="AK205">
        <f>COUNTIFS($B$3:$B205,"Buy upgrade",$C$3:$C205,"Food Efficiency")</f>
        <v/>
      </c>
    </row>
    <row r="206">
      <c r="A206" t="n">
        <v>204</v>
      </c>
      <c r="B206" s="6" t="n"/>
      <c r="C206" s="6" t="n"/>
      <c r="D206" s="6" t="n"/>
      <c r="E206" s="7">
        <f>IF(B206="","",IF(OR(B206="Hunt",B206="Go AFK"),IF(C206="","Can't","OK"),IF(B206="Fight boss",IF(I205&lt;IF((IFERROR(VLOOKUP(C206,Monsters!$T$4:$AH$15,15,FALSE),0))=0,120,IFERROR(VLOOKUP(C206,Monsters!$T$4:$AH$15,15,FALSE),0)),"Can't","OK"),IF(B206="Hire hunter",IF(AND(C206="Briar",AD205&gt;=1),"Can't",IF(H205&lt;IF(C206="Briar",140,IF(C206="Quill",3650,IF(C206="Moss",4850,IF(C206="Ember",12200,0)))),"Can't","OK")),IF(OR(B206="Buy upgrade",B206="Forge/Scrapwork buy"),IF(IFERROR(VLOOKUP(C206,Upgrades!$N$4:$T$47,2,FALSE),0)="points","Can't",IF(IFERROR(VLOOKUP(C206,Upgrades!$N$4:$T$47,2,FALSE),0)="gold",IF(H205&lt;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buy",$C$3:$C205,C206))),1),0),"Can't","OK"),IF(IFERROR(VLOOKUP(C206,Upgrades!$N$4:$T$47,2,FALSE),0)="scraps",IF(J205&lt;IFERROR(FLOOR(IFERROR(VLOOKUP(C206,Upgrades!$N$4:$T$47,3,FALSE),0)*(IFERROR(VLOOKUP(C206,Upgrades!$N$4:$T$47,4,FALSE),0)^(COUNTIFS($B$3:$B205,"Buy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buy",$C$3:$C205,C206))),1),0),"Can't","OK"),IF(IFERROR(VLOOKUP(C206,Upgrades!$N$4:$T$47,2,FALSE),0)="mats","Can't","OK")))),"Check")))))</f>
        <v/>
      </c>
      <c r="F206" s="7">
        <f>IF(B206="","",IF(AND(B206="Fight boss",I205&lt;IF((IFERROR(VLOOKUP(C206,Monsters!$T$4:$AH$15,15,FALSE),0))=0,120,IFERROR(VLOOKUP(C206,Monsters!$T$4:$AH$15,15,FALSE),0))),"Can't — need "&amp;TEXT(IF((IFERROR(VLOOKUP(C206,Monsters!$T$4:$AH$15,15,FALSE),0))=0,120,IFERROR(VLOOKUP(C206,Monsters!$T$4:$AH$15,15,FALSE),0))-I205,"0.0")&amp;" more Slayer points on the meter",IF(AND(B206="Hire hunter",C206="Briar",AD205&gt;=1),"Can't — already hired",IF(AND(B206="Hire hunter",H205&lt;IF(C206="Briar",140,IF(C206="Quill",3650,IF(C206="Moss",4850,IF(C206="Ember",12200,0))))),"Can't — need "&amp;TEXT(IF(C206="Briar",140,IF(C206="Quill",3650,IF(C206="Moss",4850,IF(C206="Ember",12200,0))))-H205,"0")&amp;" more gold",IF(AND(OR(B206="Buy upgrade",B206="Forge/Scrapwork buy"),IFERROR(VLOOKUP(C206,Upgrades!$N$4:$T$47,2,FALSE),0)="points"),"Can't — Sp-wallet spends not tracked here",IF(AND(OR(B206="Buy upgrade",B206="Forge/Scrapwork buy"),IFERROR(VLOOKUP(C206,Upgrades!$N$4:$T$47,2,FALSE),0)="gold",H205&lt;IFERROR(FLOOR(IFERROR(VLOOKUP(C206,Upgrades!$N$4:$T$47,3,FALSE),0)*(IFERROR(VLOOKUP(C206,Upgrades!$N$4:$T$47,4,FALSE),0)^(COUNTIFS($B$3:$B205,"Buy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buy",$C$3:$C205,C206))),1),0)),"Can't — need "&amp;TEXT(IFERROR(FLOOR(IFERROR(VLOOKUP(C206,Upgrades!$N$4:$T$47,3,FALSE),0)*(IFERROR(VLOOKUP(C206,Upgrades!$N$4:$T$47,4,FALSE),0)^(COUNTIFS($B$3:$B205,"Buy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buy",$C$3:$C205,C206))),1),0)-H205,"0")&amp;" more gold",IF(AND(OR(B206="Buy upgrade",B206="Forge/Scrapwork buy"),IFERROR(VLOOKUP(C206,Upgrades!$N$4:$T$47,2,FALSE),0)="scraps",J205&lt;IFERROR(FLOOR(IFERROR(VLOOKUP(C206,Upgrades!$N$4:$T$47,3,FALSE),0)*(IFERROR(VLOOKUP(C206,Upgrades!$N$4:$T$47,4,FALSE),0)^(COUNTIFS($B$3:$B205,"Buy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buy",$C$3:$C205,C206))),1),0)),"Can't — need "&amp;TEXT(IFERROR(FLOOR(IFERROR(VLOOKUP(C206,Upgrades!$N$4:$T$47,3,FALSE),0)*(IFERROR(VLOOKUP(C206,Upgrades!$N$4:$T$47,4,FALSE),0)^(COUNTIFS($B$3:$B205,"Buy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buy",$C$3:$C205,C206))),1),0)-J205,"0")&amp;" more scraps",IF(AND(B206="Fight boss",E206="OK",(IF((((105/'Rules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Formulas'!B12)),"WIN — boss down, next Level unlocks",IF(AND(B206="Fight boss",E206="OK"),"LOSE — TTK "&amp;TEXT(IF((((105/'Rules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Formulas'!B20*SQRT(1+0.55*(AG205&gt;=1))),0)))),"0")&amp;"s &gt; patience "&amp;TEXT('Rules &amp; Formulas'!B12,"0")&amp;"s (leave resets HP)",IF(B206="Go AFK","AFK resolved (see AFK counted h)","Applied")))))))))</f>
        <v/>
      </c>
      <c r="G206" s="7">
        <f>IF(AND((E206="OK"),B206="Fight boss",(IF((((105/'Rules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Formulas'!B12),C206="Elder Thornpelt"),2,IF(AND((E206="OK"),B206="Fight boss",(IF((((105/'Rules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Formulas'!B12),C206="Ashfang Alpha"),3,G205))</f>
        <v/>
      </c>
      <c r="H206" s="7">
        <f>MAX(0,H205+IF(AND((E206="OK"),B206="Hunt"),(IF(B206="Hunt",(('Rules &amp; Formulas'!B4*N205*('Rules &amp; Formulas'!B5+O205)*IFERROR(VLOOKUP(C206,Monsters!$T$4:$AH$15,10,FALSE),0)*IFERROR(VLOOKUP(C206,Monsters!$T$4:$AH$15,9,FALSE),0))*'Rules &amp; Formulas'!B6)*IF(D206="",0,D206),0))*(IFERROR(VLOOKUP(C206,Monsters!$T$4:$AH$15,3,FALSE),0))*(1+0.1*AH205)+(IF(OR(B206&lt;&gt;"Hunt",IFERROR(VLOOKUP(C206,Monsters!$T$4:$AH$15,6,FALSE),0)=0),0,FLOOR((IF(B206="Hunt",(('Rules &amp; Formulas'!B4*N205*('Rules &amp; Formulas'!B5+O205)*IFERROR(VLOOKUP(C206,Monsters!$T$4:$AH$15,10,FALSE),0)*IFERROR(VLOOKUP(C206,Monsters!$T$4:$AH$15,9,FALSE),0))*'Rules &amp; Formulas'!B6)*IF(D206="",0,D206),0))/MAX(1,IFERROR(VLOOKUP(C206,Monsters!$T$4:$AH$15,6,FALSE),0)),1)))*(IFERROR(VLOOKUP(C206,Monsters!$T$4:$AH$15,7,FALSE),0))*0.5*(1+0.1*AH205),0)+IF(AND((E206="OK"),B206="Go AFK"),(IF(B206="Go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AFK",IF(D206="",0,D206),0),Z205/60)*60)),0))*(IFERROR(VLOOKUP(C206,Monsters!$T$4:$AH$15,3,FALSE),0))*(1+0.1*AH205)+(IF(OR(B206&lt;&gt;"Go AFK",IFERROR(VLOOKUP(C206,Monsters!$T$4:$AH$15,6,FALSE),0)=0),0,FLOOR((IF(B206="Go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AFK",IF(D206="",0,D206),0),Z205/60)*60)),0))/MAX(1,IFERROR(VLOOKUP(C206,Monsters!$T$4:$AH$15,6,FALSE),0)),1)))*(IFERROR(VLOOKUP(C206,Monsters!$T$4:$AH$15,7,FALSE),0))*0.5*(1+0.1*AH205),0)+IF(AND((E206="OK"),B206="Fight boss",(IF((((105/'Rules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Formulas'!B12)),IFERROR(VLOOKUP(C206,Monsters!$T$4:$AH$15,3,FALSE),0),0)-IF(AND((E206="OK"),OR(B206="Buy upgrade",B206="Forge/Scrapwork buy"),IFERROR(VLOOKUP(C206,Upgrades!$N$4:$T$47,2,FALSE),0)="gold"),IFERROR(FLOOR(IFERROR(VLOOKUP(C206,Upgrades!$N$4:$T$47,3,FALSE),0)*(IFERROR(VLOOKUP(C206,Upgrades!$N$4:$T$47,4,FALSE),0)^(COUNTIFS($B$3:$B205,"Buy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buy",$C$3:$C205,C206))),1),0),0)-IF(AND((E206="OK"),B206="Hire hunter"),IF(C206="Briar",140,IF(C206="Quill",3650,IF(C206="Moss",4850,IF(C206="Ember",12200,0)))),0))</f>
        <v/>
      </c>
      <c r="I206" s="7">
        <f>IF(AND((E206="OK"),B206="Fight boss",(IF((((105/'Rules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Formulas'!B12)),0,MIN(IF(G205&lt;=1,120,IF(G205=2,280,600)),I205+IF(AND((E206="OK"),B206="Hunt"),((IF(B206="Hunt",(('Rules &amp; Formulas'!B4*N205*('Rules &amp; Formulas'!B5+O205)*IFERROR(VLOOKUP(C206,Monsters!$T$4:$AH$15,10,FALSE),0)*IFERROR(VLOOKUP(C206,Monsters!$T$4:$AH$15,9,FALSE),0))*'Rules &amp; Formulas'!B6)*IF(D206="",0,D206),0))*(IFERROR(VLOOKUP(C206,Monsters!$T$4:$AH$15,4,FALSE),0))+(IF(OR(B206&lt;&gt;"Hunt",IFERROR(VLOOKUP(C206,Monsters!$T$4:$AH$15,6,FALSE),0)=0),0,FLOOR((IF(B206="Hunt",(('Rules &amp; Formulas'!B4*N205*('Rules &amp; Formulas'!B5+O205)*IFERROR(VLOOKUP(C206,Monsters!$T$4:$AH$15,10,FALSE),0)*IFERROR(VLOOKUP(C206,Monsters!$T$4:$AH$15,9,FALSE),0))*'Rules &amp; Formulas'!B6)*IF(D206="",0,D206),0))/MAX(1,IFERROR(VLOOKUP(C206,Monsters!$T$4:$AH$15,6,FALSE),0)),1)))*(IFERROR(VLOOKUP(C206,Monsters!$T$4:$AH$15,7,FALSE),0))),0)+IF(AND((E206="OK"),B206="Go AFK"),((IF(B206="Go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AFK",IF(D206="",0,D206),0),Z205/60)*60)),0))*(IFERROR(VLOOKUP(C206,Monsters!$T$4:$AH$15,4,FALSE),0))+(IF(OR(B206&lt;&gt;"Go AFK",IFERROR(VLOOKUP(C206,Monsters!$T$4:$AH$15,6,FALSE),0)=0),0,FLOOR((IF(B206="Go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AFK",IF(D206="",0,D206),0),Z205/60)*60)),0))/MAX(1,IFERROR(VLOOKUP(C206,Monsters!$T$4:$AH$15,6,FALSE),0)),1)))*(IFERROR(VLOOKUP(C206,Monsters!$T$4:$AH$15,7,FALSE),0))),0)))</f>
        <v/>
      </c>
      <c r="J206" s="7">
        <f>MAX(0,J205+IF(AND((E206="OK"),B206="Hunt"),(IF(B206="Hunt",(('Rules &amp; Formulas'!B4*N205*('Rules &amp; Formulas'!B5+O205)*IFERROR(VLOOKUP(C206,Monsters!$T$4:$AH$15,10,FALSE),0)*IFERROR(VLOOKUP(C206,Monsters!$T$4:$AH$15,9,FALSE),0))*'Rules &amp; Formulas'!B6)*IF(D206="",0,D206),0))*(IFERROR(VLOOKUP(C206,Monsters!$T$4:$AH$15,5,FALSE),0)),0)+IF(AND((E206="OK"),B206="Go AFK"),(IF(B206="Go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AFK",IF(D206="",0,D206),0),Z205/60)*60)),0))*(IFERROR(VLOOKUP(C206,Monsters!$T$4:$AH$15,5,FALSE),0)),0)-IF(AND((E206="OK"),OR(B206="Buy upgrade",B206="Forge/Scrapwork buy"),IFERROR(VLOOKUP(C206,Upgrades!$N$4:$T$47,2,FALSE),0)="scraps"),IFERROR(FLOOR(IFERROR(VLOOKUP(C206,Upgrades!$N$4:$T$47,3,FALSE),0)*(IFERROR(VLOOKUP(C206,Upgrades!$N$4:$T$47,4,FALSE),0)^(COUNTIFS($B$3:$B205,"Buy upgrade",$C$3:$C205,C206)+COUNTIFS($B$3:$B205,"Hire hunter",$C$3:$C205,C206)+COUNTIFS($B$3:$B205,"Forge/Scrapwork buy",$C$3:$C205,C206))),1),0),0))</f>
        <v/>
      </c>
      <c r="K206" s="7">
        <f>MAX(0,K205+IF(AND((E206="OK"),B206="Hunt"),IF(C206="Thornpelt Bear",(IF(B206="Hunt",(('Rules &amp; Formulas'!B4*N205*('Rules &amp; Formulas'!B5+O205)*IFERROR(VLOOKUP(C206,Monsters!$T$4:$AH$15,10,FALSE),0)*IFERROR(VLOOKUP(C206,Monsters!$T$4:$AH$15,9,FALSE),0))*'Rules &amp; Formulas'!B6)*IF(D206="",0,D206),0))*0.12,0),0)+IF(AND((E206="OK"),B206="Go AFK"),IF(C206="Thornpelt Bear",(IF(B206="Go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AFK",IF(D206="",0,D206),0),Z205/60)*60)),0))*0.12,0),0))</f>
        <v/>
      </c>
      <c r="L206" s="7">
        <f>MAX(0,L205+IF(AND((E206="OK"),B206="Hunt"),IF(C206="Dire Thornpelt",(IF(B206="Hunt",(('Rules &amp; Formulas'!B4*N205*('Rules &amp; Formulas'!B5+O205)*IFERROR(VLOOKUP(C206,Monsters!$T$4:$AH$15,10,FALSE),0)*IFERROR(VLOOKUP(C206,Monsters!$T$4:$AH$15,9,FALSE),0))*'Rules &amp; Formulas'!B6)*IF(D206="",0,D206),0))*0.1,0),0)+IF(AND((E206="OK"),B206="Go AFK"),IF(C206="Dire Thornpelt",(IF(B206="Go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AFK",IF(D206="",0,D206),0),Z205/60)*60)),0))*0.1,0),0))</f>
        <v/>
      </c>
      <c r="M206" s="7">
        <f>IF(AND((E206="OK"),B206="Go AFK"),MAX(0,MIN(('Rules &amp; Formulas'!B15+25*AJ205),M205+('Rules &amp; Formulas'!B14+0.4*AJ205)*(MIN(IF(B206="Go AFK",IF(D206="",0,D206),0),Z205/60)*60))-(IF(B206="Go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AFK",IF(D206="",0,D206),0),Z205/60)*60)),0))*(IF((IFERROR(VLOOKUP(C206,Monsters!$T$4:$AH$15,8,FALSE),0))=0,0.35,IFERROR(VLOOKUP(C206,Monsters!$T$4:$AH$15,8,FALSE),0))/(1+0.08*AK205))),MIN(('Rules &amp; Formulas'!B15+25*AJ206),M205))</f>
        <v/>
      </c>
      <c r="N206" s="7">
        <f>(1+0.08+0.12*AA206+0.12*AB206+0.16*AC206)</f>
        <v/>
      </c>
      <c r="O206" s="7">
        <f>((AD206&gt;=1)*1*(1+0.3*AE206))</f>
        <v/>
      </c>
      <c r="P206" s="7">
        <f>IF(OR(B206="Hunt",B206="Go AFK"),(('Rules &amp; Formulas'!B4*N205*('Rules &amp; Formulas'!B5+O205)*IFERROR(VLOOKUP(C206,Monsters!$T$4:$AH$15,10,FALSE),0)*IFERROR(VLOOKUP(C206,Monsters!$T$4:$AH$15,9,FALSE),0))*'Rules &amp; Formulas'!B6),"")</f>
        <v/>
      </c>
      <c r="Q206" s="7">
        <f>IF(OR(B206="Hunt",B206="Go AFK"),('Rules &amp; Formulas'!B4*N205*('Rules &amp; Formulas'!B5+O205)*IFERROR(VLOOKUP(C206,Monsters!$T$4:$AH$15,10,FALSE),0)*IFERROR(VLOOKUP(C206,Monsters!$T$4:$AH$15,9,FALSE),0)),"")</f>
        <v/>
      </c>
      <c r="R206" s="7">
        <f>IF(AND((E206="OK"),B206="Hunt"),IF(B206="Hunt",(('Rules &amp; Formulas'!B4*N205*('Rules &amp; Formulas'!B5+O205)*IFERROR(VLOOKUP(C206,Monsters!$T$4:$AH$15,10,FALSE),0)*IFERROR(VLOOKUP(C206,Monsters!$T$4:$AH$15,9,FALSE),0))*'Rules &amp; Formulas'!B6)*IF(D206="",0,D206),0),IF(AND((E206="OK"),B206="Go AFK"),IF(B206="Go AFK",MIN(IF((IF((IFERROR(VLOOKUP(C206,Monsters!$T$4:$AH$15,8,FALSE),0))=0,0.35,IFERROR(VLOOKUP(C206,Monsters!$T$4:$AH$15,8,FALSE),0))/(1+0.08*AK205))&lt;=0,999999,FLOOR(MIN(('Rules &amp; Formulas'!B15+25*AJ205),M205+('Rules &amp; Formulas'!B14+0.4*AJ205)*(MIN(IF(B206="Go AFK",IF(D206="",0,D206),0),Z205/60)*60))/(IF((IFERROR(VLOOKUP(C206,Monsters!$T$4:$AH$15,8,FALSE),0))=0,0.35,IFERROR(VLOOKUP(C206,Monsters!$T$4:$AH$15,8,FALSE),0))/(1+0.08*AK205)),1)),('Rules &amp; Formulas'!B4*N205*('Rules &amp; Formulas'!B5+O205)*IFERROR(VLOOKUP(C206,Monsters!$T$4:$AH$15,10,FALSE),0)*IFERROR(VLOOKUP(C206,Monsters!$T$4:$AH$15,9,FALSE),0))*(MIN(IF(B206="Go AFK",IF(D206="",0,D206),0),Z205/60)*60)),0),0))</f>
        <v/>
      </c>
      <c r="S206" s="7">
        <f>(105/'Rules &amp; Formulas'!B10)*'Rules &amp; Formulas'!B11</f>
        <v/>
      </c>
      <c r="T206" s="7">
        <f>IF(AD205&gt;=1,(MAX(1,ROUND('Rules &amp; Formulas'!B18*(1+0.3*AE205)*(1+0.4*AF205),0)))*(1000/'Rules &amp; Formulas'!B19)*MIN(0.95,'Rules &amp; Formulas'!B20*SQRT(1+0.55*(AG205&gt;=1))),0)</f>
        <v/>
      </c>
      <c r="U206" s="7">
        <f>S206+T206</f>
        <v/>
      </c>
      <c r="V206" s="7">
        <f>IF(I205&gt;=IF((IFERROR(VLOOKUP(C206,Monsters!$T$4:$AH$15,15,FALSE),0))=0,120,IFERROR(VLOOKUP(C206,Monsters!$T$4:$AH$15,15,FALSE),0)),"YES","no")</f>
        <v/>
      </c>
      <c r="W206" s="7">
        <f>IF(AND(B206="Fight boss",E206="OK"),IF((((105/'Rules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Formulas'!B20*SQRT(1+0.55*(AG205&gt;=1))),0)))),"")</f>
        <v/>
      </c>
      <c r="X206" s="7">
        <f>IF(AND(B206="Fight boss",E206="OK"),IF((IF((((105/'Rules &amp; Formulas'!B10)*'Rules &amp; Formulas'!B11+IF(AD205&gt;=1,(MAX(1,ROUND('Rules &amp; Formulas'!B18*(1+0.3*AE205)*(1+0.4*AF205),0)))*(1000/'Rules &amp; Formulas'!B19)*MIN(0.95,'Rules &amp; Formulas'!B20*SQRT(1+0.55*(AG205&gt;=1))),0)))&lt;=0,9999,(IFERROR(VLOOKUP(C206,Monsters!$T$4:$AH$15,2,FALSE),0))/(((105/'Rules &amp; Formulas'!B10)*'Rules &amp; Formulas'!B11+IF(AD205&gt;=1,(MAX(1,ROUND('Rules &amp; Formulas'!B18*(1+0.3*AE205)*(1+0.4*AF205),0)))*(1000/'Rules &amp; Formulas'!B19)*MIN(0.95,'Rules &amp; Formulas'!B20*SQRT(1+0.55*(AG205&gt;=1))),0))))&lt;='Rules &amp; Formulas'!B12),"WIN","LOSE"),"")</f>
        <v/>
      </c>
      <c r="Y206" s="7">
        <f>IF(B206="Go AFK",MIN(IF(B206="Go AFK",IF(D206="",0,D206),0),Z205/60),"")</f>
        <v/>
      </c>
      <c r="Z206" s="7">
        <f>('Rules &amp; Formulas'!B13+30*AI206)</f>
        <v/>
      </c>
      <c r="AA206">
        <f>COUNTIFS($B$3:$B206,"Buy upgrade",$C$3:$C206,"Idle Power")</f>
        <v/>
      </c>
      <c r="AB206">
        <f>COUNTIFS($B$3:$B206,"Buy upgrade",$C$3:$C206,"Iron Blade")</f>
        <v/>
      </c>
      <c r="AC206">
        <f>COUNTIFS($B$3:$B206,"Buy upgrade",$C$3:$C206,"Steel Blade")</f>
        <v/>
      </c>
      <c r="AD206">
        <f>COUNTIFS($B$3:$B206,"Hire hunter",$C$3:$C206,"Briar")+COUNTIFS($B$3:$B206,"Buy upgrade",$C$3:$C206,"Hire Briar")</f>
        <v/>
      </c>
      <c r="AE206">
        <f>COUNTIFS($B$3:$B206,"Buy upgrade",$C$3:$C206,"Hunter Power")</f>
        <v/>
      </c>
      <c r="AF206">
        <f>COUNTIFS($B$3:$B206,"Buy upgrade",$C$3:$C206,"Bigger Hits")</f>
        <v/>
      </c>
      <c r="AG206">
        <f>COUNTIFS($B$3:$B206,"Buy upgrade",$C$3:$C206,"Swift Walk")</f>
        <v/>
      </c>
      <c r="AH206">
        <f>COUNTIFS($B$3:$B206,"Buy upgrade",$C$3:$C206,"Loot Luck")</f>
        <v/>
      </c>
      <c r="AI206">
        <f>COUNTIFS($B$3:$B206,"Buy upgrade",$C$3:$C206,"Offline Cap")</f>
        <v/>
      </c>
      <c r="AJ206">
        <f>COUNTIFS($B$3:$B206,"Buy upgrade",$C$3:$C206,"Bigger Food Stock")</f>
        <v/>
      </c>
      <c r="AK206">
        <f>COUNTIFS($B$3:$B206,"Buy upgrade",$C$3:$C206,"Food Efficiency")</f>
        <v/>
      </c>
    </row>
    <row r="207">
      <c r="A207" t="n">
        <v>205</v>
      </c>
      <c r="B207" s="6" t="n"/>
      <c r="C207" s="6" t="n"/>
      <c r="D207" s="6" t="n"/>
      <c r="E207" s="7">
        <f>IF(B207="","",IF(OR(B207="Hunt",B207="Go AFK"),IF(C207="","Can't","OK"),IF(B207="Fight boss",IF(I206&lt;IF((IFERROR(VLOOKUP(C207,Monsters!$T$4:$AH$15,15,FALSE),0))=0,120,IFERROR(VLOOKUP(C207,Monsters!$T$4:$AH$15,15,FALSE),0)),"Can't","OK"),IF(B207="Hire hunter",IF(AND(C207="Briar",AD206&gt;=1),"Can't",IF(H206&lt;IF(C207="Briar",140,IF(C207="Quill",3650,IF(C207="Moss",4850,IF(C207="Ember",12200,0)))),"Can't","OK")),IF(OR(B207="Buy upgrade",B207="Forge/Scrapwork buy"),IF(IFERROR(VLOOKUP(C207,Upgrades!$N$4:$T$47,2,FALSE),0)="points","Can't",IF(IFERROR(VLOOKUP(C207,Upgrades!$N$4:$T$47,2,FALSE),0)="gold",IF(H206&lt;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buy",$C$3:$C206,C207))),1),0),"Can't","OK"),IF(IFERROR(VLOOKUP(C207,Upgrades!$N$4:$T$47,2,FALSE),0)="scraps",IF(J206&lt;IFERROR(FLOOR(IFERROR(VLOOKUP(C207,Upgrades!$N$4:$T$47,3,FALSE),0)*(IFERROR(VLOOKUP(C207,Upgrades!$N$4:$T$47,4,FALSE),0)^(COUNTIFS($B$3:$B206,"Buy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buy",$C$3:$C206,C207))),1),0),"Can't","OK"),IF(IFERROR(VLOOKUP(C207,Upgrades!$N$4:$T$47,2,FALSE),0)="mats","Can't","OK")))),"Check")))))</f>
        <v/>
      </c>
      <c r="F207" s="7">
        <f>IF(B207="","",IF(AND(B207="Fight boss",I206&lt;IF((IFERROR(VLOOKUP(C207,Monsters!$T$4:$AH$15,15,FALSE),0))=0,120,IFERROR(VLOOKUP(C207,Monsters!$T$4:$AH$15,15,FALSE),0))),"Can't — need "&amp;TEXT(IF((IFERROR(VLOOKUP(C207,Monsters!$T$4:$AH$15,15,FALSE),0))=0,120,IFERROR(VLOOKUP(C207,Monsters!$T$4:$AH$15,15,FALSE),0))-I206,"0.0")&amp;" more Slayer points on the meter",IF(AND(B207="Hire hunter",C207="Briar",AD206&gt;=1),"Can't — already hired",IF(AND(B207="Hire hunter",H206&lt;IF(C207="Briar",140,IF(C207="Quill",3650,IF(C207="Moss",4850,IF(C207="Ember",12200,0))))),"Can't — need "&amp;TEXT(IF(C207="Briar",140,IF(C207="Quill",3650,IF(C207="Moss",4850,IF(C207="Ember",12200,0))))-H206,"0")&amp;" more gold",IF(AND(OR(B207="Buy upgrade",B207="Forge/Scrapwork buy"),IFERROR(VLOOKUP(C207,Upgrades!$N$4:$T$47,2,FALSE),0)="points"),"Can't — Sp-wallet spends not tracked here",IF(AND(OR(B207="Buy upgrade",B207="Forge/Scrapwork buy"),IFERROR(VLOOKUP(C207,Upgrades!$N$4:$T$47,2,FALSE),0)="gold",H206&lt;IFERROR(FLOOR(IFERROR(VLOOKUP(C207,Upgrades!$N$4:$T$47,3,FALSE),0)*(IFERROR(VLOOKUP(C207,Upgrades!$N$4:$T$47,4,FALSE),0)^(COUNTIFS($B$3:$B206,"Buy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buy",$C$3:$C206,C207))),1),0)),"Can't — need "&amp;TEXT(IFERROR(FLOOR(IFERROR(VLOOKUP(C207,Upgrades!$N$4:$T$47,3,FALSE),0)*(IFERROR(VLOOKUP(C207,Upgrades!$N$4:$T$47,4,FALSE),0)^(COUNTIFS($B$3:$B206,"Buy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buy",$C$3:$C206,C207))),1),0)-H206,"0")&amp;" more gold",IF(AND(OR(B207="Buy upgrade",B207="Forge/Scrapwork buy"),IFERROR(VLOOKUP(C207,Upgrades!$N$4:$T$47,2,FALSE),0)="scraps",J206&lt;IFERROR(FLOOR(IFERROR(VLOOKUP(C207,Upgrades!$N$4:$T$47,3,FALSE),0)*(IFERROR(VLOOKUP(C207,Upgrades!$N$4:$T$47,4,FALSE),0)^(COUNTIFS($B$3:$B206,"Buy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buy",$C$3:$C206,C207))),1),0)),"Can't — need "&amp;TEXT(IFERROR(FLOOR(IFERROR(VLOOKUP(C207,Upgrades!$N$4:$T$47,3,FALSE),0)*(IFERROR(VLOOKUP(C207,Upgrades!$N$4:$T$47,4,FALSE),0)^(COUNTIFS($B$3:$B206,"Buy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buy",$C$3:$C206,C207))),1),0)-J206,"0")&amp;" more scraps",IF(AND(B207="Fight boss",E207="OK",(IF((((105/'Rules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Formulas'!B12)),"WIN — boss down, next Level unlocks",IF(AND(B207="Fight boss",E207="OK"),"LOSE — TTK "&amp;TEXT(IF((((105/'Rules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Formulas'!B20*SQRT(1+0.55*(AG206&gt;=1))),0)))),"0")&amp;"s &gt; patience "&amp;TEXT('Rules &amp; Formulas'!B12,"0")&amp;"s (leave resets HP)",IF(B207="Go AFK","AFK resolved (see AFK counted h)","Applied")))))))))</f>
        <v/>
      </c>
      <c r="G207" s="7">
        <f>IF(AND((E207="OK"),B207="Fight boss",(IF((((105/'Rules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Formulas'!B12),C207="Elder Thornpelt"),2,IF(AND((E207="OK"),B207="Fight boss",(IF((((105/'Rules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Formulas'!B12),C207="Ashfang Alpha"),3,G206))</f>
        <v/>
      </c>
      <c r="H207" s="7">
        <f>MAX(0,H206+IF(AND((E207="OK"),B207="Hunt"),(IF(B207="Hunt",(('Rules &amp; Formulas'!B4*N206*('Rules &amp; Formulas'!B5+O206)*IFERROR(VLOOKUP(C207,Monsters!$T$4:$AH$15,10,FALSE),0)*IFERROR(VLOOKUP(C207,Monsters!$T$4:$AH$15,9,FALSE),0))*'Rules &amp; Formulas'!B6)*IF(D207="",0,D207),0))*(IFERROR(VLOOKUP(C207,Monsters!$T$4:$AH$15,3,FALSE),0))*(1+0.1*AH206)+(IF(OR(B207&lt;&gt;"Hunt",IFERROR(VLOOKUP(C207,Monsters!$T$4:$AH$15,6,FALSE),0)=0),0,FLOOR((IF(B207="Hunt",(('Rules &amp; Formulas'!B4*N206*('Rules &amp; Formulas'!B5+O206)*IFERROR(VLOOKUP(C207,Monsters!$T$4:$AH$15,10,FALSE),0)*IFERROR(VLOOKUP(C207,Monsters!$T$4:$AH$15,9,FALSE),0))*'Rules &amp; Formulas'!B6)*IF(D207="",0,D207),0))/MAX(1,IFERROR(VLOOKUP(C207,Monsters!$T$4:$AH$15,6,FALSE),0)),1)))*(IFERROR(VLOOKUP(C207,Monsters!$T$4:$AH$15,7,FALSE),0))*0.5*(1+0.1*AH206),0)+IF(AND((E207="OK"),B207="Go AFK"),(IF(B207="Go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AFK",IF(D207="",0,D207),0),Z206/60)*60)),0))*(IFERROR(VLOOKUP(C207,Monsters!$T$4:$AH$15,3,FALSE),0))*(1+0.1*AH206)+(IF(OR(B207&lt;&gt;"Go AFK",IFERROR(VLOOKUP(C207,Monsters!$T$4:$AH$15,6,FALSE),0)=0),0,FLOOR((IF(B207="Go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AFK",IF(D207="",0,D207),0),Z206/60)*60)),0))/MAX(1,IFERROR(VLOOKUP(C207,Monsters!$T$4:$AH$15,6,FALSE),0)),1)))*(IFERROR(VLOOKUP(C207,Monsters!$T$4:$AH$15,7,FALSE),0))*0.5*(1+0.1*AH206),0)+IF(AND((E207="OK"),B207="Fight boss",(IF((((105/'Rules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Formulas'!B12)),IFERROR(VLOOKUP(C207,Monsters!$T$4:$AH$15,3,FALSE),0),0)-IF(AND((E207="OK"),OR(B207="Buy upgrade",B207="Forge/Scrapwork buy"),IFERROR(VLOOKUP(C207,Upgrades!$N$4:$T$47,2,FALSE),0)="gold"),IFERROR(FLOOR(IFERROR(VLOOKUP(C207,Upgrades!$N$4:$T$47,3,FALSE),0)*(IFERROR(VLOOKUP(C207,Upgrades!$N$4:$T$47,4,FALSE),0)^(COUNTIFS($B$3:$B206,"Buy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buy",$C$3:$C206,C207))),1),0),0)-IF(AND((E207="OK"),B207="Hire hunter"),IF(C207="Briar",140,IF(C207="Quill",3650,IF(C207="Moss",4850,IF(C207="Ember",12200,0)))),0))</f>
        <v/>
      </c>
      <c r="I207" s="7">
        <f>IF(AND((E207="OK"),B207="Fight boss",(IF((((105/'Rules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Formulas'!B12)),0,MIN(IF(G206&lt;=1,120,IF(G206=2,280,600)),I206+IF(AND((E207="OK"),B207="Hunt"),((IF(B207="Hunt",(('Rules &amp; Formulas'!B4*N206*('Rules &amp; Formulas'!B5+O206)*IFERROR(VLOOKUP(C207,Monsters!$T$4:$AH$15,10,FALSE),0)*IFERROR(VLOOKUP(C207,Monsters!$T$4:$AH$15,9,FALSE),0))*'Rules &amp; Formulas'!B6)*IF(D207="",0,D207),0))*(IFERROR(VLOOKUP(C207,Monsters!$T$4:$AH$15,4,FALSE),0))+(IF(OR(B207&lt;&gt;"Hunt",IFERROR(VLOOKUP(C207,Monsters!$T$4:$AH$15,6,FALSE),0)=0),0,FLOOR((IF(B207="Hunt",(('Rules &amp; Formulas'!B4*N206*('Rules &amp; Formulas'!B5+O206)*IFERROR(VLOOKUP(C207,Monsters!$T$4:$AH$15,10,FALSE),0)*IFERROR(VLOOKUP(C207,Monsters!$T$4:$AH$15,9,FALSE),0))*'Rules &amp; Formulas'!B6)*IF(D207="",0,D207),0))/MAX(1,IFERROR(VLOOKUP(C207,Monsters!$T$4:$AH$15,6,FALSE),0)),1)))*(IFERROR(VLOOKUP(C207,Monsters!$T$4:$AH$15,7,FALSE),0))),0)+IF(AND((E207="OK"),B207="Go AFK"),((IF(B207="Go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AFK",IF(D207="",0,D207),0),Z206/60)*60)),0))*(IFERROR(VLOOKUP(C207,Monsters!$T$4:$AH$15,4,FALSE),0))+(IF(OR(B207&lt;&gt;"Go AFK",IFERROR(VLOOKUP(C207,Monsters!$T$4:$AH$15,6,FALSE),0)=0),0,FLOOR((IF(B207="Go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AFK",IF(D207="",0,D207),0),Z206/60)*60)),0))/MAX(1,IFERROR(VLOOKUP(C207,Monsters!$T$4:$AH$15,6,FALSE),0)),1)))*(IFERROR(VLOOKUP(C207,Monsters!$T$4:$AH$15,7,FALSE),0))),0)))</f>
        <v/>
      </c>
      <c r="J207" s="7">
        <f>MAX(0,J206+IF(AND((E207="OK"),B207="Hunt"),(IF(B207="Hunt",(('Rules &amp; Formulas'!B4*N206*('Rules &amp; Formulas'!B5+O206)*IFERROR(VLOOKUP(C207,Monsters!$T$4:$AH$15,10,FALSE),0)*IFERROR(VLOOKUP(C207,Monsters!$T$4:$AH$15,9,FALSE),0))*'Rules &amp; Formulas'!B6)*IF(D207="",0,D207),0))*(IFERROR(VLOOKUP(C207,Monsters!$T$4:$AH$15,5,FALSE),0)),0)+IF(AND((E207="OK"),B207="Go AFK"),(IF(B207="Go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AFK",IF(D207="",0,D207),0),Z206/60)*60)),0))*(IFERROR(VLOOKUP(C207,Monsters!$T$4:$AH$15,5,FALSE),0)),0)-IF(AND((E207="OK"),OR(B207="Buy upgrade",B207="Forge/Scrapwork buy"),IFERROR(VLOOKUP(C207,Upgrades!$N$4:$T$47,2,FALSE),0)="scraps"),IFERROR(FLOOR(IFERROR(VLOOKUP(C207,Upgrades!$N$4:$T$47,3,FALSE),0)*(IFERROR(VLOOKUP(C207,Upgrades!$N$4:$T$47,4,FALSE),0)^(COUNTIFS($B$3:$B206,"Buy upgrade",$C$3:$C206,C207)+COUNTIFS($B$3:$B206,"Hire hunter",$C$3:$C206,C207)+COUNTIFS($B$3:$B206,"Forge/Scrapwork buy",$C$3:$C206,C207))),1),0),0))</f>
        <v/>
      </c>
      <c r="K207" s="7">
        <f>MAX(0,K206+IF(AND((E207="OK"),B207="Hunt"),IF(C207="Thornpelt Bear",(IF(B207="Hunt",(('Rules &amp; Formulas'!B4*N206*('Rules &amp; Formulas'!B5+O206)*IFERROR(VLOOKUP(C207,Monsters!$T$4:$AH$15,10,FALSE),0)*IFERROR(VLOOKUP(C207,Monsters!$T$4:$AH$15,9,FALSE),0))*'Rules &amp; Formulas'!B6)*IF(D207="",0,D207),0))*0.12,0),0)+IF(AND((E207="OK"),B207="Go AFK"),IF(C207="Thornpelt Bear",(IF(B207="Go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AFK",IF(D207="",0,D207),0),Z206/60)*60)),0))*0.12,0),0))</f>
        <v/>
      </c>
      <c r="L207" s="7">
        <f>MAX(0,L206+IF(AND((E207="OK"),B207="Hunt"),IF(C207="Dire Thornpelt",(IF(B207="Hunt",(('Rules &amp; Formulas'!B4*N206*('Rules &amp; Formulas'!B5+O206)*IFERROR(VLOOKUP(C207,Monsters!$T$4:$AH$15,10,FALSE),0)*IFERROR(VLOOKUP(C207,Monsters!$T$4:$AH$15,9,FALSE),0))*'Rules &amp; Formulas'!B6)*IF(D207="",0,D207),0))*0.1,0),0)+IF(AND((E207="OK"),B207="Go AFK"),IF(C207="Dire Thornpelt",(IF(B207="Go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AFK",IF(D207="",0,D207),0),Z206/60)*60)),0))*0.1,0),0))</f>
        <v/>
      </c>
      <c r="M207" s="7">
        <f>IF(AND((E207="OK"),B207="Go AFK"),MAX(0,MIN(('Rules &amp; Formulas'!B15+25*AJ206),M206+('Rules &amp; Formulas'!B14+0.4*AJ206)*(MIN(IF(B207="Go AFK",IF(D207="",0,D207),0),Z206/60)*60))-(IF(B207="Go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AFK",IF(D207="",0,D207),0),Z206/60)*60)),0))*(IF((IFERROR(VLOOKUP(C207,Monsters!$T$4:$AH$15,8,FALSE),0))=0,0.35,IFERROR(VLOOKUP(C207,Monsters!$T$4:$AH$15,8,FALSE),0))/(1+0.08*AK206))),MIN(('Rules &amp; Formulas'!B15+25*AJ207),M206))</f>
        <v/>
      </c>
      <c r="N207" s="7">
        <f>(1+0.08+0.12*AA207+0.12*AB207+0.16*AC207)</f>
        <v/>
      </c>
      <c r="O207" s="7">
        <f>((AD207&gt;=1)*1*(1+0.3*AE207))</f>
        <v/>
      </c>
      <c r="P207" s="7">
        <f>IF(OR(B207="Hunt",B207="Go AFK"),(('Rules &amp; Formulas'!B4*N206*('Rules &amp; Formulas'!B5+O206)*IFERROR(VLOOKUP(C207,Monsters!$T$4:$AH$15,10,FALSE),0)*IFERROR(VLOOKUP(C207,Monsters!$T$4:$AH$15,9,FALSE),0))*'Rules &amp; Formulas'!B6),"")</f>
        <v/>
      </c>
      <c r="Q207" s="7">
        <f>IF(OR(B207="Hunt",B207="Go AFK"),('Rules &amp; Formulas'!B4*N206*('Rules &amp; Formulas'!B5+O206)*IFERROR(VLOOKUP(C207,Monsters!$T$4:$AH$15,10,FALSE),0)*IFERROR(VLOOKUP(C207,Monsters!$T$4:$AH$15,9,FALSE),0)),"")</f>
        <v/>
      </c>
      <c r="R207" s="7">
        <f>IF(AND((E207="OK"),B207="Hunt"),IF(B207="Hunt",(('Rules &amp; Formulas'!B4*N206*('Rules &amp; Formulas'!B5+O206)*IFERROR(VLOOKUP(C207,Monsters!$T$4:$AH$15,10,FALSE),0)*IFERROR(VLOOKUP(C207,Monsters!$T$4:$AH$15,9,FALSE),0))*'Rules &amp; Formulas'!B6)*IF(D207="",0,D207),0),IF(AND((E207="OK"),B207="Go AFK"),IF(B207="Go AFK",MIN(IF((IF((IFERROR(VLOOKUP(C207,Monsters!$T$4:$AH$15,8,FALSE),0))=0,0.35,IFERROR(VLOOKUP(C207,Monsters!$T$4:$AH$15,8,FALSE),0))/(1+0.08*AK206))&lt;=0,999999,FLOOR(MIN(('Rules &amp; Formulas'!B15+25*AJ206),M206+('Rules &amp; Formulas'!B14+0.4*AJ206)*(MIN(IF(B207="Go AFK",IF(D207="",0,D207),0),Z206/60)*60))/(IF((IFERROR(VLOOKUP(C207,Monsters!$T$4:$AH$15,8,FALSE),0))=0,0.35,IFERROR(VLOOKUP(C207,Monsters!$T$4:$AH$15,8,FALSE),0))/(1+0.08*AK206)),1)),('Rules &amp; Formulas'!B4*N206*('Rules &amp; Formulas'!B5+O206)*IFERROR(VLOOKUP(C207,Monsters!$T$4:$AH$15,10,FALSE),0)*IFERROR(VLOOKUP(C207,Monsters!$T$4:$AH$15,9,FALSE),0))*(MIN(IF(B207="Go AFK",IF(D207="",0,D207),0),Z206/60)*60)),0),0))</f>
        <v/>
      </c>
      <c r="S207" s="7">
        <f>(105/'Rules &amp; Formulas'!B10)*'Rules &amp; Formulas'!B11</f>
        <v/>
      </c>
      <c r="T207" s="7">
        <f>IF(AD206&gt;=1,(MAX(1,ROUND('Rules &amp; Formulas'!B18*(1+0.3*AE206)*(1+0.4*AF206),0)))*(1000/'Rules &amp; Formulas'!B19)*MIN(0.95,'Rules &amp; Formulas'!B20*SQRT(1+0.55*(AG206&gt;=1))),0)</f>
        <v/>
      </c>
      <c r="U207" s="7">
        <f>S207+T207</f>
        <v/>
      </c>
      <c r="V207" s="7">
        <f>IF(I206&gt;=IF((IFERROR(VLOOKUP(C207,Monsters!$T$4:$AH$15,15,FALSE),0))=0,120,IFERROR(VLOOKUP(C207,Monsters!$T$4:$AH$15,15,FALSE),0)),"YES","no")</f>
        <v/>
      </c>
      <c r="W207" s="7">
        <f>IF(AND(B207="Fight boss",E207="OK"),IF((((105/'Rules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Formulas'!B20*SQRT(1+0.55*(AG206&gt;=1))),0)))),"")</f>
        <v/>
      </c>
      <c r="X207" s="7">
        <f>IF(AND(B207="Fight boss",E207="OK"),IF((IF((((105/'Rules &amp; Formulas'!B10)*'Rules &amp; Formulas'!B11+IF(AD206&gt;=1,(MAX(1,ROUND('Rules &amp; Formulas'!B18*(1+0.3*AE206)*(1+0.4*AF206),0)))*(1000/'Rules &amp; Formulas'!B19)*MIN(0.95,'Rules &amp; Formulas'!B20*SQRT(1+0.55*(AG206&gt;=1))),0)))&lt;=0,9999,(IFERROR(VLOOKUP(C207,Monsters!$T$4:$AH$15,2,FALSE),0))/(((105/'Rules &amp; Formulas'!B10)*'Rules &amp; Formulas'!B11+IF(AD206&gt;=1,(MAX(1,ROUND('Rules &amp; Formulas'!B18*(1+0.3*AE206)*(1+0.4*AF206),0)))*(1000/'Rules &amp; Formulas'!B19)*MIN(0.95,'Rules &amp; Formulas'!B20*SQRT(1+0.55*(AG206&gt;=1))),0))))&lt;='Rules &amp; Formulas'!B12),"WIN","LOSE"),"")</f>
        <v/>
      </c>
      <c r="Y207" s="7">
        <f>IF(B207="Go AFK",MIN(IF(B207="Go AFK",IF(D207="",0,D207),0),Z206/60),"")</f>
        <v/>
      </c>
      <c r="Z207" s="7">
        <f>('Rules &amp; Formulas'!B13+30*AI207)</f>
        <v/>
      </c>
      <c r="AA207">
        <f>COUNTIFS($B$3:$B207,"Buy upgrade",$C$3:$C207,"Idle Power")</f>
        <v/>
      </c>
      <c r="AB207">
        <f>COUNTIFS($B$3:$B207,"Buy upgrade",$C$3:$C207,"Iron Blade")</f>
        <v/>
      </c>
      <c r="AC207">
        <f>COUNTIFS($B$3:$B207,"Buy upgrade",$C$3:$C207,"Steel Blade")</f>
        <v/>
      </c>
      <c r="AD207">
        <f>COUNTIFS($B$3:$B207,"Hire hunter",$C$3:$C207,"Briar")+COUNTIFS($B$3:$B207,"Buy upgrade",$C$3:$C207,"Hire Briar")</f>
        <v/>
      </c>
      <c r="AE207">
        <f>COUNTIFS($B$3:$B207,"Buy upgrade",$C$3:$C207,"Hunter Power")</f>
        <v/>
      </c>
      <c r="AF207">
        <f>COUNTIFS($B$3:$B207,"Buy upgrade",$C$3:$C207,"Bigger Hits")</f>
        <v/>
      </c>
      <c r="AG207">
        <f>COUNTIFS($B$3:$B207,"Buy upgrade",$C$3:$C207,"Swift Walk")</f>
        <v/>
      </c>
      <c r="AH207">
        <f>COUNTIFS($B$3:$B207,"Buy upgrade",$C$3:$C207,"Loot Luck")</f>
        <v/>
      </c>
      <c r="AI207">
        <f>COUNTIFS($B$3:$B207,"Buy upgrade",$C$3:$C207,"Offline Cap")</f>
        <v/>
      </c>
      <c r="AJ207">
        <f>COUNTIFS($B$3:$B207,"Buy upgrade",$C$3:$C207,"Bigger Food Stock")</f>
        <v/>
      </c>
      <c r="AK207">
        <f>COUNTIFS($B$3:$B207,"Buy upgrade",$C$3:$C207,"Food Efficiency")</f>
        <v/>
      </c>
    </row>
    <row r="208">
      <c r="A208" t="n">
        <v>206</v>
      </c>
      <c r="B208" s="6" t="n"/>
      <c r="C208" s="6" t="n"/>
      <c r="D208" s="6" t="n"/>
      <c r="E208" s="7">
        <f>IF(B208="","",IF(OR(B208="Hunt",B208="Go AFK"),IF(C208="","Can't","OK"),IF(B208="Fight boss",IF(I207&lt;IF((IFERROR(VLOOKUP(C208,Monsters!$T$4:$AH$15,15,FALSE),0))=0,120,IFERROR(VLOOKUP(C208,Monsters!$T$4:$AH$15,15,FALSE),0)),"Can't","OK"),IF(B208="Hire hunter",IF(AND(C208="Briar",AD207&gt;=1),"Can't",IF(H207&lt;IF(C208="Briar",140,IF(C208="Quill",3650,IF(C208="Moss",4850,IF(C208="Ember",12200,0)))),"Can't","OK")),IF(OR(B208="Buy upgrade",B208="Forge/Scrapwork buy"),IF(IFERROR(VLOOKUP(C208,Upgrades!$N$4:$T$47,2,FALSE),0)="points","Can't",IF(IFERROR(VLOOKUP(C208,Upgrades!$N$4:$T$47,2,FALSE),0)="gold",IF(H207&lt;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buy",$C$3:$C207,C208))),1),0),"Can't","OK"),IF(IFERROR(VLOOKUP(C208,Upgrades!$N$4:$T$47,2,FALSE),0)="scraps",IF(J207&lt;IFERROR(FLOOR(IFERROR(VLOOKUP(C208,Upgrades!$N$4:$T$47,3,FALSE),0)*(IFERROR(VLOOKUP(C208,Upgrades!$N$4:$T$47,4,FALSE),0)^(COUNTIFS($B$3:$B207,"Buy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buy",$C$3:$C207,C208))),1),0),"Can't","OK"),IF(IFERROR(VLOOKUP(C208,Upgrades!$N$4:$T$47,2,FALSE),0)="mats","Can't","OK")))),"Check")))))</f>
        <v/>
      </c>
      <c r="F208" s="7">
        <f>IF(B208="","",IF(AND(B208="Fight boss",I207&lt;IF((IFERROR(VLOOKUP(C208,Monsters!$T$4:$AH$15,15,FALSE),0))=0,120,IFERROR(VLOOKUP(C208,Monsters!$T$4:$AH$15,15,FALSE),0))),"Can't — need "&amp;TEXT(IF((IFERROR(VLOOKUP(C208,Monsters!$T$4:$AH$15,15,FALSE),0))=0,120,IFERROR(VLOOKUP(C208,Monsters!$T$4:$AH$15,15,FALSE),0))-I207,"0.0")&amp;" more Slayer points on the meter",IF(AND(B208="Hire hunter",C208="Briar",AD207&gt;=1),"Can't — already hired",IF(AND(B208="Hire hunter",H207&lt;IF(C208="Briar",140,IF(C208="Quill",3650,IF(C208="Moss",4850,IF(C208="Ember",12200,0))))),"Can't — need "&amp;TEXT(IF(C208="Briar",140,IF(C208="Quill",3650,IF(C208="Moss",4850,IF(C208="Ember",12200,0))))-H207,"0")&amp;" more gold",IF(AND(OR(B208="Buy upgrade",B208="Forge/Scrapwork buy"),IFERROR(VLOOKUP(C208,Upgrades!$N$4:$T$47,2,FALSE),0)="points"),"Can't — Sp-wallet spends not tracked here",IF(AND(OR(B208="Buy upgrade",B208="Forge/Scrapwork buy"),IFERROR(VLOOKUP(C208,Upgrades!$N$4:$T$47,2,FALSE),0)="gold",H207&lt;IFERROR(FLOOR(IFERROR(VLOOKUP(C208,Upgrades!$N$4:$T$47,3,FALSE),0)*(IFERROR(VLOOKUP(C208,Upgrades!$N$4:$T$47,4,FALSE),0)^(COUNTIFS($B$3:$B207,"Buy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buy",$C$3:$C207,C208))),1),0)),"Can't — need "&amp;TEXT(IFERROR(FLOOR(IFERROR(VLOOKUP(C208,Upgrades!$N$4:$T$47,3,FALSE),0)*(IFERROR(VLOOKUP(C208,Upgrades!$N$4:$T$47,4,FALSE),0)^(COUNTIFS($B$3:$B207,"Buy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buy",$C$3:$C207,C208))),1),0)-H207,"0")&amp;" more gold",IF(AND(OR(B208="Buy upgrade",B208="Forge/Scrapwork buy"),IFERROR(VLOOKUP(C208,Upgrades!$N$4:$T$47,2,FALSE),0)="scraps",J207&lt;IFERROR(FLOOR(IFERROR(VLOOKUP(C208,Upgrades!$N$4:$T$47,3,FALSE),0)*(IFERROR(VLOOKUP(C208,Upgrades!$N$4:$T$47,4,FALSE),0)^(COUNTIFS($B$3:$B207,"Buy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buy",$C$3:$C207,C208))),1),0)),"Can't — need "&amp;TEXT(IFERROR(FLOOR(IFERROR(VLOOKUP(C208,Upgrades!$N$4:$T$47,3,FALSE),0)*(IFERROR(VLOOKUP(C208,Upgrades!$N$4:$T$47,4,FALSE),0)^(COUNTIFS($B$3:$B207,"Buy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buy",$C$3:$C207,C208))),1),0)-J207,"0")&amp;" more scraps",IF(AND(B208="Fight boss",E208="OK",(IF((((105/'Rules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Formulas'!B12)),"WIN — boss down, next Level unlocks",IF(AND(B208="Fight boss",E208="OK"),"LOSE — TTK "&amp;TEXT(IF((((105/'Rules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Formulas'!B20*SQRT(1+0.55*(AG207&gt;=1))),0)))),"0")&amp;"s &gt; patience "&amp;TEXT('Rules &amp; Formulas'!B12,"0")&amp;"s (leave resets HP)",IF(B208="Go AFK","AFK resolved (see AFK counted h)","Applied")))))))))</f>
        <v/>
      </c>
      <c r="G208" s="7">
        <f>IF(AND((E208="OK"),B208="Fight boss",(IF((((105/'Rules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Formulas'!B12),C208="Elder Thornpelt"),2,IF(AND((E208="OK"),B208="Fight boss",(IF((((105/'Rules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Formulas'!B12),C208="Ashfang Alpha"),3,G207))</f>
        <v/>
      </c>
      <c r="H208" s="7">
        <f>MAX(0,H207+IF(AND((E208="OK"),B208="Hunt"),(IF(B208="Hunt",(('Rules &amp; Formulas'!B4*N207*('Rules &amp; Formulas'!B5+O207)*IFERROR(VLOOKUP(C208,Monsters!$T$4:$AH$15,10,FALSE),0)*IFERROR(VLOOKUP(C208,Monsters!$T$4:$AH$15,9,FALSE),0))*'Rules &amp; Formulas'!B6)*IF(D208="",0,D208),0))*(IFERROR(VLOOKUP(C208,Monsters!$T$4:$AH$15,3,FALSE),0))*(1+0.1*AH207)+(IF(OR(B208&lt;&gt;"Hunt",IFERROR(VLOOKUP(C208,Monsters!$T$4:$AH$15,6,FALSE),0)=0),0,FLOOR((IF(B208="Hunt",(('Rules &amp; Formulas'!B4*N207*('Rules &amp; Formulas'!B5+O207)*IFERROR(VLOOKUP(C208,Monsters!$T$4:$AH$15,10,FALSE),0)*IFERROR(VLOOKUP(C208,Monsters!$T$4:$AH$15,9,FALSE),0))*'Rules &amp; Formulas'!B6)*IF(D208="",0,D208),0))/MAX(1,IFERROR(VLOOKUP(C208,Monsters!$T$4:$AH$15,6,FALSE),0)),1)))*(IFERROR(VLOOKUP(C208,Monsters!$T$4:$AH$15,7,FALSE),0))*0.5*(1+0.1*AH207),0)+IF(AND((E208="OK"),B208="Go AFK"),(IF(B208="Go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AFK",IF(D208="",0,D208),0),Z207/60)*60)),0))*(IFERROR(VLOOKUP(C208,Monsters!$T$4:$AH$15,3,FALSE),0))*(1+0.1*AH207)+(IF(OR(B208&lt;&gt;"Go AFK",IFERROR(VLOOKUP(C208,Monsters!$T$4:$AH$15,6,FALSE),0)=0),0,FLOOR((IF(B208="Go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AFK",IF(D208="",0,D208),0),Z207/60)*60)),0))/MAX(1,IFERROR(VLOOKUP(C208,Monsters!$T$4:$AH$15,6,FALSE),0)),1)))*(IFERROR(VLOOKUP(C208,Monsters!$T$4:$AH$15,7,FALSE),0))*0.5*(1+0.1*AH207),0)+IF(AND((E208="OK"),B208="Fight boss",(IF((((105/'Rules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Formulas'!B12)),IFERROR(VLOOKUP(C208,Monsters!$T$4:$AH$15,3,FALSE),0),0)-IF(AND((E208="OK"),OR(B208="Buy upgrade",B208="Forge/Scrapwork buy"),IFERROR(VLOOKUP(C208,Upgrades!$N$4:$T$47,2,FALSE),0)="gold"),IFERROR(FLOOR(IFERROR(VLOOKUP(C208,Upgrades!$N$4:$T$47,3,FALSE),0)*(IFERROR(VLOOKUP(C208,Upgrades!$N$4:$T$47,4,FALSE),0)^(COUNTIFS($B$3:$B207,"Buy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buy",$C$3:$C207,C208))),1),0),0)-IF(AND((E208="OK"),B208="Hire hunter"),IF(C208="Briar",140,IF(C208="Quill",3650,IF(C208="Moss",4850,IF(C208="Ember",12200,0)))),0))</f>
        <v/>
      </c>
      <c r="I208" s="7">
        <f>IF(AND((E208="OK"),B208="Fight boss",(IF((((105/'Rules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Formulas'!B12)),0,MIN(IF(G207&lt;=1,120,IF(G207=2,280,600)),I207+IF(AND((E208="OK"),B208="Hunt"),((IF(B208="Hunt",(('Rules &amp; Formulas'!B4*N207*('Rules &amp; Formulas'!B5+O207)*IFERROR(VLOOKUP(C208,Monsters!$T$4:$AH$15,10,FALSE),0)*IFERROR(VLOOKUP(C208,Monsters!$T$4:$AH$15,9,FALSE),0))*'Rules &amp; Formulas'!B6)*IF(D208="",0,D208),0))*(IFERROR(VLOOKUP(C208,Monsters!$T$4:$AH$15,4,FALSE),0))+(IF(OR(B208&lt;&gt;"Hunt",IFERROR(VLOOKUP(C208,Monsters!$T$4:$AH$15,6,FALSE),0)=0),0,FLOOR((IF(B208="Hunt",(('Rules &amp; Formulas'!B4*N207*('Rules &amp; Formulas'!B5+O207)*IFERROR(VLOOKUP(C208,Monsters!$T$4:$AH$15,10,FALSE),0)*IFERROR(VLOOKUP(C208,Monsters!$T$4:$AH$15,9,FALSE),0))*'Rules &amp; Formulas'!B6)*IF(D208="",0,D208),0))/MAX(1,IFERROR(VLOOKUP(C208,Monsters!$T$4:$AH$15,6,FALSE),0)),1)))*(IFERROR(VLOOKUP(C208,Monsters!$T$4:$AH$15,7,FALSE),0))),0)+IF(AND((E208="OK"),B208="Go AFK"),((IF(B208="Go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AFK",IF(D208="",0,D208),0),Z207/60)*60)),0))*(IFERROR(VLOOKUP(C208,Monsters!$T$4:$AH$15,4,FALSE),0))+(IF(OR(B208&lt;&gt;"Go AFK",IFERROR(VLOOKUP(C208,Monsters!$T$4:$AH$15,6,FALSE),0)=0),0,FLOOR((IF(B208="Go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AFK",IF(D208="",0,D208),0),Z207/60)*60)),0))/MAX(1,IFERROR(VLOOKUP(C208,Monsters!$T$4:$AH$15,6,FALSE),0)),1)))*(IFERROR(VLOOKUP(C208,Monsters!$T$4:$AH$15,7,FALSE),0))),0)))</f>
        <v/>
      </c>
      <c r="J208" s="7">
        <f>MAX(0,J207+IF(AND((E208="OK"),B208="Hunt"),(IF(B208="Hunt",(('Rules &amp; Formulas'!B4*N207*('Rules &amp; Formulas'!B5+O207)*IFERROR(VLOOKUP(C208,Monsters!$T$4:$AH$15,10,FALSE),0)*IFERROR(VLOOKUP(C208,Monsters!$T$4:$AH$15,9,FALSE),0))*'Rules &amp; Formulas'!B6)*IF(D208="",0,D208),0))*(IFERROR(VLOOKUP(C208,Monsters!$T$4:$AH$15,5,FALSE),0)),0)+IF(AND((E208="OK"),B208="Go AFK"),(IF(B208="Go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AFK",IF(D208="",0,D208),0),Z207/60)*60)),0))*(IFERROR(VLOOKUP(C208,Monsters!$T$4:$AH$15,5,FALSE),0)),0)-IF(AND((E208="OK"),OR(B208="Buy upgrade",B208="Forge/Scrapwork buy"),IFERROR(VLOOKUP(C208,Upgrades!$N$4:$T$47,2,FALSE),0)="scraps"),IFERROR(FLOOR(IFERROR(VLOOKUP(C208,Upgrades!$N$4:$T$47,3,FALSE),0)*(IFERROR(VLOOKUP(C208,Upgrades!$N$4:$T$47,4,FALSE),0)^(COUNTIFS($B$3:$B207,"Buy upgrade",$C$3:$C207,C208)+COUNTIFS($B$3:$B207,"Hire hunter",$C$3:$C207,C208)+COUNTIFS($B$3:$B207,"Forge/Scrapwork buy",$C$3:$C207,C208))),1),0),0))</f>
        <v/>
      </c>
      <c r="K208" s="7">
        <f>MAX(0,K207+IF(AND((E208="OK"),B208="Hunt"),IF(C208="Thornpelt Bear",(IF(B208="Hunt",(('Rules &amp; Formulas'!B4*N207*('Rules &amp; Formulas'!B5+O207)*IFERROR(VLOOKUP(C208,Monsters!$T$4:$AH$15,10,FALSE),0)*IFERROR(VLOOKUP(C208,Monsters!$T$4:$AH$15,9,FALSE),0))*'Rules &amp; Formulas'!B6)*IF(D208="",0,D208),0))*0.12,0),0)+IF(AND((E208="OK"),B208="Go AFK"),IF(C208="Thornpelt Bear",(IF(B208="Go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AFK",IF(D208="",0,D208),0),Z207/60)*60)),0))*0.12,0),0))</f>
        <v/>
      </c>
      <c r="L208" s="7">
        <f>MAX(0,L207+IF(AND((E208="OK"),B208="Hunt"),IF(C208="Dire Thornpelt",(IF(B208="Hunt",(('Rules &amp; Formulas'!B4*N207*('Rules &amp; Formulas'!B5+O207)*IFERROR(VLOOKUP(C208,Monsters!$T$4:$AH$15,10,FALSE),0)*IFERROR(VLOOKUP(C208,Monsters!$T$4:$AH$15,9,FALSE),0))*'Rules &amp; Formulas'!B6)*IF(D208="",0,D208),0))*0.1,0),0)+IF(AND((E208="OK"),B208="Go AFK"),IF(C208="Dire Thornpelt",(IF(B208="Go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AFK",IF(D208="",0,D208),0),Z207/60)*60)),0))*0.1,0),0))</f>
        <v/>
      </c>
      <c r="M208" s="7">
        <f>IF(AND((E208="OK"),B208="Go AFK"),MAX(0,MIN(('Rules &amp; Formulas'!B15+25*AJ207),M207+('Rules &amp; Formulas'!B14+0.4*AJ207)*(MIN(IF(B208="Go AFK",IF(D208="",0,D208),0),Z207/60)*60))-(IF(B208="Go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AFK",IF(D208="",0,D208),0),Z207/60)*60)),0))*(IF((IFERROR(VLOOKUP(C208,Monsters!$T$4:$AH$15,8,FALSE),0))=0,0.35,IFERROR(VLOOKUP(C208,Monsters!$T$4:$AH$15,8,FALSE),0))/(1+0.08*AK207))),MIN(('Rules &amp; Formulas'!B15+25*AJ208),M207))</f>
        <v/>
      </c>
      <c r="N208" s="7">
        <f>(1+0.08+0.12*AA208+0.12*AB208+0.16*AC208)</f>
        <v/>
      </c>
      <c r="O208" s="7">
        <f>((AD208&gt;=1)*1*(1+0.3*AE208))</f>
        <v/>
      </c>
      <c r="P208" s="7">
        <f>IF(OR(B208="Hunt",B208="Go AFK"),(('Rules &amp; Formulas'!B4*N207*('Rules &amp; Formulas'!B5+O207)*IFERROR(VLOOKUP(C208,Monsters!$T$4:$AH$15,10,FALSE),0)*IFERROR(VLOOKUP(C208,Monsters!$T$4:$AH$15,9,FALSE),0))*'Rules &amp; Formulas'!B6),"")</f>
        <v/>
      </c>
      <c r="Q208" s="7">
        <f>IF(OR(B208="Hunt",B208="Go AFK"),('Rules &amp; Formulas'!B4*N207*('Rules &amp; Formulas'!B5+O207)*IFERROR(VLOOKUP(C208,Monsters!$T$4:$AH$15,10,FALSE),0)*IFERROR(VLOOKUP(C208,Monsters!$T$4:$AH$15,9,FALSE),0)),"")</f>
        <v/>
      </c>
      <c r="R208" s="7">
        <f>IF(AND((E208="OK"),B208="Hunt"),IF(B208="Hunt",(('Rules &amp; Formulas'!B4*N207*('Rules &amp; Formulas'!B5+O207)*IFERROR(VLOOKUP(C208,Monsters!$T$4:$AH$15,10,FALSE),0)*IFERROR(VLOOKUP(C208,Monsters!$T$4:$AH$15,9,FALSE),0))*'Rules &amp; Formulas'!B6)*IF(D208="",0,D208),0),IF(AND((E208="OK"),B208="Go AFK"),IF(B208="Go AFK",MIN(IF((IF((IFERROR(VLOOKUP(C208,Monsters!$T$4:$AH$15,8,FALSE),0))=0,0.35,IFERROR(VLOOKUP(C208,Monsters!$T$4:$AH$15,8,FALSE),0))/(1+0.08*AK207))&lt;=0,999999,FLOOR(MIN(('Rules &amp; Formulas'!B15+25*AJ207),M207+('Rules &amp; Formulas'!B14+0.4*AJ207)*(MIN(IF(B208="Go AFK",IF(D208="",0,D208),0),Z207/60)*60))/(IF((IFERROR(VLOOKUP(C208,Monsters!$T$4:$AH$15,8,FALSE),0))=0,0.35,IFERROR(VLOOKUP(C208,Monsters!$T$4:$AH$15,8,FALSE),0))/(1+0.08*AK207)),1)),('Rules &amp; Formulas'!B4*N207*('Rules &amp; Formulas'!B5+O207)*IFERROR(VLOOKUP(C208,Monsters!$T$4:$AH$15,10,FALSE),0)*IFERROR(VLOOKUP(C208,Monsters!$T$4:$AH$15,9,FALSE),0))*(MIN(IF(B208="Go AFK",IF(D208="",0,D208),0),Z207/60)*60)),0),0))</f>
        <v/>
      </c>
      <c r="S208" s="7">
        <f>(105/'Rules &amp; Formulas'!B10)*'Rules &amp; Formulas'!B11</f>
        <v/>
      </c>
      <c r="T208" s="7">
        <f>IF(AD207&gt;=1,(MAX(1,ROUND('Rules &amp; Formulas'!B18*(1+0.3*AE207)*(1+0.4*AF207),0)))*(1000/'Rules &amp; Formulas'!B19)*MIN(0.95,'Rules &amp; Formulas'!B20*SQRT(1+0.55*(AG207&gt;=1))),0)</f>
        <v/>
      </c>
      <c r="U208" s="7">
        <f>S208+T208</f>
        <v/>
      </c>
      <c r="V208" s="7">
        <f>IF(I207&gt;=IF((IFERROR(VLOOKUP(C208,Monsters!$T$4:$AH$15,15,FALSE),0))=0,120,IFERROR(VLOOKUP(C208,Monsters!$T$4:$AH$15,15,FALSE),0)),"YES","no")</f>
        <v/>
      </c>
      <c r="W208" s="7">
        <f>IF(AND(B208="Fight boss",E208="OK"),IF((((105/'Rules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Formulas'!B20*SQRT(1+0.55*(AG207&gt;=1))),0)))),"")</f>
        <v/>
      </c>
      <c r="X208" s="7">
        <f>IF(AND(B208="Fight boss",E208="OK"),IF((IF((((105/'Rules &amp; Formulas'!B10)*'Rules &amp; Formulas'!B11+IF(AD207&gt;=1,(MAX(1,ROUND('Rules &amp; Formulas'!B18*(1+0.3*AE207)*(1+0.4*AF207),0)))*(1000/'Rules &amp; Formulas'!B19)*MIN(0.95,'Rules &amp; Formulas'!B20*SQRT(1+0.55*(AG207&gt;=1))),0)))&lt;=0,9999,(IFERROR(VLOOKUP(C208,Monsters!$T$4:$AH$15,2,FALSE),0))/(((105/'Rules &amp; Formulas'!B10)*'Rules &amp; Formulas'!B11+IF(AD207&gt;=1,(MAX(1,ROUND('Rules &amp; Formulas'!B18*(1+0.3*AE207)*(1+0.4*AF207),0)))*(1000/'Rules &amp; Formulas'!B19)*MIN(0.95,'Rules &amp; Formulas'!B20*SQRT(1+0.55*(AG207&gt;=1))),0))))&lt;='Rules &amp; Formulas'!B12),"WIN","LOSE"),"")</f>
        <v/>
      </c>
      <c r="Y208" s="7">
        <f>IF(B208="Go AFK",MIN(IF(B208="Go AFK",IF(D208="",0,D208),0),Z207/60),"")</f>
        <v/>
      </c>
      <c r="Z208" s="7">
        <f>('Rules &amp; Formulas'!B13+30*AI208)</f>
        <v/>
      </c>
      <c r="AA208">
        <f>COUNTIFS($B$3:$B208,"Buy upgrade",$C$3:$C208,"Idle Power")</f>
        <v/>
      </c>
      <c r="AB208">
        <f>COUNTIFS($B$3:$B208,"Buy upgrade",$C$3:$C208,"Iron Blade")</f>
        <v/>
      </c>
      <c r="AC208">
        <f>COUNTIFS($B$3:$B208,"Buy upgrade",$C$3:$C208,"Steel Blade")</f>
        <v/>
      </c>
      <c r="AD208">
        <f>COUNTIFS($B$3:$B208,"Hire hunter",$C$3:$C208,"Briar")+COUNTIFS($B$3:$B208,"Buy upgrade",$C$3:$C208,"Hire Briar")</f>
        <v/>
      </c>
      <c r="AE208">
        <f>COUNTIFS($B$3:$B208,"Buy upgrade",$C$3:$C208,"Hunter Power")</f>
        <v/>
      </c>
      <c r="AF208">
        <f>COUNTIFS($B$3:$B208,"Buy upgrade",$C$3:$C208,"Bigger Hits")</f>
        <v/>
      </c>
      <c r="AG208">
        <f>COUNTIFS($B$3:$B208,"Buy upgrade",$C$3:$C208,"Swift Walk")</f>
        <v/>
      </c>
      <c r="AH208">
        <f>COUNTIFS($B$3:$B208,"Buy upgrade",$C$3:$C208,"Loot Luck")</f>
        <v/>
      </c>
      <c r="AI208">
        <f>COUNTIFS($B$3:$B208,"Buy upgrade",$C$3:$C208,"Offline Cap")</f>
        <v/>
      </c>
      <c r="AJ208">
        <f>COUNTIFS($B$3:$B208,"Buy upgrade",$C$3:$C208,"Bigger Food Stock")</f>
        <v/>
      </c>
      <c r="AK208">
        <f>COUNTIFS($B$3:$B208,"Buy upgrade",$C$3:$C208,"Food Efficiency")</f>
        <v/>
      </c>
    </row>
    <row r="209">
      <c r="A209" t="n">
        <v>207</v>
      </c>
      <c r="B209" s="6" t="n"/>
      <c r="C209" s="6" t="n"/>
      <c r="D209" s="6" t="n"/>
      <c r="E209" s="7">
        <f>IF(B209="","",IF(OR(B209="Hunt",B209="Go AFK"),IF(C209="","Can't","OK"),IF(B209="Fight boss",IF(I208&lt;IF((IFERROR(VLOOKUP(C209,Monsters!$T$4:$AH$15,15,FALSE),0))=0,120,IFERROR(VLOOKUP(C209,Monsters!$T$4:$AH$15,15,FALSE),0)),"Can't","OK"),IF(B209="Hire hunter",IF(AND(C209="Briar",AD208&gt;=1),"Can't",IF(H208&lt;IF(C209="Briar",140,IF(C209="Quill",3650,IF(C209="Moss",4850,IF(C209="Ember",12200,0)))),"Can't","OK")),IF(OR(B209="Buy upgrade",B209="Forge/Scrapwork buy"),IF(IFERROR(VLOOKUP(C209,Upgrades!$N$4:$T$47,2,FALSE),0)="points","Can't",IF(IFERROR(VLOOKUP(C209,Upgrades!$N$4:$T$47,2,FALSE),0)="gold",IF(H208&lt;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buy",$C$3:$C208,C209))),1),0),"Can't","OK"),IF(IFERROR(VLOOKUP(C209,Upgrades!$N$4:$T$47,2,FALSE),0)="scraps",IF(J208&lt;IFERROR(FLOOR(IFERROR(VLOOKUP(C209,Upgrades!$N$4:$T$47,3,FALSE),0)*(IFERROR(VLOOKUP(C209,Upgrades!$N$4:$T$47,4,FALSE),0)^(COUNTIFS($B$3:$B208,"Buy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buy",$C$3:$C208,C209))),1),0),"Can't","OK"),IF(IFERROR(VLOOKUP(C209,Upgrades!$N$4:$T$47,2,FALSE),0)="mats","Can't","OK")))),"Check")))))</f>
        <v/>
      </c>
      <c r="F209" s="7">
        <f>IF(B209="","",IF(AND(B209="Fight boss",I208&lt;IF((IFERROR(VLOOKUP(C209,Monsters!$T$4:$AH$15,15,FALSE),0))=0,120,IFERROR(VLOOKUP(C209,Monsters!$T$4:$AH$15,15,FALSE),0))),"Can't — need "&amp;TEXT(IF((IFERROR(VLOOKUP(C209,Monsters!$T$4:$AH$15,15,FALSE),0))=0,120,IFERROR(VLOOKUP(C209,Monsters!$T$4:$AH$15,15,FALSE),0))-I208,"0.0")&amp;" more Slayer points on the meter",IF(AND(B209="Hire hunter",C209="Briar",AD208&gt;=1),"Can't — already hired",IF(AND(B209="Hire hunter",H208&lt;IF(C209="Briar",140,IF(C209="Quill",3650,IF(C209="Moss",4850,IF(C209="Ember",12200,0))))),"Can't — need "&amp;TEXT(IF(C209="Briar",140,IF(C209="Quill",3650,IF(C209="Moss",4850,IF(C209="Ember",12200,0))))-H208,"0")&amp;" more gold",IF(AND(OR(B209="Buy upgrade",B209="Forge/Scrapwork buy"),IFERROR(VLOOKUP(C209,Upgrades!$N$4:$T$47,2,FALSE),0)="points"),"Can't — Sp-wallet spends not tracked here",IF(AND(OR(B209="Buy upgrade",B209="Forge/Scrapwork buy"),IFERROR(VLOOKUP(C209,Upgrades!$N$4:$T$47,2,FALSE),0)="gold",H208&lt;IFERROR(FLOOR(IFERROR(VLOOKUP(C209,Upgrades!$N$4:$T$47,3,FALSE),0)*(IFERROR(VLOOKUP(C209,Upgrades!$N$4:$T$47,4,FALSE),0)^(COUNTIFS($B$3:$B208,"Buy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buy",$C$3:$C208,C209))),1),0)),"Can't — need "&amp;TEXT(IFERROR(FLOOR(IFERROR(VLOOKUP(C209,Upgrades!$N$4:$T$47,3,FALSE),0)*(IFERROR(VLOOKUP(C209,Upgrades!$N$4:$T$47,4,FALSE),0)^(COUNTIFS($B$3:$B208,"Buy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buy",$C$3:$C208,C209))),1),0)-H208,"0")&amp;" more gold",IF(AND(OR(B209="Buy upgrade",B209="Forge/Scrapwork buy"),IFERROR(VLOOKUP(C209,Upgrades!$N$4:$T$47,2,FALSE),0)="scraps",J208&lt;IFERROR(FLOOR(IFERROR(VLOOKUP(C209,Upgrades!$N$4:$T$47,3,FALSE),0)*(IFERROR(VLOOKUP(C209,Upgrades!$N$4:$T$47,4,FALSE),0)^(COUNTIFS($B$3:$B208,"Buy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buy",$C$3:$C208,C209))),1),0)),"Can't — need "&amp;TEXT(IFERROR(FLOOR(IFERROR(VLOOKUP(C209,Upgrades!$N$4:$T$47,3,FALSE),0)*(IFERROR(VLOOKUP(C209,Upgrades!$N$4:$T$47,4,FALSE),0)^(COUNTIFS($B$3:$B208,"Buy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buy",$C$3:$C208,C209))),1),0)-J208,"0")&amp;" more scraps",IF(AND(B209="Fight boss",E209="OK",(IF((((105/'Rules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Formulas'!B12)),"WIN — boss down, next Level unlocks",IF(AND(B209="Fight boss",E209="OK"),"LOSE — TTK "&amp;TEXT(IF((((105/'Rules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Formulas'!B20*SQRT(1+0.55*(AG208&gt;=1))),0)))),"0")&amp;"s &gt; patience "&amp;TEXT('Rules &amp; Formulas'!B12,"0")&amp;"s (leave resets HP)",IF(B209="Go AFK","AFK resolved (see AFK counted h)","Applied")))))))))</f>
        <v/>
      </c>
      <c r="G209" s="7">
        <f>IF(AND((E209="OK"),B209="Fight boss",(IF((((105/'Rules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Formulas'!B12),C209="Elder Thornpelt"),2,IF(AND((E209="OK"),B209="Fight boss",(IF((((105/'Rules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Formulas'!B12),C209="Ashfang Alpha"),3,G208))</f>
        <v/>
      </c>
      <c r="H209" s="7">
        <f>MAX(0,H208+IF(AND((E209="OK"),B209="Hunt"),(IF(B209="Hunt",(('Rules &amp; Formulas'!B4*N208*('Rules &amp; Formulas'!B5+O208)*IFERROR(VLOOKUP(C209,Monsters!$T$4:$AH$15,10,FALSE),0)*IFERROR(VLOOKUP(C209,Monsters!$T$4:$AH$15,9,FALSE),0))*'Rules &amp; Formulas'!B6)*IF(D209="",0,D209),0))*(IFERROR(VLOOKUP(C209,Monsters!$T$4:$AH$15,3,FALSE),0))*(1+0.1*AH208)+(IF(OR(B209&lt;&gt;"Hunt",IFERROR(VLOOKUP(C209,Monsters!$T$4:$AH$15,6,FALSE),0)=0),0,FLOOR((IF(B209="Hunt",(('Rules &amp; Formulas'!B4*N208*('Rules &amp; Formulas'!B5+O208)*IFERROR(VLOOKUP(C209,Monsters!$T$4:$AH$15,10,FALSE),0)*IFERROR(VLOOKUP(C209,Monsters!$T$4:$AH$15,9,FALSE),0))*'Rules &amp; Formulas'!B6)*IF(D209="",0,D209),0))/MAX(1,IFERROR(VLOOKUP(C209,Monsters!$T$4:$AH$15,6,FALSE),0)),1)))*(IFERROR(VLOOKUP(C209,Monsters!$T$4:$AH$15,7,FALSE),0))*0.5*(1+0.1*AH208),0)+IF(AND((E209="OK"),B209="Go AFK"),(IF(B209="Go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AFK",IF(D209="",0,D209),0),Z208/60)*60)),0))*(IFERROR(VLOOKUP(C209,Monsters!$T$4:$AH$15,3,FALSE),0))*(1+0.1*AH208)+(IF(OR(B209&lt;&gt;"Go AFK",IFERROR(VLOOKUP(C209,Monsters!$T$4:$AH$15,6,FALSE),0)=0),0,FLOOR((IF(B209="Go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AFK",IF(D209="",0,D209),0),Z208/60)*60)),0))/MAX(1,IFERROR(VLOOKUP(C209,Monsters!$T$4:$AH$15,6,FALSE),0)),1)))*(IFERROR(VLOOKUP(C209,Monsters!$T$4:$AH$15,7,FALSE),0))*0.5*(1+0.1*AH208),0)+IF(AND((E209="OK"),B209="Fight boss",(IF((((105/'Rules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Formulas'!B12)),IFERROR(VLOOKUP(C209,Monsters!$T$4:$AH$15,3,FALSE),0),0)-IF(AND((E209="OK"),OR(B209="Buy upgrade",B209="Forge/Scrapwork buy"),IFERROR(VLOOKUP(C209,Upgrades!$N$4:$T$47,2,FALSE),0)="gold"),IFERROR(FLOOR(IFERROR(VLOOKUP(C209,Upgrades!$N$4:$T$47,3,FALSE),0)*(IFERROR(VLOOKUP(C209,Upgrades!$N$4:$T$47,4,FALSE),0)^(COUNTIFS($B$3:$B208,"Buy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buy",$C$3:$C208,C209))),1),0),0)-IF(AND((E209="OK"),B209="Hire hunter"),IF(C209="Briar",140,IF(C209="Quill",3650,IF(C209="Moss",4850,IF(C209="Ember",12200,0)))),0))</f>
        <v/>
      </c>
      <c r="I209" s="7">
        <f>IF(AND((E209="OK"),B209="Fight boss",(IF((((105/'Rules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Formulas'!B12)),0,MIN(IF(G208&lt;=1,120,IF(G208=2,280,600)),I208+IF(AND((E209="OK"),B209="Hunt"),((IF(B209="Hunt",(('Rules &amp; Formulas'!B4*N208*('Rules &amp; Formulas'!B5+O208)*IFERROR(VLOOKUP(C209,Monsters!$T$4:$AH$15,10,FALSE),0)*IFERROR(VLOOKUP(C209,Monsters!$T$4:$AH$15,9,FALSE),0))*'Rules &amp; Formulas'!B6)*IF(D209="",0,D209),0))*(IFERROR(VLOOKUP(C209,Monsters!$T$4:$AH$15,4,FALSE),0))+(IF(OR(B209&lt;&gt;"Hunt",IFERROR(VLOOKUP(C209,Monsters!$T$4:$AH$15,6,FALSE),0)=0),0,FLOOR((IF(B209="Hunt",(('Rules &amp; Formulas'!B4*N208*('Rules &amp; Formulas'!B5+O208)*IFERROR(VLOOKUP(C209,Monsters!$T$4:$AH$15,10,FALSE),0)*IFERROR(VLOOKUP(C209,Monsters!$T$4:$AH$15,9,FALSE),0))*'Rules &amp; Formulas'!B6)*IF(D209="",0,D209),0))/MAX(1,IFERROR(VLOOKUP(C209,Monsters!$T$4:$AH$15,6,FALSE),0)),1)))*(IFERROR(VLOOKUP(C209,Monsters!$T$4:$AH$15,7,FALSE),0))),0)+IF(AND((E209="OK"),B209="Go AFK"),((IF(B209="Go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AFK",IF(D209="",0,D209),0),Z208/60)*60)),0))*(IFERROR(VLOOKUP(C209,Monsters!$T$4:$AH$15,4,FALSE),0))+(IF(OR(B209&lt;&gt;"Go AFK",IFERROR(VLOOKUP(C209,Monsters!$T$4:$AH$15,6,FALSE),0)=0),0,FLOOR((IF(B209="Go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AFK",IF(D209="",0,D209),0),Z208/60)*60)),0))/MAX(1,IFERROR(VLOOKUP(C209,Monsters!$T$4:$AH$15,6,FALSE),0)),1)))*(IFERROR(VLOOKUP(C209,Monsters!$T$4:$AH$15,7,FALSE),0))),0)))</f>
        <v/>
      </c>
      <c r="J209" s="7">
        <f>MAX(0,J208+IF(AND((E209="OK"),B209="Hunt"),(IF(B209="Hunt",(('Rules &amp; Formulas'!B4*N208*('Rules &amp; Formulas'!B5+O208)*IFERROR(VLOOKUP(C209,Monsters!$T$4:$AH$15,10,FALSE),0)*IFERROR(VLOOKUP(C209,Monsters!$T$4:$AH$15,9,FALSE),0))*'Rules &amp; Formulas'!B6)*IF(D209="",0,D209),0))*(IFERROR(VLOOKUP(C209,Monsters!$T$4:$AH$15,5,FALSE),0)),0)+IF(AND((E209="OK"),B209="Go AFK"),(IF(B209="Go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AFK",IF(D209="",0,D209),0),Z208/60)*60)),0))*(IFERROR(VLOOKUP(C209,Monsters!$T$4:$AH$15,5,FALSE),0)),0)-IF(AND((E209="OK"),OR(B209="Buy upgrade",B209="Forge/Scrapwork buy"),IFERROR(VLOOKUP(C209,Upgrades!$N$4:$T$47,2,FALSE),0)="scraps"),IFERROR(FLOOR(IFERROR(VLOOKUP(C209,Upgrades!$N$4:$T$47,3,FALSE),0)*(IFERROR(VLOOKUP(C209,Upgrades!$N$4:$T$47,4,FALSE),0)^(COUNTIFS($B$3:$B208,"Buy upgrade",$C$3:$C208,C209)+COUNTIFS($B$3:$B208,"Hire hunter",$C$3:$C208,C209)+COUNTIFS($B$3:$B208,"Forge/Scrapwork buy",$C$3:$C208,C209))),1),0),0))</f>
        <v/>
      </c>
      <c r="K209" s="7">
        <f>MAX(0,K208+IF(AND((E209="OK"),B209="Hunt"),IF(C209="Thornpelt Bear",(IF(B209="Hunt",(('Rules &amp; Formulas'!B4*N208*('Rules &amp; Formulas'!B5+O208)*IFERROR(VLOOKUP(C209,Monsters!$T$4:$AH$15,10,FALSE),0)*IFERROR(VLOOKUP(C209,Monsters!$T$4:$AH$15,9,FALSE),0))*'Rules &amp; Formulas'!B6)*IF(D209="",0,D209),0))*0.12,0),0)+IF(AND((E209="OK"),B209="Go AFK"),IF(C209="Thornpelt Bear",(IF(B209="Go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AFK",IF(D209="",0,D209),0),Z208/60)*60)),0))*0.12,0),0))</f>
        <v/>
      </c>
      <c r="L209" s="7">
        <f>MAX(0,L208+IF(AND((E209="OK"),B209="Hunt"),IF(C209="Dire Thornpelt",(IF(B209="Hunt",(('Rules &amp; Formulas'!B4*N208*('Rules &amp; Formulas'!B5+O208)*IFERROR(VLOOKUP(C209,Monsters!$T$4:$AH$15,10,FALSE),0)*IFERROR(VLOOKUP(C209,Monsters!$T$4:$AH$15,9,FALSE),0))*'Rules &amp; Formulas'!B6)*IF(D209="",0,D209),0))*0.1,0),0)+IF(AND((E209="OK"),B209="Go AFK"),IF(C209="Dire Thornpelt",(IF(B209="Go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AFK",IF(D209="",0,D209),0),Z208/60)*60)),0))*0.1,0),0))</f>
        <v/>
      </c>
      <c r="M209" s="7">
        <f>IF(AND((E209="OK"),B209="Go AFK"),MAX(0,MIN(('Rules &amp; Formulas'!B15+25*AJ208),M208+('Rules &amp; Formulas'!B14+0.4*AJ208)*(MIN(IF(B209="Go AFK",IF(D209="",0,D209),0),Z208/60)*60))-(IF(B209="Go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AFK",IF(D209="",0,D209),0),Z208/60)*60)),0))*(IF((IFERROR(VLOOKUP(C209,Monsters!$T$4:$AH$15,8,FALSE),0))=0,0.35,IFERROR(VLOOKUP(C209,Monsters!$T$4:$AH$15,8,FALSE),0))/(1+0.08*AK208))),MIN(('Rules &amp; Formulas'!B15+25*AJ209),M208))</f>
        <v/>
      </c>
      <c r="N209" s="7">
        <f>(1+0.08+0.12*AA209+0.12*AB209+0.16*AC209)</f>
        <v/>
      </c>
      <c r="O209" s="7">
        <f>((AD209&gt;=1)*1*(1+0.3*AE209))</f>
        <v/>
      </c>
      <c r="P209" s="7">
        <f>IF(OR(B209="Hunt",B209="Go AFK"),(('Rules &amp; Formulas'!B4*N208*('Rules &amp; Formulas'!B5+O208)*IFERROR(VLOOKUP(C209,Monsters!$T$4:$AH$15,10,FALSE),0)*IFERROR(VLOOKUP(C209,Monsters!$T$4:$AH$15,9,FALSE),0))*'Rules &amp; Formulas'!B6),"")</f>
        <v/>
      </c>
      <c r="Q209" s="7">
        <f>IF(OR(B209="Hunt",B209="Go AFK"),('Rules &amp; Formulas'!B4*N208*('Rules &amp; Formulas'!B5+O208)*IFERROR(VLOOKUP(C209,Monsters!$T$4:$AH$15,10,FALSE),0)*IFERROR(VLOOKUP(C209,Monsters!$T$4:$AH$15,9,FALSE),0)),"")</f>
        <v/>
      </c>
      <c r="R209" s="7">
        <f>IF(AND((E209="OK"),B209="Hunt"),IF(B209="Hunt",(('Rules &amp; Formulas'!B4*N208*('Rules &amp; Formulas'!B5+O208)*IFERROR(VLOOKUP(C209,Monsters!$T$4:$AH$15,10,FALSE),0)*IFERROR(VLOOKUP(C209,Monsters!$T$4:$AH$15,9,FALSE),0))*'Rules &amp; Formulas'!B6)*IF(D209="",0,D209),0),IF(AND((E209="OK"),B209="Go AFK"),IF(B209="Go AFK",MIN(IF((IF((IFERROR(VLOOKUP(C209,Monsters!$T$4:$AH$15,8,FALSE),0))=0,0.35,IFERROR(VLOOKUP(C209,Monsters!$T$4:$AH$15,8,FALSE),0))/(1+0.08*AK208))&lt;=0,999999,FLOOR(MIN(('Rules &amp; Formulas'!B15+25*AJ208),M208+('Rules &amp; Formulas'!B14+0.4*AJ208)*(MIN(IF(B209="Go AFK",IF(D209="",0,D209),0),Z208/60)*60))/(IF((IFERROR(VLOOKUP(C209,Monsters!$T$4:$AH$15,8,FALSE),0))=0,0.35,IFERROR(VLOOKUP(C209,Monsters!$T$4:$AH$15,8,FALSE),0))/(1+0.08*AK208)),1)),('Rules &amp; Formulas'!B4*N208*('Rules &amp; Formulas'!B5+O208)*IFERROR(VLOOKUP(C209,Monsters!$T$4:$AH$15,10,FALSE),0)*IFERROR(VLOOKUP(C209,Monsters!$T$4:$AH$15,9,FALSE),0))*(MIN(IF(B209="Go AFK",IF(D209="",0,D209),0),Z208/60)*60)),0),0))</f>
        <v/>
      </c>
      <c r="S209" s="7">
        <f>(105/'Rules &amp; Formulas'!B10)*'Rules &amp; Formulas'!B11</f>
        <v/>
      </c>
      <c r="T209" s="7">
        <f>IF(AD208&gt;=1,(MAX(1,ROUND('Rules &amp; Formulas'!B18*(1+0.3*AE208)*(1+0.4*AF208),0)))*(1000/'Rules &amp; Formulas'!B19)*MIN(0.95,'Rules &amp; Formulas'!B20*SQRT(1+0.55*(AG208&gt;=1))),0)</f>
        <v/>
      </c>
      <c r="U209" s="7">
        <f>S209+T209</f>
        <v/>
      </c>
      <c r="V209" s="7">
        <f>IF(I208&gt;=IF((IFERROR(VLOOKUP(C209,Monsters!$T$4:$AH$15,15,FALSE),0))=0,120,IFERROR(VLOOKUP(C209,Monsters!$T$4:$AH$15,15,FALSE),0)),"YES","no")</f>
        <v/>
      </c>
      <c r="W209" s="7">
        <f>IF(AND(B209="Fight boss",E209="OK"),IF((((105/'Rules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Formulas'!B20*SQRT(1+0.55*(AG208&gt;=1))),0)))),"")</f>
        <v/>
      </c>
      <c r="X209" s="7">
        <f>IF(AND(B209="Fight boss",E209="OK"),IF((IF((((105/'Rules &amp; Formulas'!B10)*'Rules &amp; Formulas'!B11+IF(AD208&gt;=1,(MAX(1,ROUND('Rules &amp; Formulas'!B18*(1+0.3*AE208)*(1+0.4*AF208),0)))*(1000/'Rules &amp; Formulas'!B19)*MIN(0.95,'Rules &amp; Formulas'!B20*SQRT(1+0.55*(AG208&gt;=1))),0)))&lt;=0,9999,(IFERROR(VLOOKUP(C209,Monsters!$T$4:$AH$15,2,FALSE),0))/(((105/'Rules &amp; Formulas'!B10)*'Rules &amp; Formulas'!B11+IF(AD208&gt;=1,(MAX(1,ROUND('Rules &amp; Formulas'!B18*(1+0.3*AE208)*(1+0.4*AF208),0)))*(1000/'Rules &amp; Formulas'!B19)*MIN(0.95,'Rules &amp; Formulas'!B20*SQRT(1+0.55*(AG208&gt;=1))),0))))&lt;='Rules &amp; Formulas'!B12),"WIN","LOSE"),"")</f>
        <v/>
      </c>
      <c r="Y209" s="7">
        <f>IF(B209="Go AFK",MIN(IF(B209="Go AFK",IF(D209="",0,D209),0),Z208/60),"")</f>
        <v/>
      </c>
      <c r="Z209" s="7">
        <f>('Rules &amp; Formulas'!B13+30*AI209)</f>
        <v/>
      </c>
      <c r="AA209">
        <f>COUNTIFS($B$3:$B209,"Buy upgrade",$C$3:$C209,"Idle Power")</f>
        <v/>
      </c>
      <c r="AB209">
        <f>COUNTIFS($B$3:$B209,"Buy upgrade",$C$3:$C209,"Iron Blade")</f>
        <v/>
      </c>
      <c r="AC209">
        <f>COUNTIFS($B$3:$B209,"Buy upgrade",$C$3:$C209,"Steel Blade")</f>
        <v/>
      </c>
      <c r="AD209">
        <f>COUNTIFS($B$3:$B209,"Hire hunter",$C$3:$C209,"Briar")+COUNTIFS($B$3:$B209,"Buy upgrade",$C$3:$C209,"Hire Briar")</f>
        <v/>
      </c>
      <c r="AE209">
        <f>COUNTIFS($B$3:$B209,"Buy upgrade",$C$3:$C209,"Hunter Power")</f>
        <v/>
      </c>
      <c r="AF209">
        <f>COUNTIFS($B$3:$B209,"Buy upgrade",$C$3:$C209,"Bigger Hits")</f>
        <v/>
      </c>
      <c r="AG209">
        <f>COUNTIFS($B$3:$B209,"Buy upgrade",$C$3:$C209,"Swift Walk")</f>
        <v/>
      </c>
      <c r="AH209">
        <f>COUNTIFS($B$3:$B209,"Buy upgrade",$C$3:$C209,"Loot Luck")</f>
        <v/>
      </c>
      <c r="AI209">
        <f>COUNTIFS($B$3:$B209,"Buy upgrade",$C$3:$C209,"Offline Cap")</f>
        <v/>
      </c>
      <c r="AJ209">
        <f>COUNTIFS($B$3:$B209,"Buy upgrade",$C$3:$C209,"Bigger Food Stock")</f>
        <v/>
      </c>
      <c r="AK209">
        <f>COUNTIFS($B$3:$B209,"Buy upgrade",$C$3:$C209,"Food Efficiency")</f>
        <v/>
      </c>
    </row>
    <row r="210">
      <c r="A210" t="n">
        <v>208</v>
      </c>
      <c r="B210" s="6" t="n"/>
      <c r="C210" s="6" t="n"/>
      <c r="D210" s="6" t="n"/>
      <c r="E210" s="7">
        <f>IF(B210="","",IF(OR(B210="Hunt",B210="Go AFK"),IF(C210="","Can't","OK"),IF(B210="Fight boss",IF(I209&lt;IF((IFERROR(VLOOKUP(C210,Monsters!$T$4:$AH$15,15,FALSE),0))=0,120,IFERROR(VLOOKUP(C210,Monsters!$T$4:$AH$15,15,FALSE),0)),"Can't","OK"),IF(B210="Hire hunter",IF(AND(C210="Briar",AD209&gt;=1),"Can't",IF(H209&lt;IF(C210="Briar",140,IF(C210="Quill",3650,IF(C210="Moss",4850,IF(C210="Ember",12200,0)))),"Can't","OK")),IF(OR(B210="Buy upgrade",B210="Forge/Scrapwork buy"),IF(IFERROR(VLOOKUP(C210,Upgrades!$N$4:$T$47,2,FALSE),0)="points","Can't",IF(IFERROR(VLOOKUP(C210,Upgrades!$N$4:$T$47,2,FALSE),0)="gold",IF(H209&lt;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buy",$C$3:$C209,C210))),1),0),"Can't","OK"),IF(IFERROR(VLOOKUP(C210,Upgrades!$N$4:$T$47,2,FALSE),0)="scraps",IF(J209&lt;IFERROR(FLOOR(IFERROR(VLOOKUP(C210,Upgrades!$N$4:$T$47,3,FALSE),0)*(IFERROR(VLOOKUP(C210,Upgrades!$N$4:$T$47,4,FALSE),0)^(COUNTIFS($B$3:$B209,"Buy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buy",$C$3:$C209,C210))),1),0),"Can't","OK"),IF(IFERROR(VLOOKUP(C210,Upgrades!$N$4:$T$47,2,FALSE),0)="mats","Can't","OK")))),"Check")))))</f>
        <v/>
      </c>
      <c r="F210" s="7">
        <f>IF(B210="","",IF(AND(B210="Fight boss",I209&lt;IF((IFERROR(VLOOKUP(C210,Monsters!$T$4:$AH$15,15,FALSE),0))=0,120,IFERROR(VLOOKUP(C210,Monsters!$T$4:$AH$15,15,FALSE),0))),"Can't — need "&amp;TEXT(IF((IFERROR(VLOOKUP(C210,Monsters!$T$4:$AH$15,15,FALSE),0))=0,120,IFERROR(VLOOKUP(C210,Monsters!$T$4:$AH$15,15,FALSE),0))-I209,"0.0")&amp;" more Slayer points on the meter",IF(AND(B210="Hire hunter",C210="Briar",AD209&gt;=1),"Can't — already hired",IF(AND(B210="Hire hunter",H209&lt;IF(C210="Briar",140,IF(C210="Quill",3650,IF(C210="Moss",4850,IF(C210="Ember",12200,0))))),"Can't — need "&amp;TEXT(IF(C210="Briar",140,IF(C210="Quill",3650,IF(C210="Moss",4850,IF(C210="Ember",12200,0))))-H209,"0")&amp;" more gold",IF(AND(OR(B210="Buy upgrade",B210="Forge/Scrapwork buy"),IFERROR(VLOOKUP(C210,Upgrades!$N$4:$T$47,2,FALSE),0)="points"),"Can't — Sp-wallet spends not tracked here",IF(AND(OR(B210="Buy upgrade",B210="Forge/Scrapwork buy"),IFERROR(VLOOKUP(C210,Upgrades!$N$4:$T$47,2,FALSE),0)="gold",H209&lt;IFERROR(FLOOR(IFERROR(VLOOKUP(C210,Upgrades!$N$4:$T$47,3,FALSE),0)*(IFERROR(VLOOKUP(C210,Upgrades!$N$4:$T$47,4,FALSE),0)^(COUNTIFS($B$3:$B209,"Buy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buy",$C$3:$C209,C210))),1),0)),"Can't — need "&amp;TEXT(IFERROR(FLOOR(IFERROR(VLOOKUP(C210,Upgrades!$N$4:$T$47,3,FALSE),0)*(IFERROR(VLOOKUP(C210,Upgrades!$N$4:$T$47,4,FALSE),0)^(COUNTIFS($B$3:$B209,"Buy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buy",$C$3:$C209,C210))),1),0)-H209,"0")&amp;" more gold",IF(AND(OR(B210="Buy upgrade",B210="Forge/Scrapwork buy"),IFERROR(VLOOKUP(C210,Upgrades!$N$4:$T$47,2,FALSE),0)="scraps",J209&lt;IFERROR(FLOOR(IFERROR(VLOOKUP(C210,Upgrades!$N$4:$T$47,3,FALSE),0)*(IFERROR(VLOOKUP(C210,Upgrades!$N$4:$T$47,4,FALSE),0)^(COUNTIFS($B$3:$B209,"Buy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buy",$C$3:$C209,C210))),1),0)),"Can't — need "&amp;TEXT(IFERROR(FLOOR(IFERROR(VLOOKUP(C210,Upgrades!$N$4:$T$47,3,FALSE),0)*(IFERROR(VLOOKUP(C210,Upgrades!$N$4:$T$47,4,FALSE),0)^(COUNTIFS($B$3:$B209,"Buy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buy",$C$3:$C209,C210))),1),0)-J209,"0")&amp;" more scraps",IF(AND(B210="Fight boss",E210="OK",(IF((((105/'Rules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Formulas'!B12)),"WIN — boss down, next Level unlocks",IF(AND(B210="Fight boss",E210="OK"),"LOSE — TTK "&amp;TEXT(IF((((105/'Rules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Formulas'!B20*SQRT(1+0.55*(AG209&gt;=1))),0)))),"0")&amp;"s &gt; patience "&amp;TEXT('Rules &amp; Formulas'!B12,"0")&amp;"s (leave resets HP)",IF(B210="Go AFK","AFK resolved (see AFK counted h)","Applied")))))))))</f>
        <v/>
      </c>
      <c r="G210" s="7">
        <f>IF(AND((E210="OK"),B210="Fight boss",(IF((((105/'Rules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Formulas'!B12),C210="Elder Thornpelt"),2,IF(AND((E210="OK"),B210="Fight boss",(IF((((105/'Rules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Formulas'!B12),C210="Ashfang Alpha"),3,G209))</f>
        <v/>
      </c>
      <c r="H210" s="7">
        <f>MAX(0,H209+IF(AND((E210="OK"),B210="Hunt"),(IF(B210="Hunt",(('Rules &amp; Formulas'!B4*N209*('Rules &amp; Formulas'!B5+O209)*IFERROR(VLOOKUP(C210,Monsters!$T$4:$AH$15,10,FALSE),0)*IFERROR(VLOOKUP(C210,Monsters!$T$4:$AH$15,9,FALSE),0))*'Rules &amp; Formulas'!B6)*IF(D210="",0,D210),0))*(IFERROR(VLOOKUP(C210,Monsters!$T$4:$AH$15,3,FALSE),0))*(1+0.1*AH209)+(IF(OR(B210&lt;&gt;"Hunt",IFERROR(VLOOKUP(C210,Monsters!$T$4:$AH$15,6,FALSE),0)=0),0,FLOOR((IF(B210="Hunt",(('Rules &amp; Formulas'!B4*N209*('Rules &amp; Formulas'!B5+O209)*IFERROR(VLOOKUP(C210,Monsters!$T$4:$AH$15,10,FALSE),0)*IFERROR(VLOOKUP(C210,Monsters!$T$4:$AH$15,9,FALSE),0))*'Rules &amp; Formulas'!B6)*IF(D210="",0,D210),0))/MAX(1,IFERROR(VLOOKUP(C210,Monsters!$T$4:$AH$15,6,FALSE),0)),1)))*(IFERROR(VLOOKUP(C210,Monsters!$T$4:$AH$15,7,FALSE),0))*0.5*(1+0.1*AH209),0)+IF(AND((E210="OK"),B210="Go AFK"),(IF(B210="Go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AFK",IF(D210="",0,D210),0),Z209/60)*60)),0))*(IFERROR(VLOOKUP(C210,Monsters!$T$4:$AH$15,3,FALSE),0))*(1+0.1*AH209)+(IF(OR(B210&lt;&gt;"Go AFK",IFERROR(VLOOKUP(C210,Monsters!$T$4:$AH$15,6,FALSE),0)=0),0,FLOOR((IF(B210="Go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AFK",IF(D210="",0,D210),0),Z209/60)*60)),0))/MAX(1,IFERROR(VLOOKUP(C210,Monsters!$T$4:$AH$15,6,FALSE),0)),1)))*(IFERROR(VLOOKUP(C210,Monsters!$T$4:$AH$15,7,FALSE),0))*0.5*(1+0.1*AH209),0)+IF(AND((E210="OK"),B210="Fight boss",(IF((((105/'Rules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Formulas'!B12)),IFERROR(VLOOKUP(C210,Monsters!$T$4:$AH$15,3,FALSE),0),0)-IF(AND((E210="OK"),OR(B210="Buy upgrade",B210="Forge/Scrapwork buy"),IFERROR(VLOOKUP(C210,Upgrades!$N$4:$T$47,2,FALSE),0)="gold"),IFERROR(FLOOR(IFERROR(VLOOKUP(C210,Upgrades!$N$4:$T$47,3,FALSE),0)*(IFERROR(VLOOKUP(C210,Upgrades!$N$4:$T$47,4,FALSE),0)^(COUNTIFS($B$3:$B209,"Buy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buy",$C$3:$C209,C210))),1),0),0)-IF(AND((E210="OK"),B210="Hire hunter"),IF(C210="Briar",140,IF(C210="Quill",3650,IF(C210="Moss",4850,IF(C210="Ember",12200,0)))),0))</f>
        <v/>
      </c>
      <c r="I210" s="7">
        <f>IF(AND((E210="OK"),B210="Fight boss",(IF((((105/'Rules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Formulas'!B12)),0,MIN(IF(G209&lt;=1,120,IF(G209=2,280,600)),I209+IF(AND((E210="OK"),B210="Hunt"),((IF(B210="Hunt",(('Rules &amp; Formulas'!B4*N209*('Rules &amp; Formulas'!B5+O209)*IFERROR(VLOOKUP(C210,Monsters!$T$4:$AH$15,10,FALSE),0)*IFERROR(VLOOKUP(C210,Monsters!$T$4:$AH$15,9,FALSE),0))*'Rules &amp; Formulas'!B6)*IF(D210="",0,D210),0))*(IFERROR(VLOOKUP(C210,Monsters!$T$4:$AH$15,4,FALSE),0))+(IF(OR(B210&lt;&gt;"Hunt",IFERROR(VLOOKUP(C210,Monsters!$T$4:$AH$15,6,FALSE),0)=0),0,FLOOR((IF(B210="Hunt",(('Rules &amp; Formulas'!B4*N209*('Rules &amp; Formulas'!B5+O209)*IFERROR(VLOOKUP(C210,Monsters!$T$4:$AH$15,10,FALSE),0)*IFERROR(VLOOKUP(C210,Monsters!$T$4:$AH$15,9,FALSE),0))*'Rules &amp; Formulas'!B6)*IF(D210="",0,D210),0))/MAX(1,IFERROR(VLOOKUP(C210,Monsters!$T$4:$AH$15,6,FALSE),0)),1)))*(IFERROR(VLOOKUP(C210,Monsters!$T$4:$AH$15,7,FALSE),0))),0)+IF(AND((E210="OK"),B210="Go AFK"),((IF(B210="Go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AFK",IF(D210="",0,D210),0),Z209/60)*60)),0))*(IFERROR(VLOOKUP(C210,Monsters!$T$4:$AH$15,4,FALSE),0))+(IF(OR(B210&lt;&gt;"Go AFK",IFERROR(VLOOKUP(C210,Monsters!$T$4:$AH$15,6,FALSE),0)=0),0,FLOOR((IF(B210="Go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AFK",IF(D210="",0,D210),0),Z209/60)*60)),0))/MAX(1,IFERROR(VLOOKUP(C210,Monsters!$T$4:$AH$15,6,FALSE),0)),1)))*(IFERROR(VLOOKUP(C210,Monsters!$T$4:$AH$15,7,FALSE),0))),0)))</f>
        <v/>
      </c>
      <c r="J210" s="7">
        <f>MAX(0,J209+IF(AND((E210="OK"),B210="Hunt"),(IF(B210="Hunt",(('Rules &amp; Formulas'!B4*N209*('Rules &amp; Formulas'!B5+O209)*IFERROR(VLOOKUP(C210,Monsters!$T$4:$AH$15,10,FALSE),0)*IFERROR(VLOOKUP(C210,Monsters!$T$4:$AH$15,9,FALSE),0))*'Rules &amp; Formulas'!B6)*IF(D210="",0,D210),0))*(IFERROR(VLOOKUP(C210,Monsters!$T$4:$AH$15,5,FALSE),0)),0)+IF(AND((E210="OK"),B210="Go AFK"),(IF(B210="Go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AFK",IF(D210="",0,D210),0),Z209/60)*60)),0))*(IFERROR(VLOOKUP(C210,Monsters!$T$4:$AH$15,5,FALSE),0)),0)-IF(AND((E210="OK"),OR(B210="Buy upgrade",B210="Forge/Scrapwork buy"),IFERROR(VLOOKUP(C210,Upgrades!$N$4:$T$47,2,FALSE),0)="scraps"),IFERROR(FLOOR(IFERROR(VLOOKUP(C210,Upgrades!$N$4:$T$47,3,FALSE),0)*(IFERROR(VLOOKUP(C210,Upgrades!$N$4:$T$47,4,FALSE),0)^(COUNTIFS($B$3:$B209,"Buy upgrade",$C$3:$C209,C210)+COUNTIFS($B$3:$B209,"Hire hunter",$C$3:$C209,C210)+COUNTIFS($B$3:$B209,"Forge/Scrapwork buy",$C$3:$C209,C210))),1),0),0))</f>
        <v/>
      </c>
      <c r="K210" s="7">
        <f>MAX(0,K209+IF(AND((E210="OK"),B210="Hunt"),IF(C210="Thornpelt Bear",(IF(B210="Hunt",(('Rules &amp; Formulas'!B4*N209*('Rules &amp; Formulas'!B5+O209)*IFERROR(VLOOKUP(C210,Monsters!$T$4:$AH$15,10,FALSE),0)*IFERROR(VLOOKUP(C210,Monsters!$T$4:$AH$15,9,FALSE),0))*'Rules &amp; Formulas'!B6)*IF(D210="",0,D210),0))*0.12,0),0)+IF(AND((E210="OK"),B210="Go AFK"),IF(C210="Thornpelt Bear",(IF(B210="Go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AFK",IF(D210="",0,D210),0),Z209/60)*60)),0))*0.12,0),0))</f>
        <v/>
      </c>
      <c r="L210" s="7">
        <f>MAX(0,L209+IF(AND((E210="OK"),B210="Hunt"),IF(C210="Dire Thornpelt",(IF(B210="Hunt",(('Rules &amp; Formulas'!B4*N209*('Rules &amp; Formulas'!B5+O209)*IFERROR(VLOOKUP(C210,Monsters!$T$4:$AH$15,10,FALSE),0)*IFERROR(VLOOKUP(C210,Monsters!$T$4:$AH$15,9,FALSE),0))*'Rules &amp; Formulas'!B6)*IF(D210="",0,D210),0))*0.1,0),0)+IF(AND((E210="OK"),B210="Go AFK"),IF(C210="Dire Thornpelt",(IF(B210="Go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AFK",IF(D210="",0,D210),0),Z209/60)*60)),0))*0.1,0),0))</f>
        <v/>
      </c>
      <c r="M210" s="7">
        <f>IF(AND((E210="OK"),B210="Go AFK"),MAX(0,MIN(('Rules &amp; Formulas'!B15+25*AJ209),M209+('Rules &amp; Formulas'!B14+0.4*AJ209)*(MIN(IF(B210="Go AFK",IF(D210="",0,D210),0),Z209/60)*60))-(IF(B210="Go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AFK",IF(D210="",0,D210),0),Z209/60)*60)),0))*(IF((IFERROR(VLOOKUP(C210,Monsters!$T$4:$AH$15,8,FALSE),0))=0,0.35,IFERROR(VLOOKUP(C210,Monsters!$T$4:$AH$15,8,FALSE),0))/(1+0.08*AK209))),MIN(('Rules &amp; Formulas'!B15+25*AJ210),M209))</f>
        <v/>
      </c>
      <c r="N210" s="7">
        <f>(1+0.08+0.12*AA210+0.12*AB210+0.16*AC210)</f>
        <v/>
      </c>
      <c r="O210" s="7">
        <f>((AD210&gt;=1)*1*(1+0.3*AE210))</f>
        <v/>
      </c>
      <c r="P210" s="7">
        <f>IF(OR(B210="Hunt",B210="Go AFK"),(('Rules &amp; Formulas'!B4*N209*('Rules &amp; Formulas'!B5+O209)*IFERROR(VLOOKUP(C210,Monsters!$T$4:$AH$15,10,FALSE),0)*IFERROR(VLOOKUP(C210,Monsters!$T$4:$AH$15,9,FALSE),0))*'Rules &amp; Formulas'!B6),"")</f>
        <v/>
      </c>
      <c r="Q210" s="7">
        <f>IF(OR(B210="Hunt",B210="Go AFK"),('Rules &amp; Formulas'!B4*N209*('Rules &amp; Formulas'!B5+O209)*IFERROR(VLOOKUP(C210,Monsters!$T$4:$AH$15,10,FALSE),0)*IFERROR(VLOOKUP(C210,Monsters!$T$4:$AH$15,9,FALSE),0)),"")</f>
        <v/>
      </c>
      <c r="R210" s="7">
        <f>IF(AND((E210="OK"),B210="Hunt"),IF(B210="Hunt",(('Rules &amp; Formulas'!B4*N209*('Rules &amp; Formulas'!B5+O209)*IFERROR(VLOOKUP(C210,Monsters!$T$4:$AH$15,10,FALSE),0)*IFERROR(VLOOKUP(C210,Monsters!$T$4:$AH$15,9,FALSE),0))*'Rules &amp; Formulas'!B6)*IF(D210="",0,D210),0),IF(AND((E210="OK"),B210="Go AFK"),IF(B210="Go AFK",MIN(IF((IF((IFERROR(VLOOKUP(C210,Monsters!$T$4:$AH$15,8,FALSE),0))=0,0.35,IFERROR(VLOOKUP(C210,Monsters!$T$4:$AH$15,8,FALSE),0))/(1+0.08*AK209))&lt;=0,999999,FLOOR(MIN(('Rules &amp; Formulas'!B15+25*AJ209),M209+('Rules &amp; Formulas'!B14+0.4*AJ209)*(MIN(IF(B210="Go AFK",IF(D210="",0,D210),0),Z209/60)*60))/(IF((IFERROR(VLOOKUP(C210,Monsters!$T$4:$AH$15,8,FALSE),0))=0,0.35,IFERROR(VLOOKUP(C210,Monsters!$T$4:$AH$15,8,FALSE),0))/(1+0.08*AK209)),1)),('Rules &amp; Formulas'!B4*N209*('Rules &amp; Formulas'!B5+O209)*IFERROR(VLOOKUP(C210,Monsters!$T$4:$AH$15,10,FALSE),0)*IFERROR(VLOOKUP(C210,Monsters!$T$4:$AH$15,9,FALSE),0))*(MIN(IF(B210="Go AFK",IF(D210="",0,D210),0),Z209/60)*60)),0),0))</f>
        <v/>
      </c>
      <c r="S210" s="7">
        <f>(105/'Rules &amp; Formulas'!B10)*'Rules &amp; Formulas'!B11</f>
        <v/>
      </c>
      <c r="T210" s="7">
        <f>IF(AD209&gt;=1,(MAX(1,ROUND('Rules &amp; Formulas'!B18*(1+0.3*AE209)*(1+0.4*AF209),0)))*(1000/'Rules &amp; Formulas'!B19)*MIN(0.95,'Rules &amp; Formulas'!B20*SQRT(1+0.55*(AG209&gt;=1))),0)</f>
        <v/>
      </c>
      <c r="U210" s="7">
        <f>S210+T210</f>
        <v/>
      </c>
      <c r="V210" s="7">
        <f>IF(I209&gt;=IF((IFERROR(VLOOKUP(C210,Monsters!$T$4:$AH$15,15,FALSE),0))=0,120,IFERROR(VLOOKUP(C210,Monsters!$T$4:$AH$15,15,FALSE),0)),"YES","no")</f>
        <v/>
      </c>
      <c r="W210" s="7">
        <f>IF(AND(B210="Fight boss",E210="OK"),IF((((105/'Rules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Formulas'!B20*SQRT(1+0.55*(AG209&gt;=1))),0)))),"")</f>
        <v/>
      </c>
      <c r="X210" s="7">
        <f>IF(AND(B210="Fight boss",E210="OK"),IF((IF((((105/'Rules &amp; Formulas'!B10)*'Rules &amp; Formulas'!B11+IF(AD209&gt;=1,(MAX(1,ROUND('Rules &amp; Formulas'!B18*(1+0.3*AE209)*(1+0.4*AF209),0)))*(1000/'Rules &amp; Formulas'!B19)*MIN(0.95,'Rules &amp; Formulas'!B20*SQRT(1+0.55*(AG209&gt;=1))),0)))&lt;=0,9999,(IFERROR(VLOOKUP(C210,Monsters!$T$4:$AH$15,2,FALSE),0))/(((105/'Rules &amp; Formulas'!B10)*'Rules &amp; Formulas'!B11+IF(AD209&gt;=1,(MAX(1,ROUND('Rules &amp; Formulas'!B18*(1+0.3*AE209)*(1+0.4*AF209),0)))*(1000/'Rules &amp; Formulas'!B19)*MIN(0.95,'Rules &amp; Formulas'!B20*SQRT(1+0.55*(AG209&gt;=1))),0))))&lt;='Rules &amp; Formulas'!B12),"WIN","LOSE"),"")</f>
        <v/>
      </c>
      <c r="Y210" s="7">
        <f>IF(B210="Go AFK",MIN(IF(B210="Go AFK",IF(D210="",0,D210),0),Z209/60),"")</f>
        <v/>
      </c>
      <c r="Z210" s="7">
        <f>('Rules &amp; Formulas'!B13+30*AI210)</f>
        <v/>
      </c>
      <c r="AA210">
        <f>COUNTIFS($B$3:$B210,"Buy upgrade",$C$3:$C210,"Idle Power")</f>
        <v/>
      </c>
      <c r="AB210">
        <f>COUNTIFS($B$3:$B210,"Buy upgrade",$C$3:$C210,"Iron Blade")</f>
        <v/>
      </c>
      <c r="AC210">
        <f>COUNTIFS($B$3:$B210,"Buy upgrade",$C$3:$C210,"Steel Blade")</f>
        <v/>
      </c>
      <c r="AD210">
        <f>COUNTIFS($B$3:$B210,"Hire hunter",$C$3:$C210,"Briar")+COUNTIFS($B$3:$B210,"Buy upgrade",$C$3:$C210,"Hire Briar")</f>
        <v/>
      </c>
      <c r="AE210">
        <f>COUNTIFS($B$3:$B210,"Buy upgrade",$C$3:$C210,"Hunter Power")</f>
        <v/>
      </c>
      <c r="AF210">
        <f>COUNTIFS($B$3:$B210,"Buy upgrade",$C$3:$C210,"Bigger Hits")</f>
        <v/>
      </c>
      <c r="AG210">
        <f>COUNTIFS($B$3:$B210,"Buy upgrade",$C$3:$C210,"Swift Walk")</f>
        <v/>
      </c>
      <c r="AH210">
        <f>COUNTIFS($B$3:$B210,"Buy upgrade",$C$3:$C210,"Loot Luck")</f>
        <v/>
      </c>
      <c r="AI210">
        <f>COUNTIFS($B$3:$B210,"Buy upgrade",$C$3:$C210,"Offline Cap")</f>
        <v/>
      </c>
      <c r="AJ210">
        <f>COUNTIFS($B$3:$B210,"Buy upgrade",$C$3:$C210,"Bigger Food Stock")</f>
        <v/>
      </c>
      <c r="AK210">
        <f>COUNTIFS($B$3:$B210,"Buy upgrade",$C$3:$C210,"Food Efficiency")</f>
        <v/>
      </c>
    </row>
    <row r="211">
      <c r="A211" t="n">
        <v>209</v>
      </c>
      <c r="B211" s="6" t="n"/>
      <c r="C211" s="6" t="n"/>
      <c r="D211" s="6" t="n"/>
      <c r="E211" s="7">
        <f>IF(B211="","",IF(OR(B211="Hunt",B211="Go AFK"),IF(C211="","Can't","OK"),IF(B211="Fight boss",IF(I210&lt;IF((IFERROR(VLOOKUP(C211,Monsters!$T$4:$AH$15,15,FALSE),0))=0,120,IFERROR(VLOOKUP(C211,Monsters!$T$4:$AH$15,15,FALSE),0)),"Can't","OK"),IF(B211="Hire hunter",IF(AND(C211="Briar",AD210&gt;=1),"Can't",IF(H210&lt;IF(C211="Briar",140,IF(C211="Quill",3650,IF(C211="Moss",4850,IF(C211="Ember",12200,0)))),"Can't","OK")),IF(OR(B211="Buy upgrade",B211="Forge/Scrapwork buy"),IF(IFERROR(VLOOKUP(C211,Upgrades!$N$4:$T$47,2,FALSE),0)="points","Can't",IF(IFERROR(VLOOKUP(C211,Upgrades!$N$4:$T$47,2,FALSE),0)="gold",IF(H210&lt;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buy",$C$3:$C210,C211))),1),0),"Can't","OK"),IF(IFERROR(VLOOKUP(C211,Upgrades!$N$4:$T$47,2,FALSE),0)="scraps",IF(J210&lt;IFERROR(FLOOR(IFERROR(VLOOKUP(C211,Upgrades!$N$4:$T$47,3,FALSE),0)*(IFERROR(VLOOKUP(C211,Upgrades!$N$4:$T$47,4,FALSE),0)^(COUNTIFS($B$3:$B210,"Buy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buy",$C$3:$C210,C211))),1),0),"Can't","OK"),IF(IFERROR(VLOOKUP(C211,Upgrades!$N$4:$T$47,2,FALSE),0)="mats","Can't","OK")))),"Check")))))</f>
        <v/>
      </c>
      <c r="F211" s="7">
        <f>IF(B211="","",IF(AND(B211="Fight boss",I210&lt;IF((IFERROR(VLOOKUP(C211,Monsters!$T$4:$AH$15,15,FALSE),0))=0,120,IFERROR(VLOOKUP(C211,Monsters!$T$4:$AH$15,15,FALSE),0))),"Can't — need "&amp;TEXT(IF((IFERROR(VLOOKUP(C211,Monsters!$T$4:$AH$15,15,FALSE),0))=0,120,IFERROR(VLOOKUP(C211,Monsters!$T$4:$AH$15,15,FALSE),0))-I210,"0.0")&amp;" more Slayer points on the meter",IF(AND(B211="Hire hunter",C211="Briar",AD210&gt;=1),"Can't — already hired",IF(AND(B211="Hire hunter",H210&lt;IF(C211="Briar",140,IF(C211="Quill",3650,IF(C211="Moss",4850,IF(C211="Ember",12200,0))))),"Can't — need "&amp;TEXT(IF(C211="Briar",140,IF(C211="Quill",3650,IF(C211="Moss",4850,IF(C211="Ember",12200,0))))-H210,"0")&amp;" more gold",IF(AND(OR(B211="Buy upgrade",B211="Forge/Scrapwork buy"),IFERROR(VLOOKUP(C211,Upgrades!$N$4:$T$47,2,FALSE),0)="points"),"Can't — Sp-wallet spends not tracked here",IF(AND(OR(B211="Buy upgrade",B211="Forge/Scrapwork buy"),IFERROR(VLOOKUP(C211,Upgrades!$N$4:$T$47,2,FALSE),0)="gold",H210&lt;IFERROR(FLOOR(IFERROR(VLOOKUP(C211,Upgrades!$N$4:$T$47,3,FALSE),0)*(IFERROR(VLOOKUP(C211,Upgrades!$N$4:$T$47,4,FALSE),0)^(COUNTIFS($B$3:$B210,"Buy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buy",$C$3:$C210,C211))),1),0)),"Can't — need "&amp;TEXT(IFERROR(FLOOR(IFERROR(VLOOKUP(C211,Upgrades!$N$4:$T$47,3,FALSE),0)*(IFERROR(VLOOKUP(C211,Upgrades!$N$4:$T$47,4,FALSE),0)^(COUNTIFS($B$3:$B210,"Buy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buy",$C$3:$C210,C211))),1),0)-H210,"0")&amp;" more gold",IF(AND(OR(B211="Buy upgrade",B211="Forge/Scrapwork buy"),IFERROR(VLOOKUP(C211,Upgrades!$N$4:$T$47,2,FALSE),0)="scraps",J210&lt;IFERROR(FLOOR(IFERROR(VLOOKUP(C211,Upgrades!$N$4:$T$47,3,FALSE),0)*(IFERROR(VLOOKUP(C211,Upgrades!$N$4:$T$47,4,FALSE),0)^(COUNTIFS($B$3:$B210,"Buy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buy",$C$3:$C210,C211))),1),0)),"Can't — need "&amp;TEXT(IFERROR(FLOOR(IFERROR(VLOOKUP(C211,Upgrades!$N$4:$T$47,3,FALSE),0)*(IFERROR(VLOOKUP(C211,Upgrades!$N$4:$T$47,4,FALSE),0)^(COUNTIFS($B$3:$B210,"Buy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buy",$C$3:$C210,C211))),1),0)-J210,"0")&amp;" more scraps",IF(AND(B211="Fight boss",E211="OK",(IF((((105/'Rules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Formulas'!B12)),"WIN — boss down, next Level unlocks",IF(AND(B211="Fight boss",E211="OK"),"LOSE — TTK "&amp;TEXT(IF((((105/'Rules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Formulas'!B20*SQRT(1+0.55*(AG210&gt;=1))),0)))),"0")&amp;"s &gt; patience "&amp;TEXT('Rules &amp; Formulas'!B12,"0")&amp;"s (leave resets HP)",IF(B211="Go AFK","AFK resolved (see AFK counted h)","Applied")))))))))</f>
        <v/>
      </c>
      <c r="G211" s="7">
        <f>IF(AND((E211="OK"),B211="Fight boss",(IF((((105/'Rules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Formulas'!B12),C211="Elder Thornpelt"),2,IF(AND((E211="OK"),B211="Fight boss",(IF((((105/'Rules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Formulas'!B12),C211="Ashfang Alpha"),3,G210))</f>
        <v/>
      </c>
      <c r="H211" s="7">
        <f>MAX(0,H210+IF(AND((E211="OK"),B211="Hunt"),(IF(B211="Hunt",(('Rules &amp; Formulas'!B4*N210*('Rules &amp; Formulas'!B5+O210)*IFERROR(VLOOKUP(C211,Monsters!$T$4:$AH$15,10,FALSE),0)*IFERROR(VLOOKUP(C211,Monsters!$T$4:$AH$15,9,FALSE),0))*'Rules &amp; Formulas'!B6)*IF(D211="",0,D211),0))*(IFERROR(VLOOKUP(C211,Monsters!$T$4:$AH$15,3,FALSE),0))*(1+0.1*AH210)+(IF(OR(B211&lt;&gt;"Hunt",IFERROR(VLOOKUP(C211,Monsters!$T$4:$AH$15,6,FALSE),0)=0),0,FLOOR((IF(B211="Hunt",(('Rules &amp; Formulas'!B4*N210*('Rules &amp; Formulas'!B5+O210)*IFERROR(VLOOKUP(C211,Monsters!$T$4:$AH$15,10,FALSE),0)*IFERROR(VLOOKUP(C211,Monsters!$T$4:$AH$15,9,FALSE),0))*'Rules &amp; Formulas'!B6)*IF(D211="",0,D211),0))/MAX(1,IFERROR(VLOOKUP(C211,Monsters!$T$4:$AH$15,6,FALSE),0)),1)))*(IFERROR(VLOOKUP(C211,Monsters!$T$4:$AH$15,7,FALSE),0))*0.5*(1+0.1*AH210),0)+IF(AND((E211="OK"),B211="Go AFK"),(IF(B211="Go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AFK",IF(D211="",0,D211),0),Z210/60)*60)),0))*(IFERROR(VLOOKUP(C211,Monsters!$T$4:$AH$15,3,FALSE),0))*(1+0.1*AH210)+(IF(OR(B211&lt;&gt;"Go AFK",IFERROR(VLOOKUP(C211,Monsters!$T$4:$AH$15,6,FALSE),0)=0),0,FLOOR((IF(B211="Go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AFK",IF(D211="",0,D211),0),Z210/60)*60)),0))/MAX(1,IFERROR(VLOOKUP(C211,Monsters!$T$4:$AH$15,6,FALSE),0)),1)))*(IFERROR(VLOOKUP(C211,Monsters!$T$4:$AH$15,7,FALSE),0))*0.5*(1+0.1*AH210),0)+IF(AND((E211="OK"),B211="Fight boss",(IF((((105/'Rules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Formulas'!B12)),IFERROR(VLOOKUP(C211,Monsters!$T$4:$AH$15,3,FALSE),0),0)-IF(AND((E211="OK"),OR(B211="Buy upgrade",B211="Forge/Scrapwork buy"),IFERROR(VLOOKUP(C211,Upgrades!$N$4:$T$47,2,FALSE),0)="gold"),IFERROR(FLOOR(IFERROR(VLOOKUP(C211,Upgrades!$N$4:$T$47,3,FALSE),0)*(IFERROR(VLOOKUP(C211,Upgrades!$N$4:$T$47,4,FALSE),0)^(COUNTIFS($B$3:$B210,"Buy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buy",$C$3:$C210,C211))),1),0),0)-IF(AND((E211="OK"),B211="Hire hunter"),IF(C211="Briar",140,IF(C211="Quill",3650,IF(C211="Moss",4850,IF(C211="Ember",12200,0)))),0))</f>
        <v/>
      </c>
      <c r="I211" s="7">
        <f>IF(AND((E211="OK"),B211="Fight boss",(IF((((105/'Rules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Formulas'!B12)),0,MIN(IF(G210&lt;=1,120,IF(G210=2,280,600)),I210+IF(AND((E211="OK"),B211="Hunt"),((IF(B211="Hunt",(('Rules &amp; Formulas'!B4*N210*('Rules &amp; Formulas'!B5+O210)*IFERROR(VLOOKUP(C211,Monsters!$T$4:$AH$15,10,FALSE),0)*IFERROR(VLOOKUP(C211,Monsters!$T$4:$AH$15,9,FALSE),0))*'Rules &amp; Formulas'!B6)*IF(D211="",0,D211),0))*(IFERROR(VLOOKUP(C211,Monsters!$T$4:$AH$15,4,FALSE),0))+(IF(OR(B211&lt;&gt;"Hunt",IFERROR(VLOOKUP(C211,Monsters!$T$4:$AH$15,6,FALSE),0)=0),0,FLOOR((IF(B211="Hunt",(('Rules &amp; Formulas'!B4*N210*('Rules &amp; Formulas'!B5+O210)*IFERROR(VLOOKUP(C211,Monsters!$T$4:$AH$15,10,FALSE),0)*IFERROR(VLOOKUP(C211,Monsters!$T$4:$AH$15,9,FALSE),0))*'Rules &amp; Formulas'!B6)*IF(D211="",0,D211),0))/MAX(1,IFERROR(VLOOKUP(C211,Monsters!$T$4:$AH$15,6,FALSE),0)),1)))*(IFERROR(VLOOKUP(C211,Monsters!$T$4:$AH$15,7,FALSE),0))),0)+IF(AND((E211="OK"),B211="Go AFK"),((IF(B211="Go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AFK",IF(D211="",0,D211),0),Z210/60)*60)),0))*(IFERROR(VLOOKUP(C211,Monsters!$T$4:$AH$15,4,FALSE),0))+(IF(OR(B211&lt;&gt;"Go AFK",IFERROR(VLOOKUP(C211,Monsters!$T$4:$AH$15,6,FALSE),0)=0),0,FLOOR((IF(B211="Go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AFK",IF(D211="",0,D211),0),Z210/60)*60)),0))/MAX(1,IFERROR(VLOOKUP(C211,Monsters!$T$4:$AH$15,6,FALSE),0)),1)))*(IFERROR(VLOOKUP(C211,Monsters!$T$4:$AH$15,7,FALSE),0))),0)))</f>
        <v/>
      </c>
      <c r="J211" s="7">
        <f>MAX(0,J210+IF(AND((E211="OK"),B211="Hunt"),(IF(B211="Hunt",(('Rules &amp; Formulas'!B4*N210*('Rules &amp; Formulas'!B5+O210)*IFERROR(VLOOKUP(C211,Monsters!$T$4:$AH$15,10,FALSE),0)*IFERROR(VLOOKUP(C211,Monsters!$T$4:$AH$15,9,FALSE),0))*'Rules &amp; Formulas'!B6)*IF(D211="",0,D211),0))*(IFERROR(VLOOKUP(C211,Monsters!$T$4:$AH$15,5,FALSE),0)),0)+IF(AND((E211="OK"),B211="Go AFK"),(IF(B211="Go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AFK",IF(D211="",0,D211),0),Z210/60)*60)),0))*(IFERROR(VLOOKUP(C211,Monsters!$T$4:$AH$15,5,FALSE),0)),0)-IF(AND((E211="OK"),OR(B211="Buy upgrade",B211="Forge/Scrapwork buy"),IFERROR(VLOOKUP(C211,Upgrades!$N$4:$T$47,2,FALSE),0)="scraps"),IFERROR(FLOOR(IFERROR(VLOOKUP(C211,Upgrades!$N$4:$T$47,3,FALSE),0)*(IFERROR(VLOOKUP(C211,Upgrades!$N$4:$T$47,4,FALSE),0)^(COUNTIFS($B$3:$B210,"Buy upgrade",$C$3:$C210,C211)+COUNTIFS($B$3:$B210,"Hire hunter",$C$3:$C210,C211)+COUNTIFS($B$3:$B210,"Forge/Scrapwork buy",$C$3:$C210,C211))),1),0),0))</f>
        <v/>
      </c>
      <c r="K211" s="7">
        <f>MAX(0,K210+IF(AND((E211="OK"),B211="Hunt"),IF(C211="Thornpelt Bear",(IF(B211="Hunt",(('Rules &amp; Formulas'!B4*N210*('Rules &amp; Formulas'!B5+O210)*IFERROR(VLOOKUP(C211,Monsters!$T$4:$AH$15,10,FALSE),0)*IFERROR(VLOOKUP(C211,Monsters!$T$4:$AH$15,9,FALSE),0))*'Rules &amp; Formulas'!B6)*IF(D211="",0,D211),0))*0.12,0),0)+IF(AND((E211="OK"),B211="Go AFK"),IF(C211="Thornpelt Bear",(IF(B211="Go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AFK",IF(D211="",0,D211),0),Z210/60)*60)),0))*0.12,0),0))</f>
        <v/>
      </c>
      <c r="L211" s="7">
        <f>MAX(0,L210+IF(AND((E211="OK"),B211="Hunt"),IF(C211="Dire Thornpelt",(IF(B211="Hunt",(('Rules &amp; Formulas'!B4*N210*('Rules &amp; Formulas'!B5+O210)*IFERROR(VLOOKUP(C211,Monsters!$T$4:$AH$15,10,FALSE),0)*IFERROR(VLOOKUP(C211,Monsters!$T$4:$AH$15,9,FALSE),0))*'Rules &amp; Formulas'!B6)*IF(D211="",0,D211),0))*0.1,0),0)+IF(AND((E211="OK"),B211="Go AFK"),IF(C211="Dire Thornpelt",(IF(B211="Go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AFK",IF(D211="",0,D211),0),Z210/60)*60)),0))*0.1,0),0))</f>
        <v/>
      </c>
      <c r="M211" s="7">
        <f>IF(AND((E211="OK"),B211="Go AFK"),MAX(0,MIN(('Rules &amp; Formulas'!B15+25*AJ210),M210+('Rules &amp; Formulas'!B14+0.4*AJ210)*(MIN(IF(B211="Go AFK",IF(D211="",0,D211),0),Z210/60)*60))-(IF(B211="Go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AFK",IF(D211="",0,D211),0),Z210/60)*60)),0))*(IF((IFERROR(VLOOKUP(C211,Monsters!$T$4:$AH$15,8,FALSE),0))=0,0.35,IFERROR(VLOOKUP(C211,Monsters!$T$4:$AH$15,8,FALSE),0))/(1+0.08*AK210))),MIN(('Rules &amp; Formulas'!B15+25*AJ211),M210))</f>
        <v/>
      </c>
      <c r="N211" s="7">
        <f>(1+0.08+0.12*AA211+0.12*AB211+0.16*AC211)</f>
        <v/>
      </c>
      <c r="O211" s="7">
        <f>((AD211&gt;=1)*1*(1+0.3*AE211))</f>
        <v/>
      </c>
      <c r="P211" s="7">
        <f>IF(OR(B211="Hunt",B211="Go AFK"),(('Rules &amp; Formulas'!B4*N210*('Rules &amp; Formulas'!B5+O210)*IFERROR(VLOOKUP(C211,Monsters!$T$4:$AH$15,10,FALSE),0)*IFERROR(VLOOKUP(C211,Monsters!$T$4:$AH$15,9,FALSE),0))*'Rules &amp; Formulas'!B6),"")</f>
        <v/>
      </c>
      <c r="Q211" s="7">
        <f>IF(OR(B211="Hunt",B211="Go AFK"),('Rules &amp; Formulas'!B4*N210*('Rules &amp; Formulas'!B5+O210)*IFERROR(VLOOKUP(C211,Monsters!$T$4:$AH$15,10,FALSE),0)*IFERROR(VLOOKUP(C211,Monsters!$T$4:$AH$15,9,FALSE),0)),"")</f>
        <v/>
      </c>
      <c r="R211" s="7">
        <f>IF(AND((E211="OK"),B211="Hunt"),IF(B211="Hunt",(('Rules &amp; Formulas'!B4*N210*('Rules &amp; Formulas'!B5+O210)*IFERROR(VLOOKUP(C211,Monsters!$T$4:$AH$15,10,FALSE),0)*IFERROR(VLOOKUP(C211,Monsters!$T$4:$AH$15,9,FALSE),0))*'Rules &amp; Formulas'!B6)*IF(D211="",0,D211),0),IF(AND((E211="OK"),B211="Go AFK"),IF(B211="Go AFK",MIN(IF((IF((IFERROR(VLOOKUP(C211,Monsters!$T$4:$AH$15,8,FALSE),0))=0,0.35,IFERROR(VLOOKUP(C211,Monsters!$T$4:$AH$15,8,FALSE),0))/(1+0.08*AK210))&lt;=0,999999,FLOOR(MIN(('Rules &amp; Formulas'!B15+25*AJ210),M210+('Rules &amp; Formulas'!B14+0.4*AJ210)*(MIN(IF(B211="Go AFK",IF(D211="",0,D211),0),Z210/60)*60))/(IF((IFERROR(VLOOKUP(C211,Monsters!$T$4:$AH$15,8,FALSE),0))=0,0.35,IFERROR(VLOOKUP(C211,Monsters!$T$4:$AH$15,8,FALSE),0))/(1+0.08*AK210)),1)),('Rules &amp; Formulas'!B4*N210*('Rules &amp; Formulas'!B5+O210)*IFERROR(VLOOKUP(C211,Monsters!$T$4:$AH$15,10,FALSE),0)*IFERROR(VLOOKUP(C211,Monsters!$T$4:$AH$15,9,FALSE),0))*(MIN(IF(B211="Go AFK",IF(D211="",0,D211),0),Z210/60)*60)),0),0))</f>
        <v/>
      </c>
      <c r="S211" s="7">
        <f>(105/'Rules &amp; Formulas'!B10)*'Rules &amp; Formulas'!B11</f>
        <v/>
      </c>
      <c r="T211" s="7">
        <f>IF(AD210&gt;=1,(MAX(1,ROUND('Rules &amp; Formulas'!B18*(1+0.3*AE210)*(1+0.4*AF210),0)))*(1000/'Rules &amp; Formulas'!B19)*MIN(0.95,'Rules &amp; Formulas'!B20*SQRT(1+0.55*(AG210&gt;=1))),0)</f>
        <v/>
      </c>
      <c r="U211" s="7">
        <f>S211+T211</f>
        <v/>
      </c>
      <c r="V211" s="7">
        <f>IF(I210&gt;=IF((IFERROR(VLOOKUP(C211,Monsters!$T$4:$AH$15,15,FALSE),0))=0,120,IFERROR(VLOOKUP(C211,Monsters!$T$4:$AH$15,15,FALSE),0)),"YES","no")</f>
        <v/>
      </c>
      <c r="W211" s="7">
        <f>IF(AND(B211="Fight boss",E211="OK"),IF((((105/'Rules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Formulas'!B20*SQRT(1+0.55*(AG210&gt;=1))),0)))),"")</f>
        <v/>
      </c>
      <c r="X211" s="7">
        <f>IF(AND(B211="Fight boss",E211="OK"),IF((IF((((105/'Rules &amp; Formulas'!B10)*'Rules &amp; Formulas'!B11+IF(AD210&gt;=1,(MAX(1,ROUND('Rules &amp; Formulas'!B18*(1+0.3*AE210)*(1+0.4*AF210),0)))*(1000/'Rules &amp; Formulas'!B19)*MIN(0.95,'Rules &amp; Formulas'!B20*SQRT(1+0.55*(AG210&gt;=1))),0)))&lt;=0,9999,(IFERROR(VLOOKUP(C211,Monsters!$T$4:$AH$15,2,FALSE),0))/(((105/'Rules &amp; Formulas'!B10)*'Rules &amp; Formulas'!B11+IF(AD210&gt;=1,(MAX(1,ROUND('Rules &amp; Formulas'!B18*(1+0.3*AE210)*(1+0.4*AF210),0)))*(1000/'Rules &amp; Formulas'!B19)*MIN(0.95,'Rules &amp; Formulas'!B20*SQRT(1+0.55*(AG210&gt;=1))),0))))&lt;='Rules &amp; Formulas'!B12),"WIN","LOSE"),"")</f>
        <v/>
      </c>
      <c r="Y211" s="7">
        <f>IF(B211="Go AFK",MIN(IF(B211="Go AFK",IF(D211="",0,D211),0),Z210/60),"")</f>
        <v/>
      </c>
      <c r="Z211" s="7">
        <f>('Rules &amp; Formulas'!B13+30*AI211)</f>
        <v/>
      </c>
      <c r="AA211">
        <f>COUNTIFS($B$3:$B211,"Buy upgrade",$C$3:$C211,"Idle Power")</f>
        <v/>
      </c>
      <c r="AB211">
        <f>COUNTIFS($B$3:$B211,"Buy upgrade",$C$3:$C211,"Iron Blade")</f>
        <v/>
      </c>
      <c r="AC211">
        <f>COUNTIFS($B$3:$B211,"Buy upgrade",$C$3:$C211,"Steel Blade")</f>
        <v/>
      </c>
      <c r="AD211">
        <f>COUNTIFS($B$3:$B211,"Hire hunter",$C$3:$C211,"Briar")+COUNTIFS($B$3:$B211,"Buy upgrade",$C$3:$C211,"Hire Briar")</f>
        <v/>
      </c>
      <c r="AE211">
        <f>COUNTIFS($B$3:$B211,"Buy upgrade",$C$3:$C211,"Hunter Power")</f>
        <v/>
      </c>
      <c r="AF211">
        <f>COUNTIFS($B$3:$B211,"Buy upgrade",$C$3:$C211,"Bigger Hits")</f>
        <v/>
      </c>
      <c r="AG211">
        <f>COUNTIFS($B$3:$B211,"Buy upgrade",$C$3:$C211,"Swift Walk")</f>
        <v/>
      </c>
      <c r="AH211">
        <f>COUNTIFS($B$3:$B211,"Buy upgrade",$C$3:$C211,"Loot Luck")</f>
        <v/>
      </c>
      <c r="AI211">
        <f>COUNTIFS($B$3:$B211,"Buy upgrade",$C$3:$C211,"Offline Cap")</f>
        <v/>
      </c>
      <c r="AJ211">
        <f>COUNTIFS($B$3:$B211,"Buy upgrade",$C$3:$C211,"Bigger Food Stock")</f>
        <v/>
      </c>
      <c r="AK211">
        <f>COUNTIFS($B$3:$B211,"Buy upgrade",$C$3:$C211,"Food Efficiency")</f>
        <v/>
      </c>
    </row>
    <row r="212">
      <c r="A212" t="n">
        <v>210</v>
      </c>
      <c r="B212" s="6" t="n"/>
      <c r="C212" s="6" t="n"/>
      <c r="D212" s="6" t="n"/>
      <c r="E212" s="7">
        <f>IF(B212="","",IF(OR(B212="Hunt",B212="Go AFK"),IF(C212="","Can't","OK"),IF(B212="Fight boss",IF(I211&lt;IF((IFERROR(VLOOKUP(C212,Monsters!$T$4:$AH$15,15,FALSE),0))=0,120,IFERROR(VLOOKUP(C212,Monsters!$T$4:$AH$15,15,FALSE),0)),"Can't","OK"),IF(B212="Hire hunter",IF(AND(C212="Briar",AD211&gt;=1),"Can't",IF(H211&lt;IF(C212="Briar",140,IF(C212="Quill",3650,IF(C212="Moss",4850,IF(C212="Ember",12200,0)))),"Can't","OK")),IF(OR(B212="Buy upgrade",B212="Forge/Scrapwork buy"),IF(IFERROR(VLOOKUP(C212,Upgrades!$N$4:$T$47,2,FALSE),0)="points","Can't",IF(IFERROR(VLOOKUP(C212,Upgrades!$N$4:$T$47,2,FALSE),0)="gold",IF(H211&lt;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buy",$C$3:$C211,C212))),1),0),"Can't","OK"),IF(IFERROR(VLOOKUP(C212,Upgrades!$N$4:$T$47,2,FALSE),0)="scraps",IF(J211&lt;IFERROR(FLOOR(IFERROR(VLOOKUP(C212,Upgrades!$N$4:$T$47,3,FALSE),0)*(IFERROR(VLOOKUP(C212,Upgrades!$N$4:$T$47,4,FALSE),0)^(COUNTIFS($B$3:$B211,"Buy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buy",$C$3:$C211,C212))),1),0),"Can't","OK"),IF(IFERROR(VLOOKUP(C212,Upgrades!$N$4:$T$47,2,FALSE),0)="mats","Can't","OK")))),"Check")))))</f>
        <v/>
      </c>
      <c r="F212" s="7">
        <f>IF(B212="","",IF(AND(B212="Fight boss",I211&lt;IF((IFERROR(VLOOKUP(C212,Monsters!$T$4:$AH$15,15,FALSE),0))=0,120,IFERROR(VLOOKUP(C212,Monsters!$T$4:$AH$15,15,FALSE),0))),"Can't — need "&amp;TEXT(IF((IFERROR(VLOOKUP(C212,Monsters!$T$4:$AH$15,15,FALSE),0))=0,120,IFERROR(VLOOKUP(C212,Monsters!$T$4:$AH$15,15,FALSE),0))-I211,"0.0")&amp;" more Slayer points on the meter",IF(AND(B212="Hire hunter",C212="Briar",AD211&gt;=1),"Can't — already hired",IF(AND(B212="Hire hunter",H211&lt;IF(C212="Briar",140,IF(C212="Quill",3650,IF(C212="Moss",4850,IF(C212="Ember",12200,0))))),"Can't — need "&amp;TEXT(IF(C212="Briar",140,IF(C212="Quill",3650,IF(C212="Moss",4850,IF(C212="Ember",12200,0))))-H211,"0")&amp;" more gold",IF(AND(OR(B212="Buy upgrade",B212="Forge/Scrapwork buy"),IFERROR(VLOOKUP(C212,Upgrades!$N$4:$T$47,2,FALSE),0)="points"),"Can't — Sp-wallet spends not tracked here",IF(AND(OR(B212="Buy upgrade",B212="Forge/Scrapwork buy"),IFERROR(VLOOKUP(C212,Upgrades!$N$4:$T$47,2,FALSE),0)="gold",H211&lt;IFERROR(FLOOR(IFERROR(VLOOKUP(C212,Upgrades!$N$4:$T$47,3,FALSE),0)*(IFERROR(VLOOKUP(C212,Upgrades!$N$4:$T$47,4,FALSE),0)^(COUNTIFS($B$3:$B211,"Buy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buy",$C$3:$C211,C212))),1),0)),"Can't — need "&amp;TEXT(IFERROR(FLOOR(IFERROR(VLOOKUP(C212,Upgrades!$N$4:$T$47,3,FALSE),0)*(IFERROR(VLOOKUP(C212,Upgrades!$N$4:$T$47,4,FALSE),0)^(COUNTIFS($B$3:$B211,"Buy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buy",$C$3:$C211,C212))),1),0)-H211,"0")&amp;" more gold",IF(AND(OR(B212="Buy upgrade",B212="Forge/Scrapwork buy"),IFERROR(VLOOKUP(C212,Upgrades!$N$4:$T$47,2,FALSE),0)="scraps",J211&lt;IFERROR(FLOOR(IFERROR(VLOOKUP(C212,Upgrades!$N$4:$T$47,3,FALSE),0)*(IFERROR(VLOOKUP(C212,Upgrades!$N$4:$T$47,4,FALSE),0)^(COUNTIFS($B$3:$B211,"Buy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buy",$C$3:$C211,C212))),1),0)),"Can't — need "&amp;TEXT(IFERROR(FLOOR(IFERROR(VLOOKUP(C212,Upgrades!$N$4:$T$47,3,FALSE),0)*(IFERROR(VLOOKUP(C212,Upgrades!$N$4:$T$47,4,FALSE),0)^(COUNTIFS($B$3:$B211,"Buy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buy",$C$3:$C211,C212))),1),0)-J211,"0")&amp;" more scraps",IF(AND(B212="Fight boss",E212="OK",(IF((((105/'Rules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Formulas'!B12)),"WIN — boss down, next Level unlocks",IF(AND(B212="Fight boss",E212="OK"),"LOSE — TTK "&amp;TEXT(IF((((105/'Rules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Formulas'!B20*SQRT(1+0.55*(AG211&gt;=1))),0)))),"0")&amp;"s &gt; patience "&amp;TEXT('Rules &amp; Formulas'!B12,"0")&amp;"s (leave resets HP)",IF(B212="Go AFK","AFK resolved (see AFK counted h)","Applied")))))))))</f>
        <v/>
      </c>
      <c r="G212" s="7">
        <f>IF(AND((E212="OK"),B212="Fight boss",(IF((((105/'Rules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Formulas'!B12),C212="Elder Thornpelt"),2,IF(AND((E212="OK"),B212="Fight boss",(IF((((105/'Rules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Formulas'!B12),C212="Ashfang Alpha"),3,G211))</f>
        <v/>
      </c>
      <c r="H212" s="7">
        <f>MAX(0,H211+IF(AND((E212="OK"),B212="Hunt"),(IF(B212="Hunt",(('Rules &amp; Formulas'!B4*N211*('Rules &amp; Formulas'!B5+O211)*IFERROR(VLOOKUP(C212,Monsters!$T$4:$AH$15,10,FALSE),0)*IFERROR(VLOOKUP(C212,Monsters!$T$4:$AH$15,9,FALSE),0))*'Rules &amp; Formulas'!B6)*IF(D212="",0,D212),0))*(IFERROR(VLOOKUP(C212,Monsters!$T$4:$AH$15,3,FALSE),0))*(1+0.1*AH211)+(IF(OR(B212&lt;&gt;"Hunt",IFERROR(VLOOKUP(C212,Monsters!$T$4:$AH$15,6,FALSE),0)=0),0,FLOOR((IF(B212="Hunt",(('Rules &amp; Formulas'!B4*N211*('Rules &amp; Formulas'!B5+O211)*IFERROR(VLOOKUP(C212,Monsters!$T$4:$AH$15,10,FALSE),0)*IFERROR(VLOOKUP(C212,Monsters!$T$4:$AH$15,9,FALSE),0))*'Rules &amp; Formulas'!B6)*IF(D212="",0,D212),0))/MAX(1,IFERROR(VLOOKUP(C212,Monsters!$T$4:$AH$15,6,FALSE),0)),1)))*(IFERROR(VLOOKUP(C212,Monsters!$T$4:$AH$15,7,FALSE),0))*0.5*(1+0.1*AH211),0)+IF(AND((E212="OK"),B212="Go AFK"),(IF(B212="Go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AFK",IF(D212="",0,D212),0),Z211/60)*60)),0))*(IFERROR(VLOOKUP(C212,Monsters!$T$4:$AH$15,3,FALSE),0))*(1+0.1*AH211)+(IF(OR(B212&lt;&gt;"Go AFK",IFERROR(VLOOKUP(C212,Monsters!$T$4:$AH$15,6,FALSE),0)=0),0,FLOOR((IF(B212="Go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AFK",IF(D212="",0,D212),0),Z211/60)*60)),0))/MAX(1,IFERROR(VLOOKUP(C212,Monsters!$T$4:$AH$15,6,FALSE),0)),1)))*(IFERROR(VLOOKUP(C212,Monsters!$T$4:$AH$15,7,FALSE),0))*0.5*(1+0.1*AH211),0)+IF(AND((E212="OK"),B212="Fight boss",(IF((((105/'Rules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Formulas'!B12)),IFERROR(VLOOKUP(C212,Monsters!$T$4:$AH$15,3,FALSE),0),0)-IF(AND((E212="OK"),OR(B212="Buy upgrade",B212="Forge/Scrapwork buy"),IFERROR(VLOOKUP(C212,Upgrades!$N$4:$T$47,2,FALSE),0)="gold"),IFERROR(FLOOR(IFERROR(VLOOKUP(C212,Upgrades!$N$4:$T$47,3,FALSE),0)*(IFERROR(VLOOKUP(C212,Upgrades!$N$4:$T$47,4,FALSE),0)^(COUNTIFS($B$3:$B211,"Buy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buy",$C$3:$C211,C212))),1),0),0)-IF(AND((E212="OK"),B212="Hire hunter"),IF(C212="Briar",140,IF(C212="Quill",3650,IF(C212="Moss",4850,IF(C212="Ember",12200,0)))),0))</f>
        <v/>
      </c>
      <c r="I212" s="7">
        <f>IF(AND((E212="OK"),B212="Fight boss",(IF((((105/'Rules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Formulas'!B12)),0,MIN(IF(G211&lt;=1,120,IF(G211=2,280,600)),I211+IF(AND((E212="OK"),B212="Hunt"),((IF(B212="Hunt",(('Rules &amp; Formulas'!B4*N211*('Rules &amp; Formulas'!B5+O211)*IFERROR(VLOOKUP(C212,Monsters!$T$4:$AH$15,10,FALSE),0)*IFERROR(VLOOKUP(C212,Monsters!$T$4:$AH$15,9,FALSE),0))*'Rules &amp; Formulas'!B6)*IF(D212="",0,D212),0))*(IFERROR(VLOOKUP(C212,Monsters!$T$4:$AH$15,4,FALSE),0))+(IF(OR(B212&lt;&gt;"Hunt",IFERROR(VLOOKUP(C212,Monsters!$T$4:$AH$15,6,FALSE),0)=0),0,FLOOR((IF(B212="Hunt",(('Rules &amp; Formulas'!B4*N211*('Rules &amp; Formulas'!B5+O211)*IFERROR(VLOOKUP(C212,Monsters!$T$4:$AH$15,10,FALSE),0)*IFERROR(VLOOKUP(C212,Monsters!$T$4:$AH$15,9,FALSE),0))*'Rules &amp; Formulas'!B6)*IF(D212="",0,D212),0))/MAX(1,IFERROR(VLOOKUP(C212,Monsters!$T$4:$AH$15,6,FALSE),0)),1)))*(IFERROR(VLOOKUP(C212,Monsters!$T$4:$AH$15,7,FALSE),0))),0)+IF(AND((E212="OK"),B212="Go AFK"),((IF(B212="Go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AFK",IF(D212="",0,D212),0),Z211/60)*60)),0))*(IFERROR(VLOOKUP(C212,Monsters!$T$4:$AH$15,4,FALSE),0))+(IF(OR(B212&lt;&gt;"Go AFK",IFERROR(VLOOKUP(C212,Monsters!$T$4:$AH$15,6,FALSE),0)=0),0,FLOOR((IF(B212="Go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AFK",IF(D212="",0,D212),0),Z211/60)*60)),0))/MAX(1,IFERROR(VLOOKUP(C212,Monsters!$T$4:$AH$15,6,FALSE),0)),1)))*(IFERROR(VLOOKUP(C212,Monsters!$T$4:$AH$15,7,FALSE),0))),0)))</f>
        <v/>
      </c>
      <c r="J212" s="7">
        <f>MAX(0,J211+IF(AND((E212="OK"),B212="Hunt"),(IF(B212="Hunt",(('Rules &amp; Formulas'!B4*N211*('Rules &amp; Formulas'!B5+O211)*IFERROR(VLOOKUP(C212,Monsters!$T$4:$AH$15,10,FALSE),0)*IFERROR(VLOOKUP(C212,Monsters!$T$4:$AH$15,9,FALSE),0))*'Rules &amp; Formulas'!B6)*IF(D212="",0,D212),0))*(IFERROR(VLOOKUP(C212,Monsters!$T$4:$AH$15,5,FALSE),0)),0)+IF(AND((E212="OK"),B212="Go AFK"),(IF(B212="Go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AFK",IF(D212="",0,D212),0),Z211/60)*60)),0))*(IFERROR(VLOOKUP(C212,Monsters!$T$4:$AH$15,5,FALSE),0)),0)-IF(AND((E212="OK"),OR(B212="Buy upgrade",B212="Forge/Scrapwork buy"),IFERROR(VLOOKUP(C212,Upgrades!$N$4:$T$47,2,FALSE),0)="scraps"),IFERROR(FLOOR(IFERROR(VLOOKUP(C212,Upgrades!$N$4:$T$47,3,FALSE),0)*(IFERROR(VLOOKUP(C212,Upgrades!$N$4:$T$47,4,FALSE),0)^(COUNTIFS($B$3:$B211,"Buy upgrade",$C$3:$C211,C212)+COUNTIFS($B$3:$B211,"Hire hunter",$C$3:$C211,C212)+COUNTIFS($B$3:$B211,"Forge/Scrapwork buy",$C$3:$C211,C212))),1),0),0))</f>
        <v/>
      </c>
      <c r="K212" s="7">
        <f>MAX(0,K211+IF(AND((E212="OK"),B212="Hunt"),IF(C212="Thornpelt Bear",(IF(B212="Hunt",(('Rules &amp; Formulas'!B4*N211*('Rules &amp; Formulas'!B5+O211)*IFERROR(VLOOKUP(C212,Monsters!$T$4:$AH$15,10,FALSE),0)*IFERROR(VLOOKUP(C212,Monsters!$T$4:$AH$15,9,FALSE),0))*'Rules &amp; Formulas'!B6)*IF(D212="",0,D212),0))*0.12,0),0)+IF(AND((E212="OK"),B212="Go AFK"),IF(C212="Thornpelt Bear",(IF(B212="Go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AFK",IF(D212="",0,D212),0),Z211/60)*60)),0))*0.12,0),0))</f>
        <v/>
      </c>
      <c r="L212" s="7">
        <f>MAX(0,L211+IF(AND((E212="OK"),B212="Hunt"),IF(C212="Dire Thornpelt",(IF(B212="Hunt",(('Rules &amp; Formulas'!B4*N211*('Rules &amp; Formulas'!B5+O211)*IFERROR(VLOOKUP(C212,Monsters!$T$4:$AH$15,10,FALSE),0)*IFERROR(VLOOKUP(C212,Monsters!$T$4:$AH$15,9,FALSE),0))*'Rules &amp; Formulas'!B6)*IF(D212="",0,D212),0))*0.1,0),0)+IF(AND((E212="OK"),B212="Go AFK"),IF(C212="Dire Thornpelt",(IF(B212="Go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AFK",IF(D212="",0,D212),0),Z211/60)*60)),0))*0.1,0),0))</f>
        <v/>
      </c>
      <c r="M212" s="7">
        <f>IF(AND((E212="OK"),B212="Go AFK"),MAX(0,MIN(('Rules &amp; Formulas'!B15+25*AJ211),M211+('Rules &amp; Formulas'!B14+0.4*AJ211)*(MIN(IF(B212="Go AFK",IF(D212="",0,D212),0),Z211/60)*60))-(IF(B212="Go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AFK",IF(D212="",0,D212),0),Z211/60)*60)),0))*(IF((IFERROR(VLOOKUP(C212,Monsters!$T$4:$AH$15,8,FALSE),0))=0,0.35,IFERROR(VLOOKUP(C212,Monsters!$T$4:$AH$15,8,FALSE),0))/(1+0.08*AK211))),MIN(('Rules &amp; Formulas'!B15+25*AJ212),M211))</f>
        <v/>
      </c>
      <c r="N212" s="7">
        <f>(1+0.08+0.12*AA212+0.12*AB212+0.16*AC212)</f>
        <v/>
      </c>
      <c r="O212" s="7">
        <f>((AD212&gt;=1)*1*(1+0.3*AE212))</f>
        <v/>
      </c>
      <c r="P212" s="7">
        <f>IF(OR(B212="Hunt",B212="Go AFK"),(('Rules &amp; Formulas'!B4*N211*('Rules &amp; Formulas'!B5+O211)*IFERROR(VLOOKUP(C212,Monsters!$T$4:$AH$15,10,FALSE),0)*IFERROR(VLOOKUP(C212,Monsters!$T$4:$AH$15,9,FALSE),0))*'Rules &amp; Formulas'!B6),"")</f>
        <v/>
      </c>
      <c r="Q212" s="7">
        <f>IF(OR(B212="Hunt",B212="Go AFK"),('Rules &amp; Formulas'!B4*N211*('Rules &amp; Formulas'!B5+O211)*IFERROR(VLOOKUP(C212,Monsters!$T$4:$AH$15,10,FALSE),0)*IFERROR(VLOOKUP(C212,Monsters!$T$4:$AH$15,9,FALSE),0)),"")</f>
        <v/>
      </c>
      <c r="R212" s="7">
        <f>IF(AND((E212="OK"),B212="Hunt"),IF(B212="Hunt",(('Rules &amp; Formulas'!B4*N211*('Rules &amp; Formulas'!B5+O211)*IFERROR(VLOOKUP(C212,Monsters!$T$4:$AH$15,10,FALSE),0)*IFERROR(VLOOKUP(C212,Monsters!$T$4:$AH$15,9,FALSE),0))*'Rules &amp; Formulas'!B6)*IF(D212="",0,D212),0),IF(AND((E212="OK"),B212="Go AFK"),IF(B212="Go AFK",MIN(IF((IF((IFERROR(VLOOKUP(C212,Monsters!$T$4:$AH$15,8,FALSE),0))=0,0.35,IFERROR(VLOOKUP(C212,Monsters!$T$4:$AH$15,8,FALSE),0))/(1+0.08*AK211))&lt;=0,999999,FLOOR(MIN(('Rules &amp; Formulas'!B15+25*AJ211),M211+('Rules &amp; Formulas'!B14+0.4*AJ211)*(MIN(IF(B212="Go AFK",IF(D212="",0,D212),0),Z211/60)*60))/(IF((IFERROR(VLOOKUP(C212,Monsters!$T$4:$AH$15,8,FALSE),0))=0,0.35,IFERROR(VLOOKUP(C212,Monsters!$T$4:$AH$15,8,FALSE),0))/(1+0.08*AK211)),1)),('Rules &amp; Formulas'!B4*N211*('Rules &amp; Formulas'!B5+O211)*IFERROR(VLOOKUP(C212,Monsters!$T$4:$AH$15,10,FALSE),0)*IFERROR(VLOOKUP(C212,Monsters!$T$4:$AH$15,9,FALSE),0))*(MIN(IF(B212="Go AFK",IF(D212="",0,D212),0),Z211/60)*60)),0),0))</f>
        <v/>
      </c>
      <c r="S212" s="7">
        <f>(105/'Rules &amp; Formulas'!B10)*'Rules &amp; Formulas'!B11</f>
        <v/>
      </c>
      <c r="T212" s="7">
        <f>IF(AD211&gt;=1,(MAX(1,ROUND('Rules &amp; Formulas'!B18*(1+0.3*AE211)*(1+0.4*AF211),0)))*(1000/'Rules &amp; Formulas'!B19)*MIN(0.95,'Rules &amp; Formulas'!B20*SQRT(1+0.55*(AG211&gt;=1))),0)</f>
        <v/>
      </c>
      <c r="U212" s="7">
        <f>S212+T212</f>
        <v/>
      </c>
      <c r="V212" s="7">
        <f>IF(I211&gt;=IF((IFERROR(VLOOKUP(C212,Monsters!$T$4:$AH$15,15,FALSE),0))=0,120,IFERROR(VLOOKUP(C212,Monsters!$T$4:$AH$15,15,FALSE),0)),"YES","no")</f>
        <v/>
      </c>
      <c r="W212" s="7">
        <f>IF(AND(B212="Fight boss",E212="OK"),IF((((105/'Rules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Formulas'!B20*SQRT(1+0.55*(AG211&gt;=1))),0)))),"")</f>
        <v/>
      </c>
      <c r="X212" s="7">
        <f>IF(AND(B212="Fight boss",E212="OK"),IF((IF((((105/'Rules &amp; Formulas'!B10)*'Rules &amp; Formulas'!B11+IF(AD211&gt;=1,(MAX(1,ROUND('Rules &amp; Formulas'!B18*(1+0.3*AE211)*(1+0.4*AF211),0)))*(1000/'Rules &amp; Formulas'!B19)*MIN(0.95,'Rules &amp; Formulas'!B20*SQRT(1+0.55*(AG211&gt;=1))),0)))&lt;=0,9999,(IFERROR(VLOOKUP(C212,Monsters!$T$4:$AH$15,2,FALSE),0))/(((105/'Rules &amp; Formulas'!B10)*'Rules &amp; Formulas'!B11+IF(AD211&gt;=1,(MAX(1,ROUND('Rules &amp; Formulas'!B18*(1+0.3*AE211)*(1+0.4*AF211),0)))*(1000/'Rules &amp; Formulas'!B19)*MIN(0.95,'Rules &amp; Formulas'!B20*SQRT(1+0.55*(AG211&gt;=1))),0))))&lt;='Rules &amp; Formulas'!B12),"WIN","LOSE"),"")</f>
        <v/>
      </c>
      <c r="Y212" s="7">
        <f>IF(B212="Go AFK",MIN(IF(B212="Go AFK",IF(D212="",0,D212),0),Z211/60),"")</f>
        <v/>
      </c>
      <c r="Z212" s="7">
        <f>('Rules &amp; Formulas'!B13+30*AI212)</f>
        <v/>
      </c>
      <c r="AA212">
        <f>COUNTIFS($B$3:$B212,"Buy upgrade",$C$3:$C212,"Idle Power")</f>
        <v/>
      </c>
      <c r="AB212">
        <f>COUNTIFS($B$3:$B212,"Buy upgrade",$C$3:$C212,"Iron Blade")</f>
        <v/>
      </c>
      <c r="AC212">
        <f>COUNTIFS($B$3:$B212,"Buy upgrade",$C$3:$C212,"Steel Blade")</f>
        <v/>
      </c>
      <c r="AD212">
        <f>COUNTIFS($B$3:$B212,"Hire hunter",$C$3:$C212,"Briar")+COUNTIFS($B$3:$B212,"Buy upgrade",$C$3:$C212,"Hire Briar")</f>
        <v/>
      </c>
      <c r="AE212">
        <f>COUNTIFS($B$3:$B212,"Buy upgrade",$C$3:$C212,"Hunter Power")</f>
        <v/>
      </c>
      <c r="AF212">
        <f>COUNTIFS($B$3:$B212,"Buy upgrade",$C$3:$C212,"Bigger Hits")</f>
        <v/>
      </c>
      <c r="AG212">
        <f>COUNTIFS($B$3:$B212,"Buy upgrade",$C$3:$C212,"Swift Walk")</f>
        <v/>
      </c>
      <c r="AH212">
        <f>COUNTIFS($B$3:$B212,"Buy upgrade",$C$3:$C212,"Loot Luck")</f>
        <v/>
      </c>
      <c r="AI212">
        <f>COUNTIFS($B$3:$B212,"Buy upgrade",$C$3:$C212,"Offline Cap")</f>
        <v/>
      </c>
      <c r="AJ212">
        <f>COUNTIFS($B$3:$B212,"Buy upgrade",$C$3:$C212,"Bigger Food Stock")</f>
        <v/>
      </c>
      <c r="AK212">
        <f>COUNTIFS($B$3:$B212,"Buy upgrade",$C$3:$C212,"Food Efficiency")</f>
        <v/>
      </c>
    </row>
    <row r="213">
      <c r="A213" t="n">
        <v>211</v>
      </c>
      <c r="B213" s="6" t="n"/>
      <c r="C213" s="6" t="n"/>
      <c r="D213" s="6" t="n"/>
      <c r="E213" s="7">
        <f>IF(B213="","",IF(OR(B213="Hunt",B213="Go AFK"),IF(C213="","Can't","OK"),IF(B213="Fight boss",IF(I212&lt;IF((IFERROR(VLOOKUP(C213,Monsters!$T$4:$AH$15,15,FALSE),0))=0,120,IFERROR(VLOOKUP(C213,Monsters!$T$4:$AH$15,15,FALSE),0)),"Can't","OK"),IF(B213="Hire hunter",IF(AND(C213="Briar",AD212&gt;=1),"Can't",IF(H212&lt;IF(C213="Briar",140,IF(C213="Quill",3650,IF(C213="Moss",4850,IF(C213="Ember",12200,0)))),"Can't","OK")),IF(OR(B213="Buy upgrade",B213="Forge/Scrapwork buy"),IF(IFERROR(VLOOKUP(C213,Upgrades!$N$4:$T$47,2,FALSE),0)="points","Can't",IF(IFERROR(VLOOKUP(C213,Upgrades!$N$4:$T$47,2,FALSE),0)="gold",IF(H212&lt;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buy",$C$3:$C212,C213))),1),0),"Can't","OK"),IF(IFERROR(VLOOKUP(C213,Upgrades!$N$4:$T$47,2,FALSE),0)="scraps",IF(J212&lt;IFERROR(FLOOR(IFERROR(VLOOKUP(C213,Upgrades!$N$4:$T$47,3,FALSE),0)*(IFERROR(VLOOKUP(C213,Upgrades!$N$4:$T$47,4,FALSE),0)^(COUNTIFS($B$3:$B212,"Buy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buy",$C$3:$C212,C213))),1),0),"Can't","OK"),IF(IFERROR(VLOOKUP(C213,Upgrades!$N$4:$T$47,2,FALSE),0)="mats","Can't","OK")))),"Check")))))</f>
        <v/>
      </c>
      <c r="F213" s="7">
        <f>IF(B213="","",IF(AND(B213="Fight boss",I212&lt;IF((IFERROR(VLOOKUP(C213,Monsters!$T$4:$AH$15,15,FALSE),0))=0,120,IFERROR(VLOOKUP(C213,Monsters!$T$4:$AH$15,15,FALSE),0))),"Can't — need "&amp;TEXT(IF((IFERROR(VLOOKUP(C213,Monsters!$T$4:$AH$15,15,FALSE),0))=0,120,IFERROR(VLOOKUP(C213,Monsters!$T$4:$AH$15,15,FALSE),0))-I212,"0.0")&amp;" more Slayer points on the meter",IF(AND(B213="Hire hunter",C213="Briar",AD212&gt;=1),"Can't — already hired",IF(AND(B213="Hire hunter",H212&lt;IF(C213="Briar",140,IF(C213="Quill",3650,IF(C213="Moss",4850,IF(C213="Ember",12200,0))))),"Can't — need "&amp;TEXT(IF(C213="Briar",140,IF(C213="Quill",3650,IF(C213="Moss",4850,IF(C213="Ember",12200,0))))-H212,"0")&amp;" more gold",IF(AND(OR(B213="Buy upgrade",B213="Forge/Scrapwork buy"),IFERROR(VLOOKUP(C213,Upgrades!$N$4:$T$47,2,FALSE),0)="points"),"Can't — Sp-wallet spends not tracked here",IF(AND(OR(B213="Buy upgrade",B213="Forge/Scrapwork buy"),IFERROR(VLOOKUP(C213,Upgrades!$N$4:$T$47,2,FALSE),0)="gold",H212&lt;IFERROR(FLOOR(IFERROR(VLOOKUP(C213,Upgrades!$N$4:$T$47,3,FALSE),0)*(IFERROR(VLOOKUP(C213,Upgrades!$N$4:$T$47,4,FALSE),0)^(COUNTIFS($B$3:$B212,"Buy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buy",$C$3:$C212,C213))),1),0)),"Can't — need "&amp;TEXT(IFERROR(FLOOR(IFERROR(VLOOKUP(C213,Upgrades!$N$4:$T$47,3,FALSE),0)*(IFERROR(VLOOKUP(C213,Upgrades!$N$4:$T$47,4,FALSE),0)^(COUNTIFS($B$3:$B212,"Buy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buy",$C$3:$C212,C213))),1),0)-H212,"0")&amp;" more gold",IF(AND(OR(B213="Buy upgrade",B213="Forge/Scrapwork buy"),IFERROR(VLOOKUP(C213,Upgrades!$N$4:$T$47,2,FALSE),0)="scraps",J212&lt;IFERROR(FLOOR(IFERROR(VLOOKUP(C213,Upgrades!$N$4:$T$47,3,FALSE),0)*(IFERROR(VLOOKUP(C213,Upgrades!$N$4:$T$47,4,FALSE),0)^(COUNTIFS($B$3:$B212,"Buy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buy",$C$3:$C212,C213))),1),0)),"Can't — need "&amp;TEXT(IFERROR(FLOOR(IFERROR(VLOOKUP(C213,Upgrades!$N$4:$T$47,3,FALSE),0)*(IFERROR(VLOOKUP(C213,Upgrades!$N$4:$T$47,4,FALSE),0)^(COUNTIFS($B$3:$B212,"Buy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buy",$C$3:$C212,C213))),1),0)-J212,"0")&amp;" more scraps",IF(AND(B213="Fight boss",E213="OK",(IF((((105/'Rules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Formulas'!B12)),"WIN — boss down, next Level unlocks",IF(AND(B213="Fight boss",E213="OK"),"LOSE — TTK "&amp;TEXT(IF((((105/'Rules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Formulas'!B20*SQRT(1+0.55*(AG212&gt;=1))),0)))),"0")&amp;"s &gt; patience "&amp;TEXT('Rules &amp; Formulas'!B12,"0")&amp;"s (leave resets HP)",IF(B213="Go AFK","AFK resolved (see AFK counted h)","Applied")))))))))</f>
        <v/>
      </c>
      <c r="G213" s="7">
        <f>IF(AND((E213="OK"),B213="Fight boss",(IF((((105/'Rules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Formulas'!B12),C213="Elder Thornpelt"),2,IF(AND((E213="OK"),B213="Fight boss",(IF((((105/'Rules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Formulas'!B12),C213="Ashfang Alpha"),3,G212))</f>
        <v/>
      </c>
      <c r="H213" s="7">
        <f>MAX(0,H212+IF(AND((E213="OK"),B213="Hunt"),(IF(B213="Hunt",(('Rules &amp; Formulas'!B4*N212*('Rules &amp; Formulas'!B5+O212)*IFERROR(VLOOKUP(C213,Monsters!$T$4:$AH$15,10,FALSE),0)*IFERROR(VLOOKUP(C213,Monsters!$T$4:$AH$15,9,FALSE),0))*'Rules &amp; Formulas'!B6)*IF(D213="",0,D213),0))*(IFERROR(VLOOKUP(C213,Monsters!$T$4:$AH$15,3,FALSE),0))*(1+0.1*AH212)+(IF(OR(B213&lt;&gt;"Hunt",IFERROR(VLOOKUP(C213,Monsters!$T$4:$AH$15,6,FALSE),0)=0),0,FLOOR((IF(B213="Hunt",(('Rules &amp; Formulas'!B4*N212*('Rules &amp; Formulas'!B5+O212)*IFERROR(VLOOKUP(C213,Monsters!$T$4:$AH$15,10,FALSE),0)*IFERROR(VLOOKUP(C213,Monsters!$T$4:$AH$15,9,FALSE),0))*'Rules &amp; Formulas'!B6)*IF(D213="",0,D213),0))/MAX(1,IFERROR(VLOOKUP(C213,Monsters!$T$4:$AH$15,6,FALSE),0)),1)))*(IFERROR(VLOOKUP(C213,Monsters!$T$4:$AH$15,7,FALSE),0))*0.5*(1+0.1*AH212),0)+IF(AND((E213="OK"),B213="Go AFK"),(IF(B213="Go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AFK",IF(D213="",0,D213),0),Z212/60)*60)),0))*(IFERROR(VLOOKUP(C213,Monsters!$T$4:$AH$15,3,FALSE),0))*(1+0.1*AH212)+(IF(OR(B213&lt;&gt;"Go AFK",IFERROR(VLOOKUP(C213,Monsters!$T$4:$AH$15,6,FALSE),0)=0),0,FLOOR((IF(B213="Go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AFK",IF(D213="",0,D213),0),Z212/60)*60)),0))/MAX(1,IFERROR(VLOOKUP(C213,Monsters!$T$4:$AH$15,6,FALSE),0)),1)))*(IFERROR(VLOOKUP(C213,Monsters!$T$4:$AH$15,7,FALSE),0))*0.5*(1+0.1*AH212),0)+IF(AND((E213="OK"),B213="Fight boss",(IF((((105/'Rules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Formulas'!B12)),IFERROR(VLOOKUP(C213,Monsters!$T$4:$AH$15,3,FALSE),0),0)-IF(AND((E213="OK"),OR(B213="Buy upgrade",B213="Forge/Scrapwork buy"),IFERROR(VLOOKUP(C213,Upgrades!$N$4:$T$47,2,FALSE),0)="gold"),IFERROR(FLOOR(IFERROR(VLOOKUP(C213,Upgrades!$N$4:$T$47,3,FALSE),0)*(IFERROR(VLOOKUP(C213,Upgrades!$N$4:$T$47,4,FALSE),0)^(COUNTIFS($B$3:$B212,"Buy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buy",$C$3:$C212,C213))),1),0),0)-IF(AND((E213="OK"),B213="Hire hunter"),IF(C213="Briar",140,IF(C213="Quill",3650,IF(C213="Moss",4850,IF(C213="Ember",12200,0)))),0))</f>
        <v/>
      </c>
      <c r="I213" s="7">
        <f>IF(AND((E213="OK"),B213="Fight boss",(IF((((105/'Rules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Formulas'!B12)),0,MIN(IF(G212&lt;=1,120,IF(G212=2,280,600)),I212+IF(AND((E213="OK"),B213="Hunt"),((IF(B213="Hunt",(('Rules &amp; Formulas'!B4*N212*('Rules &amp; Formulas'!B5+O212)*IFERROR(VLOOKUP(C213,Monsters!$T$4:$AH$15,10,FALSE),0)*IFERROR(VLOOKUP(C213,Monsters!$T$4:$AH$15,9,FALSE),0))*'Rules &amp; Formulas'!B6)*IF(D213="",0,D213),0))*(IFERROR(VLOOKUP(C213,Monsters!$T$4:$AH$15,4,FALSE),0))+(IF(OR(B213&lt;&gt;"Hunt",IFERROR(VLOOKUP(C213,Monsters!$T$4:$AH$15,6,FALSE),0)=0),0,FLOOR((IF(B213="Hunt",(('Rules &amp; Formulas'!B4*N212*('Rules &amp; Formulas'!B5+O212)*IFERROR(VLOOKUP(C213,Monsters!$T$4:$AH$15,10,FALSE),0)*IFERROR(VLOOKUP(C213,Monsters!$T$4:$AH$15,9,FALSE),0))*'Rules &amp; Formulas'!B6)*IF(D213="",0,D213),0))/MAX(1,IFERROR(VLOOKUP(C213,Monsters!$T$4:$AH$15,6,FALSE),0)),1)))*(IFERROR(VLOOKUP(C213,Monsters!$T$4:$AH$15,7,FALSE),0))),0)+IF(AND((E213="OK"),B213="Go AFK"),((IF(B213="Go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AFK",IF(D213="",0,D213),0),Z212/60)*60)),0))*(IFERROR(VLOOKUP(C213,Monsters!$T$4:$AH$15,4,FALSE),0))+(IF(OR(B213&lt;&gt;"Go AFK",IFERROR(VLOOKUP(C213,Monsters!$T$4:$AH$15,6,FALSE),0)=0),0,FLOOR((IF(B213="Go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AFK",IF(D213="",0,D213),0),Z212/60)*60)),0))/MAX(1,IFERROR(VLOOKUP(C213,Monsters!$T$4:$AH$15,6,FALSE),0)),1)))*(IFERROR(VLOOKUP(C213,Monsters!$T$4:$AH$15,7,FALSE),0))),0)))</f>
        <v/>
      </c>
      <c r="J213" s="7">
        <f>MAX(0,J212+IF(AND((E213="OK"),B213="Hunt"),(IF(B213="Hunt",(('Rules &amp; Formulas'!B4*N212*('Rules &amp; Formulas'!B5+O212)*IFERROR(VLOOKUP(C213,Monsters!$T$4:$AH$15,10,FALSE),0)*IFERROR(VLOOKUP(C213,Monsters!$T$4:$AH$15,9,FALSE),0))*'Rules &amp; Formulas'!B6)*IF(D213="",0,D213),0))*(IFERROR(VLOOKUP(C213,Monsters!$T$4:$AH$15,5,FALSE),0)),0)+IF(AND((E213="OK"),B213="Go AFK"),(IF(B213="Go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AFK",IF(D213="",0,D213),0),Z212/60)*60)),0))*(IFERROR(VLOOKUP(C213,Monsters!$T$4:$AH$15,5,FALSE),0)),0)-IF(AND((E213="OK"),OR(B213="Buy upgrade",B213="Forge/Scrapwork buy"),IFERROR(VLOOKUP(C213,Upgrades!$N$4:$T$47,2,FALSE),0)="scraps"),IFERROR(FLOOR(IFERROR(VLOOKUP(C213,Upgrades!$N$4:$T$47,3,FALSE),0)*(IFERROR(VLOOKUP(C213,Upgrades!$N$4:$T$47,4,FALSE),0)^(COUNTIFS($B$3:$B212,"Buy upgrade",$C$3:$C212,C213)+COUNTIFS($B$3:$B212,"Hire hunter",$C$3:$C212,C213)+COUNTIFS($B$3:$B212,"Forge/Scrapwork buy",$C$3:$C212,C213))),1),0),0))</f>
        <v/>
      </c>
      <c r="K213" s="7">
        <f>MAX(0,K212+IF(AND((E213="OK"),B213="Hunt"),IF(C213="Thornpelt Bear",(IF(B213="Hunt",(('Rules &amp; Formulas'!B4*N212*('Rules &amp; Formulas'!B5+O212)*IFERROR(VLOOKUP(C213,Monsters!$T$4:$AH$15,10,FALSE),0)*IFERROR(VLOOKUP(C213,Monsters!$T$4:$AH$15,9,FALSE),0))*'Rules &amp; Formulas'!B6)*IF(D213="",0,D213),0))*0.12,0),0)+IF(AND((E213="OK"),B213="Go AFK"),IF(C213="Thornpelt Bear",(IF(B213="Go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AFK",IF(D213="",0,D213),0),Z212/60)*60)),0))*0.12,0),0))</f>
        <v/>
      </c>
      <c r="L213" s="7">
        <f>MAX(0,L212+IF(AND((E213="OK"),B213="Hunt"),IF(C213="Dire Thornpelt",(IF(B213="Hunt",(('Rules &amp; Formulas'!B4*N212*('Rules &amp; Formulas'!B5+O212)*IFERROR(VLOOKUP(C213,Monsters!$T$4:$AH$15,10,FALSE),0)*IFERROR(VLOOKUP(C213,Monsters!$T$4:$AH$15,9,FALSE),0))*'Rules &amp; Formulas'!B6)*IF(D213="",0,D213),0))*0.1,0),0)+IF(AND((E213="OK"),B213="Go AFK"),IF(C213="Dire Thornpelt",(IF(B213="Go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AFK",IF(D213="",0,D213),0),Z212/60)*60)),0))*0.1,0),0))</f>
        <v/>
      </c>
      <c r="M213" s="7">
        <f>IF(AND((E213="OK"),B213="Go AFK"),MAX(0,MIN(('Rules &amp; Formulas'!B15+25*AJ212),M212+('Rules &amp; Formulas'!B14+0.4*AJ212)*(MIN(IF(B213="Go AFK",IF(D213="",0,D213),0),Z212/60)*60))-(IF(B213="Go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AFK",IF(D213="",0,D213),0),Z212/60)*60)),0))*(IF((IFERROR(VLOOKUP(C213,Monsters!$T$4:$AH$15,8,FALSE),0))=0,0.35,IFERROR(VLOOKUP(C213,Monsters!$T$4:$AH$15,8,FALSE),0))/(1+0.08*AK212))),MIN(('Rules &amp; Formulas'!B15+25*AJ213),M212))</f>
        <v/>
      </c>
      <c r="N213" s="7">
        <f>(1+0.08+0.12*AA213+0.12*AB213+0.16*AC213)</f>
        <v/>
      </c>
      <c r="O213" s="7">
        <f>((AD213&gt;=1)*1*(1+0.3*AE213))</f>
        <v/>
      </c>
      <c r="P213" s="7">
        <f>IF(OR(B213="Hunt",B213="Go AFK"),(('Rules &amp; Formulas'!B4*N212*('Rules &amp; Formulas'!B5+O212)*IFERROR(VLOOKUP(C213,Monsters!$T$4:$AH$15,10,FALSE),0)*IFERROR(VLOOKUP(C213,Monsters!$T$4:$AH$15,9,FALSE),0))*'Rules &amp; Formulas'!B6),"")</f>
        <v/>
      </c>
      <c r="Q213" s="7">
        <f>IF(OR(B213="Hunt",B213="Go AFK"),('Rules &amp; Formulas'!B4*N212*('Rules &amp; Formulas'!B5+O212)*IFERROR(VLOOKUP(C213,Monsters!$T$4:$AH$15,10,FALSE),0)*IFERROR(VLOOKUP(C213,Monsters!$T$4:$AH$15,9,FALSE),0)),"")</f>
        <v/>
      </c>
      <c r="R213" s="7">
        <f>IF(AND((E213="OK"),B213="Hunt"),IF(B213="Hunt",(('Rules &amp; Formulas'!B4*N212*('Rules &amp; Formulas'!B5+O212)*IFERROR(VLOOKUP(C213,Monsters!$T$4:$AH$15,10,FALSE),0)*IFERROR(VLOOKUP(C213,Monsters!$T$4:$AH$15,9,FALSE),0))*'Rules &amp; Formulas'!B6)*IF(D213="",0,D213),0),IF(AND((E213="OK"),B213="Go AFK"),IF(B213="Go AFK",MIN(IF((IF((IFERROR(VLOOKUP(C213,Monsters!$T$4:$AH$15,8,FALSE),0))=0,0.35,IFERROR(VLOOKUP(C213,Monsters!$T$4:$AH$15,8,FALSE),0))/(1+0.08*AK212))&lt;=0,999999,FLOOR(MIN(('Rules &amp; Formulas'!B15+25*AJ212),M212+('Rules &amp; Formulas'!B14+0.4*AJ212)*(MIN(IF(B213="Go AFK",IF(D213="",0,D213),0),Z212/60)*60))/(IF((IFERROR(VLOOKUP(C213,Monsters!$T$4:$AH$15,8,FALSE),0))=0,0.35,IFERROR(VLOOKUP(C213,Monsters!$T$4:$AH$15,8,FALSE),0))/(1+0.08*AK212)),1)),('Rules &amp; Formulas'!B4*N212*('Rules &amp; Formulas'!B5+O212)*IFERROR(VLOOKUP(C213,Monsters!$T$4:$AH$15,10,FALSE),0)*IFERROR(VLOOKUP(C213,Monsters!$T$4:$AH$15,9,FALSE),0))*(MIN(IF(B213="Go AFK",IF(D213="",0,D213),0),Z212/60)*60)),0),0))</f>
        <v/>
      </c>
      <c r="S213" s="7">
        <f>(105/'Rules &amp; Formulas'!B10)*'Rules &amp; Formulas'!B11</f>
        <v/>
      </c>
      <c r="T213" s="7">
        <f>IF(AD212&gt;=1,(MAX(1,ROUND('Rules &amp; Formulas'!B18*(1+0.3*AE212)*(1+0.4*AF212),0)))*(1000/'Rules &amp; Formulas'!B19)*MIN(0.95,'Rules &amp; Formulas'!B20*SQRT(1+0.55*(AG212&gt;=1))),0)</f>
        <v/>
      </c>
      <c r="U213" s="7">
        <f>S213+T213</f>
        <v/>
      </c>
      <c r="V213" s="7">
        <f>IF(I212&gt;=IF((IFERROR(VLOOKUP(C213,Monsters!$T$4:$AH$15,15,FALSE),0))=0,120,IFERROR(VLOOKUP(C213,Monsters!$T$4:$AH$15,15,FALSE),0)),"YES","no")</f>
        <v/>
      </c>
      <c r="W213" s="7">
        <f>IF(AND(B213="Fight boss",E213="OK"),IF((((105/'Rules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Formulas'!B20*SQRT(1+0.55*(AG212&gt;=1))),0)))),"")</f>
        <v/>
      </c>
      <c r="X213" s="7">
        <f>IF(AND(B213="Fight boss",E213="OK"),IF((IF((((105/'Rules &amp; Formulas'!B10)*'Rules &amp; Formulas'!B11+IF(AD212&gt;=1,(MAX(1,ROUND('Rules &amp; Formulas'!B18*(1+0.3*AE212)*(1+0.4*AF212),0)))*(1000/'Rules &amp; Formulas'!B19)*MIN(0.95,'Rules &amp; Formulas'!B20*SQRT(1+0.55*(AG212&gt;=1))),0)))&lt;=0,9999,(IFERROR(VLOOKUP(C213,Monsters!$T$4:$AH$15,2,FALSE),0))/(((105/'Rules &amp; Formulas'!B10)*'Rules &amp; Formulas'!B11+IF(AD212&gt;=1,(MAX(1,ROUND('Rules &amp; Formulas'!B18*(1+0.3*AE212)*(1+0.4*AF212),0)))*(1000/'Rules &amp; Formulas'!B19)*MIN(0.95,'Rules &amp; Formulas'!B20*SQRT(1+0.55*(AG212&gt;=1))),0))))&lt;='Rules &amp; Formulas'!B12),"WIN","LOSE"),"")</f>
        <v/>
      </c>
      <c r="Y213" s="7">
        <f>IF(B213="Go AFK",MIN(IF(B213="Go AFK",IF(D213="",0,D213),0),Z212/60),"")</f>
        <v/>
      </c>
      <c r="Z213" s="7">
        <f>('Rules &amp; Formulas'!B13+30*AI213)</f>
        <v/>
      </c>
      <c r="AA213">
        <f>COUNTIFS($B$3:$B213,"Buy upgrade",$C$3:$C213,"Idle Power")</f>
        <v/>
      </c>
      <c r="AB213">
        <f>COUNTIFS($B$3:$B213,"Buy upgrade",$C$3:$C213,"Iron Blade")</f>
        <v/>
      </c>
      <c r="AC213">
        <f>COUNTIFS($B$3:$B213,"Buy upgrade",$C$3:$C213,"Steel Blade")</f>
        <v/>
      </c>
      <c r="AD213">
        <f>COUNTIFS($B$3:$B213,"Hire hunter",$C$3:$C213,"Briar")+COUNTIFS($B$3:$B213,"Buy upgrade",$C$3:$C213,"Hire Briar")</f>
        <v/>
      </c>
      <c r="AE213">
        <f>COUNTIFS($B$3:$B213,"Buy upgrade",$C$3:$C213,"Hunter Power")</f>
        <v/>
      </c>
      <c r="AF213">
        <f>COUNTIFS($B$3:$B213,"Buy upgrade",$C$3:$C213,"Bigger Hits")</f>
        <v/>
      </c>
      <c r="AG213">
        <f>COUNTIFS($B$3:$B213,"Buy upgrade",$C$3:$C213,"Swift Walk")</f>
        <v/>
      </c>
      <c r="AH213">
        <f>COUNTIFS($B$3:$B213,"Buy upgrade",$C$3:$C213,"Loot Luck")</f>
        <v/>
      </c>
      <c r="AI213">
        <f>COUNTIFS($B$3:$B213,"Buy upgrade",$C$3:$C213,"Offline Cap")</f>
        <v/>
      </c>
      <c r="AJ213">
        <f>COUNTIFS($B$3:$B213,"Buy upgrade",$C$3:$C213,"Bigger Food Stock")</f>
        <v/>
      </c>
      <c r="AK213">
        <f>COUNTIFS($B$3:$B213,"Buy upgrade",$C$3:$C213,"Food Efficiency")</f>
        <v/>
      </c>
    </row>
    <row r="214">
      <c r="A214" t="n">
        <v>212</v>
      </c>
      <c r="B214" s="6" t="n"/>
      <c r="C214" s="6" t="n"/>
      <c r="D214" s="6" t="n"/>
      <c r="E214" s="7">
        <f>IF(B214="","",IF(OR(B214="Hunt",B214="Go AFK"),IF(C214="","Can't","OK"),IF(B214="Fight boss",IF(I213&lt;IF((IFERROR(VLOOKUP(C214,Monsters!$T$4:$AH$15,15,FALSE),0))=0,120,IFERROR(VLOOKUP(C214,Monsters!$T$4:$AH$15,15,FALSE),0)),"Can't","OK"),IF(B214="Hire hunter",IF(AND(C214="Briar",AD213&gt;=1),"Can't",IF(H213&lt;IF(C214="Briar",140,IF(C214="Quill",3650,IF(C214="Moss",4850,IF(C214="Ember",12200,0)))),"Can't","OK")),IF(OR(B214="Buy upgrade",B214="Forge/Scrapwork buy"),IF(IFERROR(VLOOKUP(C214,Upgrades!$N$4:$T$47,2,FALSE),0)="points","Can't",IF(IFERROR(VLOOKUP(C214,Upgrades!$N$4:$T$47,2,FALSE),0)="gold",IF(H213&lt;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buy",$C$3:$C213,C214))),1),0),"Can't","OK"),IF(IFERROR(VLOOKUP(C214,Upgrades!$N$4:$T$47,2,FALSE),0)="scraps",IF(J213&lt;IFERROR(FLOOR(IFERROR(VLOOKUP(C214,Upgrades!$N$4:$T$47,3,FALSE),0)*(IFERROR(VLOOKUP(C214,Upgrades!$N$4:$T$47,4,FALSE),0)^(COUNTIFS($B$3:$B213,"Buy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buy",$C$3:$C213,C214))),1),0),"Can't","OK"),IF(IFERROR(VLOOKUP(C214,Upgrades!$N$4:$T$47,2,FALSE),0)="mats","Can't","OK")))),"Check")))))</f>
        <v/>
      </c>
      <c r="F214" s="7">
        <f>IF(B214="","",IF(AND(B214="Fight boss",I213&lt;IF((IFERROR(VLOOKUP(C214,Monsters!$T$4:$AH$15,15,FALSE),0))=0,120,IFERROR(VLOOKUP(C214,Monsters!$T$4:$AH$15,15,FALSE),0))),"Can't — need "&amp;TEXT(IF((IFERROR(VLOOKUP(C214,Monsters!$T$4:$AH$15,15,FALSE),0))=0,120,IFERROR(VLOOKUP(C214,Monsters!$T$4:$AH$15,15,FALSE),0))-I213,"0.0")&amp;" more Slayer points on the meter",IF(AND(B214="Hire hunter",C214="Briar",AD213&gt;=1),"Can't — already hired",IF(AND(B214="Hire hunter",H213&lt;IF(C214="Briar",140,IF(C214="Quill",3650,IF(C214="Moss",4850,IF(C214="Ember",12200,0))))),"Can't — need "&amp;TEXT(IF(C214="Briar",140,IF(C214="Quill",3650,IF(C214="Moss",4850,IF(C214="Ember",12200,0))))-H213,"0")&amp;" more gold",IF(AND(OR(B214="Buy upgrade",B214="Forge/Scrapwork buy"),IFERROR(VLOOKUP(C214,Upgrades!$N$4:$T$47,2,FALSE),0)="points"),"Can't — Sp-wallet spends not tracked here",IF(AND(OR(B214="Buy upgrade",B214="Forge/Scrapwork buy"),IFERROR(VLOOKUP(C214,Upgrades!$N$4:$T$47,2,FALSE),0)="gold",H213&lt;IFERROR(FLOOR(IFERROR(VLOOKUP(C214,Upgrades!$N$4:$T$47,3,FALSE),0)*(IFERROR(VLOOKUP(C214,Upgrades!$N$4:$T$47,4,FALSE),0)^(COUNTIFS($B$3:$B213,"Buy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buy",$C$3:$C213,C214))),1),0)),"Can't — need "&amp;TEXT(IFERROR(FLOOR(IFERROR(VLOOKUP(C214,Upgrades!$N$4:$T$47,3,FALSE),0)*(IFERROR(VLOOKUP(C214,Upgrades!$N$4:$T$47,4,FALSE),0)^(COUNTIFS($B$3:$B213,"Buy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buy",$C$3:$C213,C214))),1),0)-H213,"0")&amp;" more gold",IF(AND(OR(B214="Buy upgrade",B214="Forge/Scrapwork buy"),IFERROR(VLOOKUP(C214,Upgrades!$N$4:$T$47,2,FALSE),0)="scraps",J213&lt;IFERROR(FLOOR(IFERROR(VLOOKUP(C214,Upgrades!$N$4:$T$47,3,FALSE),0)*(IFERROR(VLOOKUP(C214,Upgrades!$N$4:$T$47,4,FALSE),0)^(COUNTIFS($B$3:$B213,"Buy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buy",$C$3:$C213,C214))),1),0)),"Can't — need "&amp;TEXT(IFERROR(FLOOR(IFERROR(VLOOKUP(C214,Upgrades!$N$4:$T$47,3,FALSE),0)*(IFERROR(VLOOKUP(C214,Upgrades!$N$4:$T$47,4,FALSE),0)^(COUNTIFS($B$3:$B213,"Buy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buy",$C$3:$C213,C214))),1),0)-J213,"0")&amp;" more scraps",IF(AND(B214="Fight boss",E214="OK",(IF((((105/'Rules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Formulas'!B12)),"WIN — boss down, next Level unlocks",IF(AND(B214="Fight boss",E214="OK"),"LOSE — TTK "&amp;TEXT(IF((((105/'Rules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Formulas'!B20*SQRT(1+0.55*(AG213&gt;=1))),0)))),"0")&amp;"s &gt; patience "&amp;TEXT('Rules &amp; Formulas'!B12,"0")&amp;"s (leave resets HP)",IF(B214="Go AFK","AFK resolved (see AFK counted h)","Applied")))))))))</f>
        <v/>
      </c>
      <c r="G214" s="7">
        <f>IF(AND((E214="OK"),B214="Fight boss",(IF((((105/'Rules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Formulas'!B12),C214="Elder Thornpelt"),2,IF(AND((E214="OK"),B214="Fight boss",(IF((((105/'Rules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Formulas'!B12),C214="Ashfang Alpha"),3,G213))</f>
        <v/>
      </c>
      <c r="H214" s="7">
        <f>MAX(0,H213+IF(AND((E214="OK"),B214="Hunt"),(IF(B214="Hunt",(('Rules &amp; Formulas'!B4*N213*('Rules &amp; Formulas'!B5+O213)*IFERROR(VLOOKUP(C214,Monsters!$T$4:$AH$15,10,FALSE),0)*IFERROR(VLOOKUP(C214,Monsters!$T$4:$AH$15,9,FALSE),0))*'Rules &amp; Formulas'!B6)*IF(D214="",0,D214),0))*(IFERROR(VLOOKUP(C214,Monsters!$T$4:$AH$15,3,FALSE),0))*(1+0.1*AH213)+(IF(OR(B214&lt;&gt;"Hunt",IFERROR(VLOOKUP(C214,Monsters!$T$4:$AH$15,6,FALSE),0)=0),0,FLOOR((IF(B214="Hunt",(('Rules &amp; Formulas'!B4*N213*('Rules &amp; Formulas'!B5+O213)*IFERROR(VLOOKUP(C214,Monsters!$T$4:$AH$15,10,FALSE),0)*IFERROR(VLOOKUP(C214,Monsters!$T$4:$AH$15,9,FALSE),0))*'Rules &amp; Formulas'!B6)*IF(D214="",0,D214),0))/MAX(1,IFERROR(VLOOKUP(C214,Monsters!$T$4:$AH$15,6,FALSE),0)),1)))*(IFERROR(VLOOKUP(C214,Monsters!$T$4:$AH$15,7,FALSE),0))*0.5*(1+0.1*AH213),0)+IF(AND((E214="OK"),B214="Go AFK"),(IF(B214="Go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AFK",IF(D214="",0,D214),0),Z213/60)*60)),0))*(IFERROR(VLOOKUP(C214,Monsters!$T$4:$AH$15,3,FALSE),0))*(1+0.1*AH213)+(IF(OR(B214&lt;&gt;"Go AFK",IFERROR(VLOOKUP(C214,Monsters!$T$4:$AH$15,6,FALSE),0)=0),0,FLOOR((IF(B214="Go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AFK",IF(D214="",0,D214),0),Z213/60)*60)),0))/MAX(1,IFERROR(VLOOKUP(C214,Monsters!$T$4:$AH$15,6,FALSE),0)),1)))*(IFERROR(VLOOKUP(C214,Monsters!$T$4:$AH$15,7,FALSE),0))*0.5*(1+0.1*AH213),0)+IF(AND((E214="OK"),B214="Fight boss",(IF((((105/'Rules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Formulas'!B12)),IFERROR(VLOOKUP(C214,Monsters!$T$4:$AH$15,3,FALSE),0),0)-IF(AND((E214="OK"),OR(B214="Buy upgrade",B214="Forge/Scrapwork buy"),IFERROR(VLOOKUP(C214,Upgrades!$N$4:$T$47,2,FALSE),0)="gold"),IFERROR(FLOOR(IFERROR(VLOOKUP(C214,Upgrades!$N$4:$T$47,3,FALSE),0)*(IFERROR(VLOOKUP(C214,Upgrades!$N$4:$T$47,4,FALSE),0)^(COUNTIFS($B$3:$B213,"Buy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buy",$C$3:$C213,C214))),1),0),0)-IF(AND((E214="OK"),B214="Hire hunter"),IF(C214="Briar",140,IF(C214="Quill",3650,IF(C214="Moss",4850,IF(C214="Ember",12200,0)))),0))</f>
        <v/>
      </c>
      <c r="I214" s="7">
        <f>IF(AND((E214="OK"),B214="Fight boss",(IF((((105/'Rules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Formulas'!B12)),0,MIN(IF(G213&lt;=1,120,IF(G213=2,280,600)),I213+IF(AND((E214="OK"),B214="Hunt"),((IF(B214="Hunt",(('Rules &amp; Formulas'!B4*N213*('Rules &amp; Formulas'!B5+O213)*IFERROR(VLOOKUP(C214,Monsters!$T$4:$AH$15,10,FALSE),0)*IFERROR(VLOOKUP(C214,Monsters!$T$4:$AH$15,9,FALSE),0))*'Rules &amp; Formulas'!B6)*IF(D214="",0,D214),0))*(IFERROR(VLOOKUP(C214,Monsters!$T$4:$AH$15,4,FALSE),0))+(IF(OR(B214&lt;&gt;"Hunt",IFERROR(VLOOKUP(C214,Monsters!$T$4:$AH$15,6,FALSE),0)=0),0,FLOOR((IF(B214="Hunt",(('Rules &amp; Formulas'!B4*N213*('Rules &amp; Formulas'!B5+O213)*IFERROR(VLOOKUP(C214,Monsters!$T$4:$AH$15,10,FALSE),0)*IFERROR(VLOOKUP(C214,Monsters!$T$4:$AH$15,9,FALSE),0))*'Rules &amp; Formulas'!B6)*IF(D214="",0,D214),0))/MAX(1,IFERROR(VLOOKUP(C214,Monsters!$T$4:$AH$15,6,FALSE),0)),1)))*(IFERROR(VLOOKUP(C214,Monsters!$T$4:$AH$15,7,FALSE),0))),0)+IF(AND((E214="OK"),B214="Go AFK"),((IF(B214="Go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AFK",IF(D214="",0,D214),0),Z213/60)*60)),0))*(IFERROR(VLOOKUP(C214,Monsters!$T$4:$AH$15,4,FALSE),0))+(IF(OR(B214&lt;&gt;"Go AFK",IFERROR(VLOOKUP(C214,Monsters!$T$4:$AH$15,6,FALSE),0)=0),0,FLOOR((IF(B214="Go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AFK",IF(D214="",0,D214),0),Z213/60)*60)),0))/MAX(1,IFERROR(VLOOKUP(C214,Monsters!$T$4:$AH$15,6,FALSE),0)),1)))*(IFERROR(VLOOKUP(C214,Monsters!$T$4:$AH$15,7,FALSE),0))),0)))</f>
        <v/>
      </c>
      <c r="J214" s="7">
        <f>MAX(0,J213+IF(AND((E214="OK"),B214="Hunt"),(IF(B214="Hunt",(('Rules &amp; Formulas'!B4*N213*('Rules &amp; Formulas'!B5+O213)*IFERROR(VLOOKUP(C214,Monsters!$T$4:$AH$15,10,FALSE),0)*IFERROR(VLOOKUP(C214,Monsters!$T$4:$AH$15,9,FALSE),0))*'Rules &amp; Formulas'!B6)*IF(D214="",0,D214),0))*(IFERROR(VLOOKUP(C214,Monsters!$T$4:$AH$15,5,FALSE),0)),0)+IF(AND((E214="OK"),B214="Go AFK"),(IF(B214="Go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AFK",IF(D214="",0,D214),0),Z213/60)*60)),0))*(IFERROR(VLOOKUP(C214,Monsters!$T$4:$AH$15,5,FALSE),0)),0)-IF(AND((E214="OK"),OR(B214="Buy upgrade",B214="Forge/Scrapwork buy"),IFERROR(VLOOKUP(C214,Upgrades!$N$4:$T$47,2,FALSE),0)="scraps"),IFERROR(FLOOR(IFERROR(VLOOKUP(C214,Upgrades!$N$4:$T$47,3,FALSE),0)*(IFERROR(VLOOKUP(C214,Upgrades!$N$4:$T$47,4,FALSE),0)^(COUNTIFS($B$3:$B213,"Buy upgrade",$C$3:$C213,C214)+COUNTIFS($B$3:$B213,"Hire hunter",$C$3:$C213,C214)+COUNTIFS($B$3:$B213,"Forge/Scrapwork buy",$C$3:$C213,C214))),1),0),0))</f>
        <v/>
      </c>
      <c r="K214" s="7">
        <f>MAX(0,K213+IF(AND((E214="OK"),B214="Hunt"),IF(C214="Thornpelt Bear",(IF(B214="Hunt",(('Rules &amp; Formulas'!B4*N213*('Rules &amp; Formulas'!B5+O213)*IFERROR(VLOOKUP(C214,Monsters!$T$4:$AH$15,10,FALSE),0)*IFERROR(VLOOKUP(C214,Monsters!$T$4:$AH$15,9,FALSE),0))*'Rules &amp; Formulas'!B6)*IF(D214="",0,D214),0))*0.12,0),0)+IF(AND((E214="OK"),B214="Go AFK"),IF(C214="Thornpelt Bear",(IF(B214="Go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AFK",IF(D214="",0,D214),0),Z213/60)*60)),0))*0.12,0),0))</f>
        <v/>
      </c>
      <c r="L214" s="7">
        <f>MAX(0,L213+IF(AND((E214="OK"),B214="Hunt"),IF(C214="Dire Thornpelt",(IF(B214="Hunt",(('Rules &amp; Formulas'!B4*N213*('Rules &amp; Formulas'!B5+O213)*IFERROR(VLOOKUP(C214,Monsters!$T$4:$AH$15,10,FALSE),0)*IFERROR(VLOOKUP(C214,Monsters!$T$4:$AH$15,9,FALSE),0))*'Rules &amp; Formulas'!B6)*IF(D214="",0,D214),0))*0.1,0),0)+IF(AND((E214="OK"),B214="Go AFK"),IF(C214="Dire Thornpelt",(IF(B214="Go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AFK",IF(D214="",0,D214),0),Z213/60)*60)),0))*0.1,0),0))</f>
        <v/>
      </c>
      <c r="M214" s="7">
        <f>IF(AND((E214="OK"),B214="Go AFK"),MAX(0,MIN(('Rules &amp; Formulas'!B15+25*AJ213),M213+('Rules &amp; Formulas'!B14+0.4*AJ213)*(MIN(IF(B214="Go AFK",IF(D214="",0,D214),0),Z213/60)*60))-(IF(B214="Go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AFK",IF(D214="",0,D214),0),Z213/60)*60)),0))*(IF((IFERROR(VLOOKUP(C214,Monsters!$T$4:$AH$15,8,FALSE),0))=0,0.35,IFERROR(VLOOKUP(C214,Monsters!$T$4:$AH$15,8,FALSE),0))/(1+0.08*AK213))),MIN(('Rules &amp; Formulas'!B15+25*AJ214),M213))</f>
        <v/>
      </c>
      <c r="N214" s="7">
        <f>(1+0.08+0.12*AA214+0.12*AB214+0.16*AC214)</f>
        <v/>
      </c>
      <c r="O214" s="7">
        <f>((AD214&gt;=1)*1*(1+0.3*AE214))</f>
        <v/>
      </c>
      <c r="P214" s="7">
        <f>IF(OR(B214="Hunt",B214="Go AFK"),(('Rules &amp; Formulas'!B4*N213*('Rules &amp; Formulas'!B5+O213)*IFERROR(VLOOKUP(C214,Monsters!$T$4:$AH$15,10,FALSE),0)*IFERROR(VLOOKUP(C214,Monsters!$T$4:$AH$15,9,FALSE),0))*'Rules &amp; Formulas'!B6),"")</f>
        <v/>
      </c>
      <c r="Q214" s="7">
        <f>IF(OR(B214="Hunt",B214="Go AFK"),('Rules &amp; Formulas'!B4*N213*('Rules &amp; Formulas'!B5+O213)*IFERROR(VLOOKUP(C214,Monsters!$T$4:$AH$15,10,FALSE),0)*IFERROR(VLOOKUP(C214,Monsters!$T$4:$AH$15,9,FALSE),0)),"")</f>
        <v/>
      </c>
      <c r="R214" s="7">
        <f>IF(AND((E214="OK"),B214="Hunt"),IF(B214="Hunt",(('Rules &amp; Formulas'!B4*N213*('Rules &amp; Formulas'!B5+O213)*IFERROR(VLOOKUP(C214,Monsters!$T$4:$AH$15,10,FALSE),0)*IFERROR(VLOOKUP(C214,Monsters!$T$4:$AH$15,9,FALSE),0))*'Rules &amp; Formulas'!B6)*IF(D214="",0,D214),0),IF(AND((E214="OK"),B214="Go AFK"),IF(B214="Go AFK",MIN(IF((IF((IFERROR(VLOOKUP(C214,Monsters!$T$4:$AH$15,8,FALSE),0))=0,0.35,IFERROR(VLOOKUP(C214,Monsters!$T$4:$AH$15,8,FALSE),0))/(1+0.08*AK213))&lt;=0,999999,FLOOR(MIN(('Rules &amp; Formulas'!B15+25*AJ213),M213+('Rules &amp; Formulas'!B14+0.4*AJ213)*(MIN(IF(B214="Go AFK",IF(D214="",0,D214),0),Z213/60)*60))/(IF((IFERROR(VLOOKUP(C214,Monsters!$T$4:$AH$15,8,FALSE),0))=0,0.35,IFERROR(VLOOKUP(C214,Monsters!$T$4:$AH$15,8,FALSE),0))/(1+0.08*AK213)),1)),('Rules &amp; Formulas'!B4*N213*('Rules &amp; Formulas'!B5+O213)*IFERROR(VLOOKUP(C214,Monsters!$T$4:$AH$15,10,FALSE),0)*IFERROR(VLOOKUP(C214,Monsters!$T$4:$AH$15,9,FALSE),0))*(MIN(IF(B214="Go AFK",IF(D214="",0,D214),0),Z213/60)*60)),0),0))</f>
        <v/>
      </c>
      <c r="S214" s="7">
        <f>(105/'Rules &amp; Formulas'!B10)*'Rules &amp; Formulas'!B11</f>
        <v/>
      </c>
      <c r="T214" s="7">
        <f>IF(AD213&gt;=1,(MAX(1,ROUND('Rules &amp; Formulas'!B18*(1+0.3*AE213)*(1+0.4*AF213),0)))*(1000/'Rules &amp; Formulas'!B19)*MIN(0.95,'Rules &amp; Formulas'!B20*SQRT(1+0.55*(AG213&gt;=1))),0)</f>
        <v/>
      </c>
      <c r="U214" s="7">
        <f>S214+T214</f>
        <v/>
      </c>
      <c r="V214" s="7">
        <f>IF(I213&gt;=IF((IFERROR(VLOOKUP(C214,Monsters!$T$4:$AH$15,15,FALSE),0))=0,120,IFERROR(VLOOKUP(C214,Monsters!$T$4:$AH$15,15,FALSE),0)),"YES","no")</f>
        <v/>
      </c>
      <c r="W214" s="7">
        <f>IF(AND(B214="Fight boss",E214="OK"),IF((((105/'Rules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Formulas'!B20*SQRT(1+0.55*(AG213&gt;=1))),0)))),"")</f>
        <v/>
      </c>
      <c r="X214" s="7">
        <f>IF(AND(B214="Fight boss",E214="OK"),IF((IF((((105/'Rules &amp; Formulas'!B10)*'Rules &amp; Formulas'!B11+IF(AD213&gt;=1,(MAX(1,ROUND('Rules &amp; Formulas'!B18*(1+0.3*AE213)*(1+0.4*AF213),0)))*(1000/'Rules &amp; Formulas'!B19)*MIN(0.95,'Rules &amp; Formulas'!B20*SQRT(1+0.55*(AG213&gt;=1))),0)))&lt;=0,9999,(IFERROR(VLOOKUP(C214,Monsters!$T$4:$AH$15,2,FALSE),0))/(((105/'Rules &amp; Formulas'!B10)*'Rules &amp; Formulas'!B11+IF(AD213&gt;=1,(MAX(1,ROUND('Rules &amp; Formulas'!B18*(1+0.3*AE213)*(1+0.4*AF213),0)))*(1000/'Rules &amp; Formulas'!B19)*MIN(0.95,'Rules &amp; Formulas'!B20*SQRT(1+0.55*(AG213&gt;=1))),0))))&lt;='Rules &amp; Formulas'!B12),"WIN","LOSE"),"")</f>
        <v/>
      </c>
      <c r="Y214" s="7">
        <f>IF(B214="Go AFK",MIN(IF(B214="Go AFK",IF(D214="",0,D214),0),Z213/60),"")</f>
        <v/>
      </c>
      <c r="Z214" s="7">
        <f>('Rules &amp; Formulas'!B13+30*AI214)</f>
        <v/>
      </c>
      <c r="AA214">
        <f>COUNTIFS($B$3:$B214,"Buy upgrade",$C$3:$C214,"Idle Power")</f>
        <v/>
      </c>
      <c r="AB214">
        <f>COUNTIFS($B$3:$B214,"Buy upgrade",$C$3:$C214,"Iron Blade")</f>
        <v/>
      </c>
      <c r="AC214">
        <f>COUNTIFS($B$3:$B214,"Buy upgrade",$C$3:$C214,"Steel Blade")</f>
        <v/>
      </c>
      <c r="AD214">
        <f>COUNTIFS($B$3:$B214,"Hire hunter",$C$3:$C214,"Briar")+COUNTIFS($B$3:$B214,"Buy upgrade",$C$3:$C214,"Hire Briar")</f>
        <v/>
      </c>
      <c r="AE214">
        <f>COUNTIFS($B$3:$B214,"Buy upgrade",$C$3:$C214,"Hunter Power")</f>
        <v/>
      </c>
      <c r="AF214">
        <f>COUNTIFS($B$3:$B214,"Buy upgrade",$C$3:$C214,"Bigger Hits")</f>
        <v/>
      </c>
      <c r="AG214">
        <f>COUNTIFS($B$3:$B214,"Buy upgrade",$C$3:$C214,"Swift Walk")</f>
        <v/>
      </c>
      <c r="AH214">
        <f>COUNTIFS($B$3:$B214,"Buy upgrade",$C$3:$C214,"Loot Luck")</f>
        <v/>
      </c>
      <c r="AI214">
        <f>COUNTIFS($B$3:$B214,"Buy upgrade",$C$3:$C214,"Offline Cap")</f>
        <v/>
      </c>
      <c r="AJ214">
        <f>COUNTIFS($B$3:$B214,"Buy upgrade",$C$3:$C214,"Bigger Food Stock")</f>
        <v/>
      </c>
      <c r="AK214">
        <f>COUNTIFS($B$3:$B214,"Buy upgrade",$C$3:$C214,"Food Efficiency")</f>
        <v/>
      </c>
    </row>
    <row r="215">
      <c r="A215" t="n">
        <v>213</v>
      </c>
      <c r="B215" s="6" t="n"/>
      <c r="C215" s="6" t="n"/>
      <c r="D215" s="6" t="n"/>
      <c r="E215" s="7">
        <f>IF(B215="","",IF(OR(B215="Hunt",B215="Go AFK"),IF(C215="","Can't","OK"),IF(B215="Fight boss",IF(I214&lt;IF((IFERROR(VLOOKUP(C215,Monsters!$T$4:$AH$15,15,FALSE),0))=0,120,IFERROR(VLOOKUP(C215,Monsters!$T$4:$AH$15,15,FALSE),0)),"Can't","OK"),IF(B215="Hire hunter",IF(AND(C215="Briar",AD214&gt;=1),"Can't",IF(H214&lt;IF(C215="Briar",140,IF(C215="Quill",3650,IF(C215="Moss",4850,IF(C215="Ember",12200,0)))),"Can't","OK")),IF(OR(B215="Buy upgrade",B215="Forge/Scrapwork buy"),IF(IFERROR(VLOOKUP(C215,Upgrades!$N$4:$T$47,2,FALSE),0)="points","Can't",IF(IFERROR(VLOOKUP(C215,Upgrades!$N$4:$T$47,2,FALSE),0)="gold",IF(H214&lt;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buy",$C$3:$C214,C215))),1),0),"Can't","OK"),IF(IFERROR(VLOOKUP(C215,Upgrades!$N$4:$T$47,2,FALSE),0)="scraps",IF(J214&lt;IFERROR(FLOOR(IFERROR(VLOOKUP(C215,Upgrades!$N$4:$T$47,3,FALSE),0)*(IFERROR(VLOOKUP(C215,Upgrades!$N$4:$T$47,4,FALSE),0)^(COUNTIFS($B$3:$B214,"Buy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buy",$C$3:$C214,C215))),1),0),"Can't","OK"),IF(IFERROR(VLOOKUP(C215,Upgrades!$N$4:$T$47,2,FALSE),0)="mats","Can't","OK")))),"Check")))))</f>
        <v/>
      </c>
      <c r="F215" s="7">
        <f>IF(B215="","",IF(AND(B215="Fight boss",I214&lt;IF((IFERROR(VLOOKUP(C215,Monsters!$T$4:$AH$15,15,FALSE),0))=0,120,IFERROR(VLOOKUP(C215,Monsters!$T$4:$AH$15,15,FALSE),0))),"Can't — need "&amp;TEXT(IF((IFERROR(VLOOKUP(C215,Monsters!$T$4:$AH$15,15,FALSE),0))=0,120,IFERROR(VLOOKUP(C215,Monsters!$T$4:$AH$15,15,FALSE),0))-I214,"0.0")&amp;" more Slayer points on the meter",IF(AND(B215="Hire hunter",C215="Briar",AD214&gt;=1),"Can't — already hired",IF(AND(B215="Hire hunter",H214&lt;IF(C215="Briar",140,IF(C215="Quill",3650,IF(C215="Moss",4850,IF(C215="Ember",12200,0))))),"Can't — need "&amp;TEXT(IF(C215="Briar",140,IF(C215="Quill",3650,IF(C215="Moss",4850,IF(C215="Ember",12200,0))))-H214,"0")&amp;" more gold",IF(AND(OR(B215="Buy upgrade",B215="Forge/Scrapwork buy"),IFERROR(VLOOKUP(C215,Upgrades!$N$4:$T$47,2,FALSE),0)="points"),"Can't — Sp-wallet spends not tracked here",IF(AND(OR(B215="Buy upgrade",B215="Forge/Scrapwork buy"),IFERROR(VLOOKUP(C215,Upgrades!$N$4:$T$47,2,FALSE),0)="gold",H214&lt;IFERROR(FLOOR(IFERROR(VLOOKUP(C215,Upgrades!$N$4:$T$47,3,FALSE),0)*(IFERROR(VLOOKUP(C215,Upgrades!$N$4:$T$47,4,FALSE),0)^(COUNTIFS($B$3:$B214,"Buy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buy",$C$3:$C214,C215))),1),0)),"Can't — need "&amp;TEXT(IFERROR(FLOOR(IFERROR(VLOOKUP(C215,Upgrades!$N$4:$T$47,3,FALSE),0)*(IFERROR(VLOOKUP(C215,Upgrades!$N$4:$T$47,4,FALSE),0)^(COUNTIFS($B$3:$B214,"Buy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buy",$C$3:$C214,C215))),1),0)-H214,"0")&amp;" more gold",IF(AND(OR(B215="Buy upgrade",B215="Forge/Scrapwork buy"),IFERROR(VLOOKUP(C215,Upgrades!$N$4:$T$47,2,FALSE),0)="scraps",J214&lt;IFERROR(FLOOR(IFERROR(VLOOKUP(C215,Upgrades!$N$4:$T$47,3,FALSE),0)*(IFERROR(VLOOKUP(C215,Upgrades!$N$4:$T$47,4,FALSE),0)^(COUNTIFS($B$3:$B214,"Buy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buy",$C$3:$C214,C215))),1),0)),"Can't — need "&amp;TEXT(IFERROR(FLOOR(IFERROR(VLOOKUP(C215,Upgrades!$N$4:$T$47,3,FALSE),0)*(IFERROR(VLOOKUP(C215,Upgrades!$N$4:$T$47,4,FALSE),0)^(COUNTIFS($B$3:$B214,"Buy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buy",$C$3:$C214,C215))),1),0)-J214,"0")&amp;" more scraps",IF(AND(B215="Fight boss",E215="OK",(IF((((105/'Rules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Formulas'!B12)),"WIN — boss down, next Level unlocks",IF(AND(B215="Fight boss",E215="OK"),"LOSE — TTK "&amp;TEXT(IF((((105/'Rules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Formulas'!B20*SQRT(1+0.55*(AG214&gt;=1))),0)))),"0")&amp;"s &gt; patience "&amp;TEXT('Rules &amp; Formulas'!B12,"0")&amp;"s (leave resets HP)",IF(B215="Go AFK","AFK resolved (see AFK counted h)","Applied")))))))))</f>
        <v/>
      </c>
      <c r="G215" s="7">
        <f>IF(AND((E215="OK"),B215="Fight boss",(IF((((105/'Rules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Formulas'!B12),C215="Elder Thornpelt"),2,IF(AND((E215="OK"),B215="Fight boss",(IF((((105/'Rules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Formulas'!B12),C215="Ashfang Alpha"),3,G214))</f>
        <v/>
      </c>
      <c r="H215" s="7">
        <f>MAX(0,H214+IF(AND((E215="OK"),B215="Hunt"),(IF(B215="Hunt",(('Rules &amp; Formulas'!B4*N214*('Rules &amp; Formulas'!B5+O214)*IFERROR(VLOOKUP(C215,Monsters!$T$4:$AH$15,10,FALSE),0)*IFERROR(VLOOKUP(C215,Monsters!$T$4:$AH$15,9,FALSE),0))*'Rules &amp; Formulas'!B6)*IF(D215="",0,D215),0))*(IFERROR(VLOOKUP(C215,Monsters!$T$4:$AH$15,3,FALSE),0))*(1+0.1*AH214)+(IF(OR(B215&lt;&gt;"Hunt",IFERROR(VLOOKUP(C215,Monsters!$T$4:$AH$15,6,FALSE),0)=0),0,FLOOR((IF(B215="Hunt",(('Rules &amp; Formulas'!B4*N214*('Rules &amp; Formulas'!B5+O214)*IFERROR(VLOOKUP(C215,Monsters!$T$4:$AH$15,10,FALSE),0)*IFERROR(VLOOKUP(C215,Monsters!$T$4:$AH$15,9,FALSE),0))*'Rules &amp; Formulas'!B6)*IF(D215="",0,D215),0))/MAX(1,IFERROR(VLOOKUP(C215,Monsters!$T$4:$AH$15,6,FALSE),0)),1)))*(IFERROR(VLOOKUP(C215,Monsters!$T$4:$AH$15,7,FALSE),0))*0.5*(1+0.1*AH214),0)+IF(AND((E215="OK"),B215="Go AFK"),(IF(B215="Go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AFK",IF(D215="",0,D215),0),Z214/60)*60)),0))*(IFERROR(VLOOKUP(C215,Monsters!$T$4:$AH$15,3,FALSE),0))*(1+0.1*AH214)+(IF(OR(B215&lt;&gt;"Go AFK",IFERROR(VLOOKUP(C215,Monsters!$T$4:$AH$15,6,FALSE),0)=0),0,FLOOR((IF(B215="Go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AFK",IF(D215="",0,D215),0),Z214/60)*60)),0))/MAX(1,IFERROR(VLOOKUP(C215,Monsters!$T$4:$AH$15,6,FALSE),0)),1)))*(IFERROR(VLOOKUP(C215,Monsters!$T$4:$AH$15,7,FALSE),0))*0.5*(1+0.1*AH214),0)+IF(AND((E215="OK"),B215="Fight boss",(IF((((105/'Rules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Formulas'!B12)),IFERROR(VLOOKUP(C215,Monsters!$T$4:$AH$15,3,FALSE),0),0)-IF(AND((E215="OK"),OR(B215="Buy upgrade",B215="Forge/Scrapwork buy"),IFERROR(VLOOKUP(C215,Upgrades!$N$4:$T$47,2,FALSE),0)="gold"),IFERROR(FLOOR(IFERROR(VLOOKUP(C215,Upgrades!$N$4:$T$47,3,FALSE),0)*(IFERROR(VLOOKUP(C215,Upgrades!$N$4:$T$47,4,FALSE),0)^(COUNTIFS($B$3:$B214,"Buy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buy",$C$3:$C214,C215))),1),0),0)-IF(AND((E215="OK"),B215="Hire hunter"),IF(C215="Briar",140,IF(C215="Quill",3650,IF(C215="Moss",4850,IF(C215="Ember",12200,0)))),0))</f>
        <v/>
      </c>
      <c r="I215" s="7">
        <f>IF(AND((E215="OK"),B215="Fight boss",(IF((((105/'Rules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Formulas'!B12)),0,MIN(IF(G214&lt;=1,120,IF(G214=2,280,600)),I214+IF(AND((E215="OK"),B215="Hunt"),((IF(B215="Hunt",(('Rules &amp; Formulas'!B4*N214*('Rules &amp; Formulas'!B5+O214)*IFERROR(VLOOKUP(C215,Monsters!$T$4:$AH$15,10,FALSE),0)*IFERROR(VLOOKUP(C215,Monsters!$T$4:$AH$15,9,FALSE),0))*'Rules &amp; Formulas'!B6)*IF(D215="",0,D215),0))*(IFERROR(VLOOKUP(C215,Monsters!$T$4:$AH$15,4,FALSE),0))+(IF(OR(B215&lt;&gt;"Hunt",IFERROR(VLOOKUP(C215,Monsters!$T$4:$AH$15,6,FALSE),0)=0),0,FLOOR((IF(B215="Hunt",(('Rules &amp; Formulas'!B4*N214*('Rules &amp; Formulas'!B5+O214)*IFERROR(VLOOKUP(C215,Monsters!$T$4:$AH$15,10,FALSE),0)*IFERROR(VLOOKUP(C215,Monsters!$T$4:$AH$15,9,FALSE),0))*'Rules &amp; Formulas'!B6)*IF(D215="",0,D215),0))/MAX(1,IFERROR(VLOOKUP(C215,Monsters!$T$4:$AH$15,6,FALSE),0)),1)))*(IFERROR(VLOOKUP(C215,Monsters!$T$4:$AH$15,7,FALSE),0))),0)+IF(AND((E215="OK"),B215="Go AFK"),((IF(B215="Go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AFK",IF(D215="",0,D215),0),Z214/60)*60)),0))*(IFERROR(VLOOKUP(C215,Monsters!$T$4:$AH$15,4,FALSE),0))+(IF(OR(B215&lt;&gt;"Go AFK",IFERROR(VLOOKUP(C215,Monsters!$T$4:$AH$15,6,FALSE),0)=0),0,FLOOR((IF(B215="Go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AFK",IF(D215="",0,D215),0),Z214/60)*60)),0))/MAX(1,IFERROR(VLOOKUP(C215,Monsters!$T$4:$AH$15,6,FALSE),0)),1)))*(IFERROR(VLOOKUP(C215,Monsters!$T$4:$AH$15,7,FALSE),0))),0)))</f>
        <v/>
      </c>
      <c r="J215" s="7">
        <f>MAX(0,J214+IF(AND((E215="OK"),B215="Hunt"),(IF(B215="Hunt",(('Rules &amp; Formulas'!B4*N214*('Rules &amp; Formulas'!B5+O214)*IFERROR(VLOOKUP(C215,Monsters!$T$4:$AH$15,10,FALSE),0)*IFERROR(VLOOKUP(C215,Monsters!$T$4:$AH$15,9,FALSE),0))*'Rules &amp; Formulas'!B6)*IF(D215="",0,D215),0))*(IFERROR(VLOOKUP(C215,Monsters!$T$4:$AH$15,5,FALSE),0)),0)+IF(AND((E215="OK"),B215="Go AFK"),(IF(B215="Go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AFK",IF(D215="",0,D215),0),Z214/60)*60)),0))*(IFERROR(VLOOKUP(C215,Monsters!$T$4:$AH$15,5,FALSE),0)),0)-IF(AND((E215="OK"),OR(B215="Buy upgrade",B215="Forge/Scrapwork buy"),IFERROR(VLOOKUP(C215,Upgrades!$N$4:$T$47,2,FALSE),0)="scraps"),IFERROR(FLOOR(IFERROR(VLOOKUP(C215,Upgrades!$N$4:$T$47,3,FALSE),0)*(IFERROR(VLOOKUP(C215,Upgrades!$N$4:$T$47,4,FALSE),0)^(COUNTIFS($B$3:$B214,"Buy upgrade",$C$3:$C214,C215)+COUNTIFS($B$3:$B214,"Hire hunter",$C$3:$C214,C215)+COUNTIFS($B$3:$B214,"Forge/Scrapwork buy",$C$3:$C214,C215))),1),0),0))</f>
        <v/>
      </c>
      <c r="K215" s="7">
        <f>MAX(0,K214+IF(AND((E215="OK"),B215="Hunt"),IF(C215="Thornpelt Bear",(IF(B215="Hunt",(('Rules &amp; Formulas'!B4*N214*('Rules &amp; Formulas'!B5+O214)*IFERROR(VLOOKUP(C215,Monsters!$T$4:$AH$15,10,FALSE),0)*IFERROR(VLOOKUP(C215,Monsters!$T$4:$AH$15,9,FALSE),0))*'Rules &amp; Formulas'!B6)*IF(D215="",0,D215),0))*0.12,0),0)+IF(AND((E215="OK"),B215="Go AFK"),IF(C215="Thornpelt Bear",(IF(B215="Go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AFK",IF(D215="",0,D215),0),Z214/60)*60)),0))*0.12,0),0))</f>
        <v/>
      </c>
      <c r="L215" s="7">
        <f>MAX(0,L214+IF(AND((E215="OK"),B215="Hunt"),IF(C215="Dire Thornpelt",(IF(B215="Hunt",(('Rules &amp; Formulas'!B4*N214*('Rules &amp; Formulas'!B5+O214)*IFERROR(VLOOKUP(C215,Monsters!$T$4:$AH$15,10,FALSE),0)*IFERROR(VLOOKUP(C215,Monsters!$T$4:$AH$15,9,FALSE),0))*'Rules &amp; Formulas'!B6)*IF(D215="",0,D215),0))*0.1,0),0)+IF(AND((E215="OK"),B215="Go AFK"),IF(C215="Dire Thornpelt",(IF(B215="Go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AFK",IF(D215="",0,D215),0),Z214/60)*60)),0))*0.1,0),0))</f>
        <v/>
      </c>
      <c r="M215" s="7">
        <f>IF(AND((E215="OK"),B215="Go AFK"),MAX(0,MIN(('Rules &amp; Formulas'!B15+25*AJ214),M214+('Rules &amp; Formulas'!B14+0.4*AJ214)*(MIN(IF(B215="Go AFK",IF(D215="",0,D215),0),Z214/60)*60))-(IF(B215="Go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AFK",IF(D215="",0,D215),0),Z214/60)*60)),0))*(IF((IFERROR(VLOOKUP(C215,Monsters!$T$4:$AH$15,8,FALSE),0))=0,0.35,IFERROR(VLOOKUP(C215,Monsters!$T$4:$AH$15,8,FALSE),0))/(1+0.08*AK214))),MIN(('Rules &amp; Formulas'!B15+25*AJ215),M214))</f>
        <v/>
      </c>
      <c r="N215" s="7">
        <f>(1+0.08+0.12*AA215+0.12*AB215+0.16*AC215)</f>
        <v/>
      </c>
      <c r="O215" s="7">
        <f>((AD215&gt;=1)*1*(1+0.3*AE215))</f>
        <v/>
      </c>
      <c r="P215" s="7">
        <f>IF(OR(B215="Hunt",B215="Go AFK"),(('Rules &amp; Formulas'!B4*N214*('Rules &amp; Formulas'!B5+O214)*IFERROR(VLOOKUP(C215,Monsters!$T$4:$AH$15,10,FALSE),0)*IFERROR(VLOOKUP(C215,Monsters!$T$4:$AH$15,9,FALSE),0))*'Rules &amp; Formulas'!B6),"")</f>
        <v/>
      </c>
      <c r="Q215" s="7">
        <f>IF(OR(B215="Hunt",B215="Go AFK"),('Rules &amp; Formulas'!B4*N214*('Rules &amp; Formulas'!B5+O214)*IFERROR(VLOOKUP(C215,Monsters!$T$4:$AH$15,10,FALSE),0)*IFERROR(VLOOKUP(C215,Monsters!$T$4:$AH$15,9,FALSE),0)),"")</f>
        <v/>
      </c>
      <c r="R215" s="7">
        <f>IF(AND((E215="OK"),B215="Hunt"),IF(B215="Hunt",(('Rules &amp; Formulas'!B4*N214*('Rules &amp; Formulas'!B5+O214)*IFERROR(VLOOKUP(C215,Monsters!$T$4:$AH$15,10,FALSE),0)*IFERROR(VLOOKUP(C215,Monsters!$T$4:$AH$15,9,FALSE),0))*'Rules &amp; Formulas'!B6)*IF(D215="",0,D215),0),IF(AND((E215="OK"),B215="Go AFK"),IF(B215="Go AFK",MIN(IF((IF((IFERROR(VLOOKUP(C215,Monsters!$T$4:$AH$15,8,FALSE),0))=0,0.35,IFERROR(VLOOKUP(C215,Monsters!$T$4:$AH$15,8,FALSE),0))/(1+0.08*AK214))&lt;=0,999999,FLOOR(MIN(('Rules &amp; Formulas'!B15+25*AJ214),M214+('Rules &amp; Formulas'!B14+0.4*AJ214)*(MIN(IF(B215="Go AFK",IF(D215="",0,D215),0),Z214/60)*60))/(IF((IFERROR(VLOOKUP(C215,Monsters!$T$4:$AH$15,8,FALSE),0))=0,0.35,IFERROR(VLOOKUP(C215,Monsters!$T$4:$AH$15,8,FALSE),0))/(1+0.08*AK214)),1)),('Rules &amp; Formulas'!B4*N214*('Rules &amp; Formulas'!B5+O214)*IFERROR(VLOOKUP(C215,Monsters!$T$4:$AH$15,10,FALSE),0)*IFERROR(VLOOKUP(C215,Monsters!$T$4:$AH$15,9,FALSE),0))*(MIN(IF(B215="Go AFK",IF(D215="",0,D215),0),Z214/60)*60)),0),0))</f>
        <v/>
      </c>
      <c r="S215" s="7">
        <f>(105/'Rules &amp; Formulas'!B10)*'Rules &amp; Formulas'!B11</f>
        <v/>
      </c>
      <c r="T215" s="7">
        <f>IF(AD214&gt;=1,(MAX(1,ROUND('Rules &amp; Formulas'!B18*(1+0.3*AE214)*(1+0.4*AF214),0)))*(1000/'Rules &amp; Formulas'!B19)*MIN(0.95,'Rules &amp; Formulas'!B20*SQRT(1+0.55*(AG214&gt;=1))),0)</f>
        <v/>
      </c>
      <c r="U215" s="7">
        <f>S215+T215</f>
        <v/>
      </c>
      <c r="V215" s="7">
        <f>IF(I214&gt;=IF((IFERROR(VLOOKUP(C215,Monsters!$T$4:$AH$15,15,FALSE),0))=0,120,IFERROR(VLOOKUP(C215,Monsters!$T$4:$AH$15,15,FALSE),0)),"YES","no")</f>
        <v/>
      </c>
      <c r="W215" s="7">
        <f>IF(AND(B215="Fight boss",E215="OK"),IF((((105/'Rules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Formulas'!B20*SQRT(1+0.55*(AG214&gt;=1))),0)))),"")</f>
        <v/>
      </c>
      <c r="X215" s="7">
        <f>IF(AND(B215="Fight boss",E215="OK"),IF((IF((((105/'Rules &amp; Formulas'!B10)*'Rules &amp; Formulas'!B11+IF(AD214&gt;=1,(MAX(1,ROUND('Rules &amp; Formulas'!B18*(1+0.3*AE214)*(1+0.4*AF214),0)))*(1000/'Rules &amp; Formulas'!B19)*MIN(0.95,'Rules &amp; Formulas'!B20*SQRT(1+0.55*(AG214&gt;=1))),0)))&lt;=0,9999,(IFERROR(VLOOKUP(C215,Monsters!$T$4:$AH$15,2,FALSE),0))/(((105/'Rules &amp; Formulas'!B10)*'Rules &amp; Formulas'!B11+IF(AD214&gt;=1,(MAX(1,ROUND('Rules &amp; Formulas'!B18*(1+0.3*AE214)*(1+0.4*AF214),0)))*(1000/'Rules &amp; Formulas'!B19)*MIN(0.95,'Rules &amp; Formulas'!B20*SQRT(1+0.55*(AG214&gt;=1))),0))))&lt;='Rules &amp; Formulas'!B12),"WIN","LOSE"),"")</f>
        <v/>
      </c>
      <c r="Y215" s="7">
        <f>IF(B215="Go AFK",MIN(IF(B215="Go AFK",IF(D215="",0,D215),0),Z214/60),"")</f>
        <v/>
      </c>
      <c r="Z215" s="7">
        <f>('Rules &amp; Formulas'!B13+30*AI215)</f>
        <v/>
      </c>
      <c r="AA215">
        <f>COUNTIFS($B$3:$B215,"Buy upgrade",$C$3:$C215,"Idle Power")</f>
        <v/>
      </c>
      <c r="AB215">
        <f>COUNTIFS($B$3:$B215,"Buy upgrade",$C$3:$C215,"Iron Blade")</f>
        <v/>
      </c>
      <c r="AC215">
        <f>COUNTIFS($B$3:$B215,"Buy upgrade",$C$3:$C215,"Steel Blade")</f>
        <v/>
      </c>
      <c r="AD215">
        <f>COUNTIFS($B$3:$B215,"Hire hunter",$C$3:$C215,"Briar")+COUNTIFS($B$3:$B215,"Buy upgrade",$C$3:$C215,"Hire Briar")</f>
        <v/>
      </c>
      <c r="AE215">
        <f>COUNTIFS($B$3:$B215,"Buy upgrade",$C$3:$C215,"Hunter Power")</f>
        <v/>
      </c>
      <c r="AF215">
        <f>COUNTIFS($B$3:$B215,"Buy upgrade",$C$3:$C215,"Bigger Hits")</f>
        <v/>
      </c>
      <c r="AG215">
        <f>COUNTIFS($B$3:$B215,"Buy upgrade",$C$3:$C215,"Swift Walk")</f>
        <v/>
      </c>
      <c r="AH215">
        <f>COUNTIFS($B$3:$B215,"Buy upgrade",$C$3:$C215,"Loot Luck")</f>
        <v/>
      </c>
      <c r="AI215">
        <f>COUNTIFS($B$3:$B215,"Buy upgrade",$C$3:$C215,"Offline Cap")</f>
        <v/>
      </c>
      <c r="AJ215">
        <f>COUNTIFS($B$3:$B215,"Buy upgrade",$C$3:$C215,"Bigger Food Stock")</f>
        <v/>
      </c>
      <c r="AK215">
        <f>COUNTIFS($B$3:$B215,"Buy upgrade",$C$3:$C215,"Food Efficiency")</f>
        <v/>
      </c>
    </row>
    <row r="216">
      <c r="A216" t="n">
        <v>214</v>
      </c>
      <c r="B216" s="6" t="n"/>
      <c r="C216" s="6" t="n"/>
      <c r="D216" s="6" t="n"/>
      <c r="E216" s="7">
        <f>IF(B216="","",IF(OR(B216="Hunt",B216="Go AFK"),IF(C216="","Can't","OK"),IF(B216="Fight boss",IF(I215&lt;IF((IFERROR(VLOOKUP(C216,Monsters!$T$4:$AH$15,15,FALSE),0))=0,120,IFERROR(VLOOKUP(C216,Monsters!$T$4:$AH$15,15,FALSE),0)),"Can't","OK"),IF(B216="Hire hunter",IF(AND(C216="Briar",AD215&gt;=1),"Can't",IF(H215&lt;IF(C216="Briar",140,IF(C216="Quill",3650,IF(C216="Moss",4850,IF(C216="Ember",12200,0)))),"Can't","OK")),IF(OR(B216="Buy upgrade",B216="Forge/Scrapwork buy"),IF(IFERROR(VLOOKUP(C216,Upgrades!$N$4:$T$47,2,FALSE),0)="points","Can't",IF(IFERROR(VLOOKUP(C216,Upgrades!$N$4:$T$47,2,FALSE),0)="gold",IF(H215&lt;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buy",$C$3:$C215,C216))),1),0),"Can't","OK"),IF(IFERROR(VLOOKUP(C216,Upgrades!$N$4:$T$47,2,FALSE),0)="scraps",IF(J215&lt;IFERROR(FLOOR(IFERROR(VLOOKUP(C216,Upgrades!$N$4:$T$47,3,FALSE),0)*(IFERROR(VLOOKUP(C216,Upgrades!$N$4:$T$47,4,FALSE),0)^(COUNTIFS($B$3:$B215,"Buy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buy",$C$3:$C215,C216))),1),0),"Can't","OK"),IF(IFERROR(VLOOKUP(C216,Upgrades!$N$4:$T$47,2,FALSE),0)="mats","Can't","OK")))),"Check")))))</f>
        <v/>
      </c>
      <c r="F216" s="7">
        <f>IF(B216="","",IF(AND(B216="Fight boss",I215&lt;IF((IFERROR(VLOOKUP(C216,Monsters!$T$4:$AH$15,15,FALSE),0))=0,120,IFERROR(VLOOKUP(C216,Monsters!$T$4:$AH$15,15,FALSE),0))),"Can't — need "&amp;TEXT(IF((IFERROR(VLOOKUP(C216,Monsters!$T$4:$AH$15,15,FALSE),0))=0,120,IFERROR(VLOOKUP(C216,Monsters!$T$4:$AH$15,15,FALSE),0))-I215,"0.0")&amp;" more Slayer points on the meter",IF(AND(B216="Hire hunter",C216="Briar",AD215&gt;=1),"Can't — already hired",IF(AND(B216="Hire hunter",H215&lt;IF(C216="Briar",140,IF(C216="Quill",3650,IF(C216="Moss",4850,IF(C216="Ember",12200,0))))),"Can't — need "&amp;TEXT(IF(C216="Briar",140,IF(C216="Quill",3650,IF(C216="Moss",4850,IF(C216="Ember",12200,0))))-H215,"0")&amp;" more gold",IF(AND(OR(B216="Buy upgrade",B216="Forge/Scrapwork buy"),IFERROR(VLOOKUP(C216,Upgrades!$N$4:$T$47,2,FALSE),0)="points"),"Can't — Sp-wallet spends not tracked here",IF(AND(OR(B216="Buy upgrade",B216="Forge/Scrapwork buy"),IFERROR(VLOOKUP(C216,Upgrades!$N$4:$T$47,2,FALSE),0)="gold",H215&lt;IFERROR(FLOOR(IFERROR(VLOOKUP(C216,Upgrades!$N$4:$T$47,3,FALSE),0)*(IFERROR(VLOOKUP(C216,Upgrades!$N$4:$T$47,4,FALSE),0)^(COUNTIFS($B$3:$B215,"Buy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buy",$C$3:$C215,C216))),1),0)),"Can't — need "&amp;TEXT(IFERROR(FLOOR(IFERROR(VLOOKUP(C216,Upgrades!$N$4:$T$47,3,FALSE),0)*(IFERROR(VLOOKUP(C216,Upgrades!$N$4:$T$47,4,FALSE),0)^(COUNTIFS($B$3:$B215,"Buy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buy",$C$3:$C215,C216))),1),0)-H215,"0")&amp;" more gold",IF(AND(OR(B216="Buy upgrade",B216="Forge/Scrapwork buy"),IFERROR(VLOOKUP(C216,Upgrades!$N$4:$T$47,2,FALSE),0)="scraps",J215&lt;IFERROR(FLOOR(IFERROR(VLOOKUP(C216,Upgrades!$N$4:$T$47,3,FALSE),0)*(IFERROR(VLOOKUP(C216,Upgrades!$N$4:$T$47,4,FALSE),0)^(COUNTIFS($B$3:$B215,"Buy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buy",$C$3:$C215,C216))),1),0)),"Can't — need "&amp;TEXT(IFERROR(FLOOR(IFERROR(VLOOKUP(C216,Upgrades!$N$4:$T$47,3,FALSE),0)*(IFERROR(VLOOKUP(C216,Upgrades!$N$4:$T$47,4,FALSE),0)^(COUNTIFS($B$3:$B215,"Buy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buy",$C$3:$C215,C216))),1),0)-J215,"0")&amp;" more scraps",IF(AND(B216="Fight boss",E216="OK",(IF((((105/'Rules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Formulas'!B12)),"WIN — boss down, next Level unlocks",IF(AND(B216="Fight boss",E216="OK"),"LOSE — TTK "&amp;TEXT(IF((((105/'Rules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Formulas'!B20*SQRT(1+0.55*(AG215&gt;=1))),0)))),"0")&amp;"s &gt; patience "&amp;TEXT('Rules &amp; Formulas'!B12,"0")&amp;"s (leave resets HP)",IF(B216="Go AFK","AFK resolved (see AFK counted h)","Applied")))))))))</f>
        <v/>
      </c>
      <c r="G216" s="7">
        <f>IF(AND((E216="OK"),B216="Fight boss",(IF((((105/'Rules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Formulas'!B12),C216="Elder Thornpelt"),2,IF(AND((E216="OK"),B216="Fight boss",(IF((((105/'Rules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Formulas'!B12),C216="Ashfang Alpha"),3,G215))</f>
        <v/>
      </c>
      <c r="H216" s="7">
        <f>MAX(0,H215+IF(AND((E216="OK"),B216="Hunt"),(IF(B216="Hunt",(('Rules &amp; Formulas'!B4*N215*('Rules &amp; Formulas'!B5+O215)*IFERROR(VLOOKUP(C216,Monsters!$T$4:$AH$15,10,FALSE),0)*IFERROR(VLOOKUP(C216,Monsters!$T$4:$AH$15,9,FALSE),0))*'Rules &amp; Formulas'!B6)*IF(D216="",0,D216),0))*(IFERROR(VLOOKUP(C216,Monsters!$T$4:$AH$15,3,FALSE),0))*(1+0.1*AH215)+(IF(OR(B216&lt;&gt;"Hunt",IFERROR(VLOOKUP(C216,Monsters!$T$4:$AH$15,6,FALSE),0)=0),0,FLOOR((IF(B216="Hunt",(('Rules &amp; Formulas'!B4*N215*('Rules &amp; Formulas'!B5+O215)*IFERROR(VLOOKUP(C216,Monsters!$T$4:$AH$15,10,FALSE),0)*IFERROR(VLOOKUP(C216,Monsters!$T$4:$AH$15,9,FALSE),0))*'Rules &amp; Formulas'!B6)*IF(D216="",0,D216),0))/MAX(1,IFERROR(VLOOKUP(C216,Monsters!$T$4:$AH$15,6,FALSE),0)),1)))*(IFERROR(VLOOKUP(C216,Monsters!$T$4:$AH$15,7,FALSE),0))*0.5*(1+0.1*AH215),0)+IF(AND((E216="OK"),B216="Go AFK"),(IF(B216="Go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AFK",IF(D216="",0,D216),0),Z215/60)*60)),0))*(IFERROR(VLOOKUP(C216,Monsters!$T$4:$AH$15,3,FALSE),0))*(1+0.1*AH215)+(IF(OR(B216&lt;&gt;"Go AFK",IFERROR(VLOOKUP(C216,Monsters!$T$4:$AH$15,6,FALSE),0)=0),0,FLOOR((IF(B216="Go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AFK",IF(D216="",0,D216),0),Z215/60)*60)),0))/MAX(1,IFERROR(VLOOKUP(C216,Monsters!$T$4:$AH$15,6,FALSE),0)),1)))*(IFERROR(VLOOKUP(C216,Monsters!$T$4:$AH$15,7,FALSE),0))*0.5*(1+0.1*AH215),0)+IF(AND((E216="OK"),B216="Fight boss",(IF((((105/'Rules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Formulas'!B12)),IFERROR(VLOOKUP(C216,Monsters!$T$4:$AH$15,3,FALSE),0),0)-IF(AND((E216="OK"),OR(B216="Buy upgrade",B216="Forge/Scrapwork buy"),IFERROR(VLOOKUP(C216,Upgrades!$N$4:$T$47,2,FALSE),0)="gold"),IFERROR(FLOOR(IFERROR(VLOOKUP(C216,Upgrades!$N$4:$T$47,3,FALSE),0)*(IFERROR(VLOOKUP(C216,Upgrades!$N$4:$T$47,4,FALSE),0)^(COUNTIFS($B$3:$B215,"Buy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buy",$C$3:$C215,C216))),1),0),0)-IF(AND((E216="OK"),B216="Hire hunter"),IF(C216="Briar",140,IF(C216="Quill",3650,IF(C216="Moss",4850,IF(C216="Ember",12200,0)))),0))</f>
        <v/>
      </c>
      <c r="I216" s="7">
        <f>IF(AND((E216="OK"),B216="Fight boss",(IF((((105/'Rules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Formulas'!B12)),0,MIN(IF(G215&lt;=1,120,IF(G215=2,280,600)),I215+IF(AND((E216="OK"),B216="Hunt"),((IF(B216="Hunt",(('Rules &amp; Formulas'!B4*N215*('Rules &amp; Formulas'!B5+O215)*IFERROR(VLOOKUP(C216,Monsters!$T$4:$AH$15,10,FALSE),0)*IFERROR(VLOOKUP(C216,Monsters!$T$4:$AH$15,9,FALSE),0))*'Rules &amp; Formulas'!B6)*IF(D216="",0,D216),0))*(IFERROR(VLOOKUP(C216,Monsters!$T$4:$AH$15,4,FALSE),0))+(IF(OR(B216&lt;&gt;"Hunt",IFERROR(VLOOKUP(C216,Monsters!$T$4:$AH$15,6,FALSE),0)=0),0,FLOOR((IF(B216="Hunt",(('Rules &amp; Formulas'!B4*N215*('Rules &amp; Formulas'!B5+O215)*IFERROR(VLOOKUP(C216,Monsters!$T$4:$AH$15,10,FALSE),0)*IFERROR(VLOOKUP(C216,Monsters!$T$4:$AH$15,9,FALSE),0))*'Rules &amp; Formulas'!B6)*IF(D216="",0,D216),0))/MAX(1,IFERROR(VLOOKUP(C216,Monsters!$T$4:$AH$15,6,FALSE),0)),1)))*(IFERROR(VLOOKUP(C216,Monsters!$T$4:$AH$15,7,FALSE),0))),0)+IF(AND((E216="OK"),B216="Go AFK"),((IF(B216="Go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AFK",IF(D216="",0,D216),0),Z215/60)*60)),0))*(IFERROR(VLOOKUP(C216,Monsters!$T$4:$AH$15,4,FALSE),0))+(IF(OR(B216&lt;&gt;"Go AFK",IFERROR(VLOOKUP(C216,Monsters!$T$4:$AH$15,6,FALSE),0)=0),0,FLOOR((IF(B216="Go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AFK",IF(D216="",0,D216),0),Z215/60)*60)),0))/MAX(1,IFERROR(VLOOKUP(C216,Monsters!$T$4:$AH$15,6,FALSE),0)),1)))*(IFERROR(VLOOKUP(C216,Monsters!$T$4:$AH$15,7,FALSE),0))),0)))</f>
        <v/>
      </c>
      <c r="J216" s="7">
        <f>MAX(0,J215+IF(AND((E216="OK"),B216="Hunt"),(IF(B216="Hunt",(('Rules &amp; Formulas'!B4*N215*('Rules &amp; Formulas'!B5+O215)*IFERROR(VLOOKUP(C216,Monsters!$T$4:$AH$15,10,FALSE),0)*IFERROR(VLOOKUP(C216,Monsters!$T$4:$AH$15,9,FALSE),0))*'Rules &amp; Formulas'!B6)*IF(D216="",0,D216),0))*(IFERROR(VLOOKUP(C216,Monsters!$T$4:$AH$15,5,FALSE),0)),0)+IF(AND((E216="OK"),B216="Go AFK"),(IF(B216="Go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AFK",IF(D216="",0,D216),0),Z215/60)*60)),0))*(IFERROR(VLOOKUP(C216,Monsters!$T$4:$AH$15,5,FALSE),0)),0)-IF(AND((E216="OK"),OR(B216="Buy upgrade",B216="Forge/Scrapwork buy"),IFERROR(VLOOKUP(C216,Upgrades!$N$4:$T$47,2,FALSE),0)="scraps"),IFERROR(FLOOR(IFERROR(VLOOKUP(C216,Upgrades!$N$4:$T$47,3,FALSE),0)*(IFERROR(VLOOKUP(C216,Upgrades!$N$4:$T$47,4,FALSE),0)^(COUNTIFS($B$3:$B215,"Buy upgrade",$C$3:$C215,C216)+COUNTIFS($B$3:$B215,"Hire hunter",$C$3:$C215,C216)+COUNTIFS($B$3:$B215,"Forge/Scrapwork buy",$C$3:$C215,C216))),1),0),0))</f>
        <v/>
      </c>
      <c r="K216" s="7">
        <f>MAX(0,K215+IF(AND((E216="OK"),B216="Hunt"),IF(C216="Thornpelt Bear",(IF(B216="Hunt",(('Rules &amp; Formulas'!B4*N215*('Rules &amp; Formulas'!B5+O215)*IFERROR(VLOOKUP(C216,Monsters!$T$4:$AH$15,10,FALSE),0)*IFERROR(VLOOKUP(C216,Monsters!$T$4:$AH$15,9,FALSE),0))*'Rules &amp; Formulas'!B6)*IF(D216="",0,D216),0))*0.12,0),0)+IF(AND((E216="OK"),B216="Go AFK"),IF(C216="Thornpelt Bear",(IF(B216="Go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AFK",IF(D216="",0,D216),0),Z215/60)*60)),0))*0.12,0),0))</f>
        <v/>
      </c>
      <c r="L216" s="7">
        <f>MAX(0,L215+IF(AND((E216="OK"),B216="Hunt"),IF(C216="Dire Thornpelt",(IF(B216="Hunt",(('Rules &amp; Formulas'!B4*N215*('Rules &amp; Formulas'!B5+O215)*IFERROR(VLOOKUP(C216,Monsters!$T$4:$AH$15,10,FALSE),0)*IFERROR(VLOOKUP(C216,Monsters!$T$4:$AH$15,9,FALSE),0))*'Rules &amp; Formulas'!B6)*IF(D216="",0,D216),0))*0.1,0),0)+IF(AND((E216="OK"),B216="Go AFK"),IF(C216="Dire Thornpelt",(IF(B216="Go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AFK",IF(D216="",0,D216),0),Z215/60)*60)),0))*0.1,0),0))</f>
        <v/>
      </c>
      <c r="M216" s="7">
        <f>IF(AND((E216="OK"),B216="Go AFK"),MAX(0,MIN(('Rules &amp; Formulas'!B15+25*AJ215),M215+('Rules &amp; Formulas'!B14+0.4*AJ215)*(MIN(IF(B216="Go AFK",IF(D216="",0,D216),0),Z215/60)*60))-(IF(B216="Go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AFK",IF(D216="",0,D216),0),Z215/60)*60)),0))*(IF((IFERROR(VLOOKUP(C216,Monsters!$T$4:$AH$15,8,FALSE),0))=0,0.35,IFERROR(VLOOKUP(C216,Monsters!$T$4:$AH$15,8,FALSE),0))/(1+0.08*AK215))),MIN(('Rules &amp; Formulas'!B15+25*AJ216),M215))</f>
        <v/>
      </c>
      <c r="N216" s="7">
        <f>(1+0.08+0.12*AA216+0.12*AB216+0.16*AC216)</f>
        <v/>
      </c>
      <c r="O216" s="7">
        <f>((AD216&gt;=1)*1*(1+0.3*AE216))</f>
        <v/>
      </c>
      <c r="P216" s="7">
        <f>IF(OR(B216="Hunt",B216="Go AFK"),(('Rules &amp; Formulas'!B4*N215*('Rules &amp; Formulas'!B5+O215)*IFERROR(VLOOKUP(C216,Monsters!$T$4:$AH$15,10,FALSE),0)*IFERROR(VLOOKUP(C216,Monsters!$T$4:$AH$15,9,FALSE),0))*'Rules &amp; Formulas'!B6),"")</f>
        <v/>
      </c>
      <c r="Q216" s="7">
        <f>IF(OR(B216="Hunt",B216="Go AFK"),('Rules &amp; Formulas'!B4*N215*('Rules &amp; Formulas'!B5+O215)*IFERROR(VLOOKUP(C216,Monsters!$T$4:$AH$15,10,FALSE),0)*IFERROR(VLOOKUP(C216,Monsters!$T$4:$AH$15,9,FALSE),0)),"")</f>
        <v/>
      </c>
      <c r="R216" s="7">
        <f>IF(AND((E216="OK"),B216="Hunt"),IF(B216="Hunt",(('Rules &amp; Formulas'!B4*N215*('Rules &amp; Formulas'!B5+O215)*IFERROR(VLOOKUP(C216,Monsters!$T$4:$AH$15,10,FALSE),0)*IFERROR(VLOOKUP(C216,Monsters!$T$4:$AH$15,9,FALSE),0))*'Rules &amp; Formulas'!B6)*IF(D216="",0,D216),0),IF(AND((E216="OK"),B216="Go AFK"),IF(B216="Go AFK",MIN(IF((IF((IFERROR(VLOOKUP(C216,Monsters!$T$4:$AH$15,8,FALSE),0))=0,0.35,IFERROR(VLOOKUP(C216,Monsters!$T$4:$AH$15,8,FALSE),0))/(1+0.08*AK215))&lt;=0,999999,FLOOR(MIN(('Rules &amp; Formulas'!B15+25*AJ215),M215+('Rules &amp; Formulas'!B14+0.4*AJ215)*(MIN(IF(B216="Go AFK",IF(D216="",0,D216),0),Z215/60)*60))/(IF((IFERROR(VLOOKUP(C216,Monsters!$T$4:$AH$15,8,FALSE),0))=0,0.35,IFERROR(VLOOKUP(C216,Monsters!$T$4:$AH$15,8,FALSE),0))/(1+0.08*AK215)),1)),('Rules &amp; Formulas'!B4*N215*('Rules &amp; Formulas'!B5+O215)*IFERROR(VLOOKUP(C216,Monsters!$T$4:$AH$15,10,FALSE),0)*IFERROR(VLOOKUP(C216,Monsters!$T$4:$AH$15,9,FALSE),0))*(MIN(IF(B216="Go AFK",IF(D216="",0,D216),0),Z215/60)*60)),0),0))</f>
        <v/>
      </c>
      <c r="S216" s="7">
        <f>(105/'Rules &amp; Formulas'!B10)*'Rules &amp; Formulas'!B11</f>
        <v/>
      </c>
      <c r="T216" s="7">
        <f>IF(AD215&gt;=1,(MAX(1,ROUND('Rules &amp; Formulas'!B18*(1+0.3*AE215)*(1+0.4*AF215),0)))*(1000/'Rules &amp; Formulas'!B19)*MIN(0.95,'Rules &amp; Formulas'!B20*SQRT(1+0.55*(AG215&gt;=1))),0)</f>
        <v/>
      </c>
      <c r="U216" s="7">
        <f>S216+T216</f>
        <v/>
      </c>
      <c r="V216" s="7">
        <f>IF(I215&gt;=IF((IFERROR(VLOOKUP(C216,Monsters!$T$4:$AH$15,15,FALSE),0))=0,120,IFERROR(VLOOKUP(C216,Monsters!$T$4:$AH$15,15,FALSE),0)),"YES","no")</f>
        <v/>
      </c>
      <c r="W216" s="7">
        <f>IF(AND(B216="Fight boss",E216="OK"),IF((((105/'Rules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Formulas'!B20*SQRT(1+0.55*(AG215&gt;=1))),0)))),"")</f>
        <v/>
      </c>
      <c r="X216" s="7">
        <f>IF(AND(B216="Fight boss",E216="OK"),IF((IF((((105/'Rules &amp; Formulas'!B10)*'Rules &amp; Formulas'!B11+IF(AD215&gt;=1,(MAX(1,ROUND('Rules &amp; Formulas'!B18*(1+0.3*AE215)*(1+0.4*AF215),0)))*(1000/'Rules &amp; Formulas'!B19)*MIN(0.95,'Rules &amp; Formulas'!B20*SQRT(1+0.55*(AG215&gt;=1))),0)))&lt;=0,9999,(IFERROR(VLOOKUP(C216,Monsters!$T$4:$AH$15,2,FALSE),0))/(((105/'Rules &amp; Formulas'!B10)*'Rules &amp; Formulas'!B11+IF(AD215&gt;=1,(MAX(1,ROUND('Rules &amp; Formulas'!B18*(1+0.3*AE215)*(1+0.4*AF215),0)))*(1000/'Rules &amp; Formulas'!B19)*MIN(0.95,'Rules &amp; Formulas'!B20*SQRT(1+0.55*(AG215&gt;=1))),0))))&lt;='Rules &amp; Formulas'!B12),"WIN","LOSE"),"")</f>
        <v/>
      </c>
      <c r="Y216" s="7">
        <f>IF(B216="Go AFK",MIN(IF(B216="Go AFK",IF(D216="",0,D216),0),Z215/60),"")</f>
        <v/>
      </c>
      <c r="Z216" s="7">
        <f>('Rules &amp; Formulas'!B13+30*AI216)</f>
        <v/>
      </c>
      <c r="AA216">
        <f>COUNTIFS($B$3:$B216,"Buy upgrade",$C$3:$C216,"Idle Power")</f>
        <v/>
      </c>
      <c r="AB216">
        <f>COUNTIFS($B$3:$B216,"Buy upgrade",$C$3:$C216,"Iron Blade")</f>
        <v/>
      </c>
      <c r="AC216">
        <f>COUNTIFS($B$3:$B216,"Buy upgrade",$C$3:$C216,"Steel Blade")</f>
        <v/>
      </c>
      <c r="AD216">
        <f>COUNTIFS($B$3:$B216,"Hire hunter",$C$3:$C216,"Briar")+COUNTIFS($B$3:$B216,"Buy upgrade",$C$3:$C216,"Hire Briar")</f>
        <v/>
      </c>
      <c r="AE216">
        <f>COUNTIFS($B$3:$B216,"Buy upgrade",$C$3:$C216,"Hunter Power")</f>
        <v/>
      </c>
      <c r="AF216">
        <f>COUNTIFS($B$3:$B216,"Buy upgrade",$C$3:$C216,"Bigger Hits")</f>
        <v/>
      </c>
      <c r="AG216">
        <f>COUNTIFS($B$3:$B216,"Buy upgrade",$C$3:$C216,"Swift Walk")</f>
        <v/>
      </c>
      <c r="AH216">
        <f>COUNTIFS($B$3:$B216,"Buy upgrade",$C$3:$C216,"Loot Luck")</f>
        <v/>
      </c>
      <c r="AI216">
        <f>COUNTIFS($B$3:$B216,"Buy upgrade",$C$3:$C216,"Offline Cap")</f>
        <v/>
      </c>
      <c r="AJ216">
        <f>COUNTIFS($B$3:$B216,"Buy upgrade",$C$3:$C216,"Bigger Food Stock")</f>
        <v/>
      </c>
      <c r="AK216">
        <f>COUNTIFS($B$3:$B216,"Buy upgrade",$C$3:$C216,"Food Efficiency")</f>
        <v/>
      </c>
    </row>
    <row r="217">
      <c r="A217" t="n">
        <v>215</v>
      </c>
      <c r="B217" s="6" t="n"/>
      <c r="C217" s="6" t="n"/>
      <c r="D217" s="6" t="n"/>
      <c r="E217" s="7">
        <f>IF(B217="","",IF(OR(B217="Hunt",B217="Go AFK"),IF(C217="","Can't","OK"),IF(B217="Fight boss",IF(I216&lt;IF((IFERROR(VLOOKUP(C217,Monsters!$T$4:$AH$15,15,FALSE),0))=0,120,IFERROR(VLOOKUP(C217,Monsters!$T$4:$AH$15,15,FALSE),0)),"Can't","OK"),IF(B217="Hire hunter",IF(AND(C217="Briar",AD216&gt;=1),"Can't",IF(H216&lt;IF(C217="Briar",140,IF(C217="Quill",3650,IF(C217="Moss",4850,IF(C217="Ember",12200,0)))),"Can't","OK")),IF(OR(B217="Buy upgrade",B217="Forge/Scrapwork buy"),IF(IFERROR(VLOOKUP(C217,Upgrades!$N$4:$T$47,2,FALSE),0)="points","Can't",IF(IFERROR(VLOOKUP(C217,Upgrades!$N$4:$T$47,2,FALSE),0)="gold",IF(H216&lt;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buy",$C$3:$C216,C217))),1),0),"Can't","OK"),IF(IFERROR(VLOOKUP(C217,Upgrades!$N$4:$T$47,2,FALSE),0)="scraps",IF(J216&lt;IFERROR(FLOOR(IFERROR(VLOOKUP(C217,Upgrades!$N$4:$T$47,3,FALSE),0)*(IFERROR(VLOOKUP(C217,Upgrades!$N$4:$T$47,4,FALSE),0)^(COUNTIFS($B$3:$B216,"Buy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buy",$C$3:$C216,C217))),1),0),"Can't","OK"),IF(IFERROR(VLOOKUP(C217,Upgrades!$N$4:$T$47,2,FALSE),0)="mats","Can't","OK")))),"Check")))))</f>
        <v/>
      </c>
      <c r="F217" s="7">
        <f>IF(B217="","",IF(AND(B217="Fight boss",I216&lt;IF((IFERROR(VLOOKUP(C217,Monsters!$T$4:$AH$15,15,FALSE),0))=0,120,IFERROR(VLOOKUP(C217,Monsters!$T$4:$AH$15,15,FALSE),0))),"Can't — need "&amp;TEXT(IF((IFERROR(VLOOKUP(C217,Monsters!$T$4:$AH$15,15,FALSE),0))=0,120,IFERROR(VLOOKUP(C217,Monsters!$T$4:$AH$15,15,FALSE),0))-I216,"0.0")&amp;" more Slayer points on the meter",IF(AND(B217="Hire hunter",C217="Briar",AD216&gt;=1),"Can't — already hired",IF(AND(B217="Hire hunter",H216&lt;IF(C217="Briar",140,IF(C217="Quill",3650,IF(C217="Moss",4850,IF(C217="Ember",12200,0))))),"Can't — need "&amp;TEXT(IF(C217="Briar",140,IF(C217="Quill",3650,IF(C217="Moss",4850,IF(C217="Ember",12200,0))))-H216,"0")&amp;" more gold",IF(AND(OR(B217="Buy upgrade",B217="Forge/Scrapwork buy"),IFERROR(VLOOKUP(C217,Upgrades!$N$4:$T$47,2,FALSE),0)="points"),"Can't — Sp-wallet spends not tracked here",IF(AND(OR(B217="Buy upgrade",B217="Forge/Scrapwork buy"),IFERROR(VLOOKUP(C217,Upgrades!$N$4:$T$47,2,FALSE),0)="gold",H216&lt;IFERROR(FLOOR(IFERROR(VLOOKUP(C217,Upgrades!$N$4:$T$47,3,FALSE),0)*(IFERROR(VLOOKUP(C217,Upgrades!$N$4:$T$47,4,FALSE),0)^(COUNTIFS($B$3:$B216,"Buy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buy",$C$3:$C216,C217))),1),0)),"Can't — need "&amp;TEXT(IFERROR(FLOOR(IFERROR(VLOOKUP(C217,Upgrades!$N$4:$T$47,3,FALSE),0)*(IFERROR(VLOOKUP(C217,Upgrades!$N$4:$T$47,4,FALSE),0)^(COUNTIFS($B$3:$B216,"Buy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buy",$C$3:$C216,C217))),1),0)-H216,"0")&amp;" more gold",IF(AND(OR(B217="Buy upgrade",B217="Forge/Scrapwork buy"),IFERROR(VLOOKUP(C217,Upgrades!$N$4:$T$47,2,FALSE),0)="scraps",J216&lt;IFERROR(FLOOR(IFERROR(VLOOKUP(C217,Upgrades!$N$4:$T$47,3,FALSE),0)*(IFERROR(VLOOKUP(C217,Upgrades!$N$4:$T$47,4,FALSE),0)^(COUNTIFS($B$3:$B216,"Buy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buy",$C$3:$C216,C217))),1),0)),"Can't — need "&amp;TEXT(IFERROR(FLOOR(IFERROR(VLOOKUP(C217,Upgrades!$N$4:$T$47,3,FALSE),0)*(IFERROR(VLOOKUP(C217,Upgrades!$N$4:$T$47,4,FALSE),0)^(COUNTIFS($B$3:$B216,"Buy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buy",$C$3:$C216,C217))),1),0)-J216,"0")&amp;" more scraps",IF(AND(B217="Fight boss",E217="OK",(IF((((105/'Rules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Formulas'!B12)),"WIN — boss down, next Level unlocks",IF(AND(B217="Fight boss",E217="OK"),"LOSE — TTK "&amp;TEXT(IF((((105/'Rules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Formulas'!B20*SQRT(1+0.55*(AG216&gt;=1))),0)))),"0")&amp;"s &gt; patience "&amp;TEXT('Rules &amp; Formulas'!B12,"0")&amp;"s (leave resets HP)",IF(B217="Go AFK","AFK resolved (see AFK counted h)","Applied")))))))))</f>
        <v/>
      </c>
      <c r="G217" s="7">
        <f>IF(AND((E217="OK"),B217="Fight boss",(IF((((105/'Rules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Formulas'!B12),C217="Elder Thornpelt"),2,IF(AND((E217="OK"),B217="Fight boss",(IF((((105/'Rules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Formulas'!B12),C217="Ashfang Alpha"),3,G216))</f>
        <v/>
      </c>
      <c r="H217" s="7">
        <f>MAX(0,H216+IF(AND((E217="OK"),B217="Hunt"),(IF(B217="Hunt",(('Rules &amp; Formulas'!B4*N216*('Rules &amp; Formulas'!B5+O216)*IFERROR(VLOOKUP(C217,Monsters!$T$4:$AH$15,10,FALSE),0)*IFERROR(VLOOKUP(C217,Monsters!$T$4:$AH$15,9,FALSE),0))*'Rules &amp; Formulas'!B6)*IF(D217="",0,D217),0))*(IFERROR(VLOOKUP(C217,Monsters!$T$4:$AH$15,3,FALSE),0))*(1+0.1*AH216)+(IF(OR(B217&lt;&gt;"Hunt",IFERROR(VLOOKUP(C217,Monsters!$T$4:$AH$15,6,FALSE),0)=0),0,FLOOR((IF(B217="Hunt",(('Rules &amp; Formulas'!B4*N216*('Rules &amp; Formulas'!B5+O216)*IFERROR(VLOOKUP(C217,Monsters!$T$4:$AH$15,10,FALSE),0)*IFERROR(VLOOKUP(C217,Monsters!$T$4:$AH$15,9,FALSE),0))*'Rules &amp; Formulas'!B6)*IF(D217="",0,D217),0))/MAX(1,IFERROR(VLOOKUP(C217,Monsters!$T$4:$AH$15,6,FALSE),0)),1)))*(IFERROR(VLOOKUP(C217,Monsters!$T$4:$AH$15,7,FALSE),0))*0.5*(1+0.1*AH216),0)+IF(AND((E217="OK"),B217="Go AFK"),(IF(B217="Go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AFK",IF(D217="",0,D217),0),Z216/60)*60)),0))*(IFERROR(VLOOKUP(C217,Monsters!$T$4:$AH$15,3,FALSE),0))*(1+0.1*AH216)+(IF(OR(B217&lt;&gt;"Go AFK",IFERROR(VLOOKUP(C217,Monsters!$T$4:$AH$15,6,FALSE),0)=0),0,FLOOR((IF(B217="Go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AFK",IF(D217="",0,D217),0),Z216/60)*60)),0))/MAX(1,IFERROR(VLOOKUP(C217,Monsters!$T$4:$AH$15,6,FALSE),0)),1)))*(IFERROR(VLOOKUP(C217,Monsters!$T$4:$AH$15,7,FALSE),0))*0.5*(1+0.1*AH216),0)+IF(AND((E217="OK"),B217="Fight boss",(IF((((105/'Rules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Formulas'!B12)),IFERROR(VLOOKUP(C217,Monsters!$T$4:$AH$15,3,FALSE),0),0)-IF(AND((E217="OK"),OR(B217="Buy upgrade",B217="Forge/Scrapwork buy"),IFERROR(VLOOKUP(C217,Upgrades!$N$4:$T$47,2,FALSE),0)="gold"),IFERROR(FLOOR(IFERROR(VLOOKUP(C217,Upgrades!$N$4:$T$47,3,FALSE),0)*(IFERROR(VLOOKUP(C217,Upgrades!$N$4:$T$47,4,FALSE),0)^(COUNTIFS($B$3:$B216,"Buy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buy",$C$3:$C216,C217))),1),0),0)-IF(AND((E217="OK"),B217="Hire hunter"),IF(C217="Briar",140,IF(C217="Quill",3650,IF(C217="Moss",4850,IF(C217="Ember",12200,0)))),0))</f>
        <v/>
      </c>
      <c r="I217" s="7">
        <f>IF(AND((E217="OK"),B217="Fight boss",(IF((((105/'Rules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Formulas'!B12)),0,MIN(IF(G216&lt;=1,120,IF(G216=2,280,600)),I216+IF(AND((E217="OK"),B217="Hunt"),((IF(B217="Hunt",(('Rules &amp; Formulas'!B4*N216*('Rules &amp; Formulas'!B5+O216)*IFERROR(VLOOKUP(C217,Monsters!$T$4:$AH$15,10,FALSE),0)*IFERROR(VLOOKUP(C217,Monsters!$T$4:$AH$15,9,FALSE),0))*'Rules &amp; Formulas'!B6)*IF(D217="",0,D217),0))*(IFERROR(VLOOKUP(C217,Monsters!$T$4:$AH$15,4,FALSE),0))+(IF(OR(B217&lt;&gt;"Hunt",IFERROR(VLOOKUP(C217,Monsters!$T$4:$AH$15,6,FALSE),0)=0),0,FLOOR((IF(B217="Hunt",(('Rules &amp; Formulas'!B4*N216*('Rules &amp; Formulas'!B5+O216)*IFERROR(VLOOKUP(C217,Monsters!$T$4:$AH$15,10,FALSE),0)*IFERROR(VLOOKUP(C217,Monsters!$T$4:$AH$15,9,FALSE),0))*'Rules &amp; Formulas'!B6)*IF(D217="",0,D217),0))/MAX(1,IFERROR(VLOOKUP(C217,Monsters!$T$4:$AH$15,6,FALSE),0)),1)))*(IFERROR(VLOOKUP(C217,Monsters!$T$4:$AH$15,7,FALSE),0))),0)+IF(AND((E217="OK"),B217="Go AFK"),((IF(B217="Go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AFK",IF(D217="",0,D217),0),Z216/60)*60)),0))*(IFERROR(VLOOKUP(C217,Monsters!$T$4:$AH$15,4,FALSE),0))+(IF(OR(B217&lt;&gt;"Go AFK",IFERROR(VLOOKUP(C217,Monsters!$T$4:$AH$15,6,FALSE),0)=0),0,FLOOR((IF(B217="Go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AFK",IF(D217="",0,D217),0),Z216/60)*60)),0))/MAX(1,IFERROR(VLOOKUP(C217,Monsters!$T$4:$AH$15,6,FALSE),0)),1)))*(IFERROR(VLOOKUP(C217,Monsters!$T$4:$AH$15,7,FALSE),0))),0)))</f>
        <v/>
      </c>
      <c r="J217" s="7">
        <f>MAX(0,J216+IF(AND((E217="OK"),B217="Hunt"),(IF(B217="Hunt",(('Rules &amp; Formulas'!B4*N216*('Rules &amp; Formulas'!B5+O216)*IFERROR(VLOOKUP(C217,Monsters!$T$4:$AH$15,10,FALSE),0)*IFERROR(VLOOKUP(C217,Monsters!$T$4:$AH$15,9,FALSE),0))*'Rules &amp; Formulas'!B6)*IF(D217="",0,D217),0))*(IFERROR(VLOOKUP(C217,Monsters!$T$4:$AH$15,5,FALSE),0)),0)+IF(AND((E217="OK"),B217="Go AFK"),(IF(B217="Go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AFK",IF(D217="",0,D217),0),Z216/60)*60)),0))*(IFERROR(VLOOKUP(C217,Monsters!$T$4:$AH$15,5,FALSE),0)),0)-IF(AND((E217="OK"),OR(B217="Buy upgrade",B217="Forge/Scrapwork buy"),IFERROR(VLOOKUP(C217,Upgrades!$N$4:$T$47,2,FALSE),0)="scraps"),IFERROR(FLOOR(IFERROR(VLOOKUP(C217,Upgrades!$N$4:$T$47,3,FALSE),0)*(IFERROR(VLOOKUP(C217,Upgrades!$N$4:$T$47,4,FALSE),0)^(COUNTIFS($B$3:$B216,"Buy upgrade",$C$3:$C216,C217)+COUNTIFS($B$3:$B216,"Hire hunter",$C$3:$C216,C217)+COUNTIFS($B$3:$B216,"Forge/Scrapwork buy",$C$3:$C216,C217))),1),0),0))</f>
        <v/>
      </c>
      <c r="K217" s="7">
        <f>MAX(0,K216+IF(AND((E217="OK"),B217="Hunt"),IF(C217="Thornpelt Bear",(IF(B217="Hunt",(('Rules &amp; Formulas'!B4*N216*('Rules &amp; Formulas'!B5+O216)*IFERROR(VLOOKUP(C217,Monsters!$T$4:$AH$15,10,FALSE),0)*IFERROR(VLOOKUP(C217,Monsters!$T$4:$AH$15,9,FALSE),0))*'Rules &amp; Formulas'!B6)*IF(D217="",0,D217),0))*0.12,0),0)+IF(AND((E217="OK"),B217="Go AFK"),IF(C217="Thornpelt Bear",(IF(B217="Go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AFK",IF(D217="",0,D217),0),Z216/60)*60)),0))*0.12,0),0))</f>
        <v/>
      </c>
      <c r="L217" s="7">
        <f>MAX(0,L216+IF(AND((E217="OK"),B217="Hunt"),IF(C217="Dire Thornpelt",(IF(B217="Hunt",(('Rules &amp; Formulas'!B4*N216*('Rules &amp; Formulas'!B5+O216)*IFERROR(VLOOKUP(C217,Monsters!$T$4:$AH$15,10,FALSE),0)*IFERROR(VLOOKUP(C217,Monsters!$T$4:$AH$15,9,FALSE),0))*'Rules &amp; Formulas'!B6)*IF(D217="",0,D217),0))*0.1,0),0)+IF(AND((E217="OK"),B217="Go AFK"),IF(C217="Dire Thornpelt",(IF(B217="Go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AFK",IF(D217="",0,D217),0),Z216/60)*60)),0))*0.1,0),0))</f>
        <v/>
      </c>
      <c r="M217" s="7">
        <f>IF(AND((E217="OK"),B217="Go AFK"),MAX(0,MIN(('Rules &amp; Formulas'!B15+25*AJ216),M216+('Rules &amp; Formulas'!B14+0.4*AJ216)*(MIN(IF(B217="Go AFK",IF(D217="",0,D217),0),Z216/60)*60))-(IF(B217="Go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AFK",IF(D217="",0,D217),0),Z216/60)*60)),0))*(IF((IFERROR(VLOOKUP(C217,Monsters!$T$4:$AH$15,8,FALSE),0))=0,0.35,IFERROR(VLOOKUP(C217,Monsters!$T$4:$AH$15,8,FALSE),0))/(1+0.08*AK216))),MIN(('Rules &amp; Formulas'!B15+25*AJ217),M216))</f>
        <v/>
      </c>
      <c r="N217" s="7">
        <f>(1+0.08+0.12*AA217+0.12*AB217+0.16*AC217)</f>
        <v/>
      </c>
      <c r="O217" s="7">
        <f>((AD217&gt;=1)*1*(1+0.3*AE217))</f>
        <v/>
      </c>
      <c r="P217" s="7">
        <f>IF(OR(B217="Hunt",B217="Go AFK"),(('Rules &amp; Formulas'!B4*N216*('Rules &amp; Formulas'!B5+O216)*IFERROR(VLOOKUP(C217,Monsters!$T$4:$AH$15,10,FALSE),0)*IFERROR(VLOOKUP(C217,Monsters!$T$4:$AH$15,9,FALSE),0))*'Rules &amp; Formulas'!B6),"")</f>
        <v/>
      </c>
      <c r="Q217" s="7">
        <f>IF(OR(B217="Hunt",B217="Go AFK"),('Rules &amp; Formulas'!B4*N216*('Rules &amp; Formulas'!B5+O216)*IFERROR(VLOOKUP(C217,Monsters!$T$4:$AH$15,10,FALSE),0)*IFERROR(VLOOKUP(C217,Monsters!$T$4:$AH$15,9,FALSE),0)),"")</f>
        <v/>
      </c>
      <c r="R217" s="7">
        <f>IF(AND((E217="OK"),B217="Hunt"),IF(B217="Hunt",(('Rules &amp; Formulas'!B4*N216*('Rules &amp; Formulas'!B5+O216)*IFERROR(VLOOKUP(C217,Monsters!$T$4:$AH$15,10,FALSE),0)*IFERROR(VLOOKUP(C217,Monsters!$T$4:$AH$15,9,FALSE),0))*'Rules &amp; Formulas'!B6)*IF(D217="",0,D217),0),IF(AND((E217="OK"),B217="Go AFK"),IF(B217="Go AFK",MIN(IF((IF((IFERROR(VLOOKUP(C217,Monsters!$T$4:$AH$15,8,FALSE),0))=0,0.35,IFERROR(VLOOKUP(C217,Monsters!$T$4:$AH$15,8,FALSE),0))/(1+0.08*AK216))&lt;=0,999999,FLOOR(MIN(('Rules &amp; Formulas'!B15+25*AJ216),M216+('Rules &amp; Formulas'!B14+0.4*AJ216)*(MIN(IF(B217="Go AFK",IF(D217="",0,D217),0),Z216/60)*60))/(IF((IFERROR(VLOOKUP(C217,Monsters!$T$4:$AH$15,8,FALSE),0))=0,0.35,IFERROR(VLOOKUP(C217,Monsters!$T$4:$AH$15,8,FALSE),0))/(1+0.08*AK216)),1)),('Rules &amp; Formulas'!B4*N216*('Rules &amp; Formulas'!B5+O216)*IFERROR(VLOOKUP(C217,Monsters!$T$4:$AH$15,10,FALSE),0)*IFERROR(VLOOKUP(C217,Monsters!$T$4:$AH$15,9,FALSE),0))*(MIN(IF(B217="Go AFK",IF(D217="",0,D217),0),Z216/60)*60)),0),0))</f>
        <v/>
      </c>
      <c r="S217" s="7">
        <f>(105/'Rules &amp; Formulas'!B10)*'Rules &amp; Formulas'!B11</f>
        <v/>
      </c>
      <c r="T217" s="7">
        <f>IF(AD216&gt;=1,(MAX(1,ROUND('Rules &amp; Formulas'!B18*(1+0.3*AE216)*(1+0.4*AF216),0)))*(1000/'Rules &amp; Formulas'!B19)*MIN(0.95,'Rules &amp; Formulas'!B20*SQRT(1+0.55*(AG216&gt;=1))),0)</f>
        <v/>
      </c>
      <c r="U217" s="7">
        <f>S217+T217</f>
        <v/>
      </c>
      <c r="V217" s="7">
        <f>IF(I216&gt;=IF((IFERROR(VLOOKUP(C217,Monsters!$T$4:$AH$15,15,FALSE),0))=0,120,IFERROR(VLOOKUP(C217,Monsters!$T$4:$AH$15,15,FALSE),0)),"YES","no")</f>
        <v/>
      </c>
      <c r="W217" s="7">
        <f>IF(AND(B217="Fight boss",E217="OK"),IF((((105/'Rules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Formulas'!B20*SQRT(1+0.55*(AG216&gt;=1))),0)))),"")</f>
        <v/>
      </c>
      <c r="X217" s="7">
        <f>IF(AND(B217="Fight boss",E217="OK"),IF((IF((((105/'Rules &amp; Formulas'!B10)*'Rules &amp; Formulas'!B11+IF(AD216&gt;=1,(MAX(1,ROUND('Rules &amp; Formulas'!B18*(1+0.3*AE216)*(1+0.4*AF216),0)))*(1000/'Rules &amp; Formulas'!B19)*MIN(0.95,'Rules &amp; Formulas'!B20*SQRT(1+0.55*(AG216&gt;=1))),0)))&lt;=0,9999,(IFERROR(VLOOKUP(C217,Monsters!$T$4:$AH$15,2,FALSE),0))/(((105/'Rules &amp; Formulas'!B10)*'Rules &amp; Formulas'!B11+IF(AD216&gt;=1,(MAX(1,ROUND('Rules &amp; Formulas'!B18*(1+0.3*AE216)*(1+0.4*AF216),0)))*(1000/'Rules &amp; Formulas'!B19)*MIN(0.95,'Rules &amp; Formulas'!B20*SQRT(1+0.55*(AG216&gt;=1))),0))))&lt;='Rules &amp; Formulas'!B12),"WIN","LOSE"),"")</f>
        <v/>
      </c>
      <c r="Y217" s="7">
        <f>IF(B217="Go AFK",MIN(IF(B217="Go AFK",IF(D217="",0,D217),0),Z216/60),"")</f>
        <v/>
      </c>
      <c r="Z217" s="7">
        <f>('Rules &amp; Formulas'!B13+30*AI217)</f>
        <v/>
      </c>
      <c r="AA217">
        <f>COUNTIFS($B$3:$B217,"Buy upgrade",$C$3:$C217,"Idle Power")</f>
        <v/>
      </c>
      <c r="AB217">
        <f>COUNTIFS($B$3:$B217,"Buy upgrade",$C$3:$C217,"Iron Blade")</f>
        <v/>
      </c>
      <c r="AC217">
        <f>COUNTIFS($B$3:$B217,"Buy upgrade",$C$3:$C217,"Steel Blade")</f>
        <v/>
      </c>
      <c r="AD217">
        <f>COUNTIFS($B$3:$B217,"Hire hunter",$C$3:$C217,"Briar")+COUNTIFS($B$3:$B217,"Buy upgrade",$C$3:$C217,"Hire Briar")</f>
        <v/>
      </c>
      <c r="AE217">
        <f>COUNTIFS($B$3:$B217,"Buy upgrade",$C$3:$C217,"Hunter Power")</f>
        <v/>
      </c>
      <c r="AF217">
        <f>COUNTIFS($B$3:$B217,"Buy upgrade",$C$3:$C217,"Bigger Hits")</f>
        <v/>
      </c>
      <c r="AG217">
        <f>COUNTIFS($B$3:$B217,"Buy upgrade",$C$3:$C217,"Swift Walk")</f>
        <v/>
      </c>
      <c r="AH217">
        <f>COUNTIFS($B$3:$B217,"Buy upgrade",$C$3:$C217,"Loot Luck")</f>
        <v/>
      </c>
      <c r="AI217">
        <f>COUNTIFS($B$3:$B217,"Buy upgrade",$C$3:$C217,"Offline Cap")</f>
        <v/>
      </c>
      <c r="AJ217">
        <f>COUNTIFS($B$3:$B217,"Buy upgrade",$C$3:$C217,"Bigger Food Stock")</f>
        <v/>
      </c>
      <c r="AK217">
        <f>COUNTIFS($B$3:$B217,"Buy upgrade",$C$3:$C217,"Food Efficiency")</f>
        <v/>
      </c>
    </row>
    <row r="218">
      <c r="A218" t="n">
        <v>216</v>
      </c>
      <c r="B218" s="6" t="n"/>
      <c r="C218" s="6" t="n"/>
      <c r="D218" s="6" t="n"/>
      <c r="E218" s="7">
        <f>IF(B218="","",IF(OR(B218="Hunt",B218="Go AFK"),IF(C218="","Can't","OK"),IF(B218="Fight boss",IF(I217&lt;IF((IFERROR(VLOOKUP(C218,Monsters!$T$4:$AH$15,15,FALSE),0))=0,120,IFERROR(VLOOKUP(C218,Monsters!$T$4:$AH$15,15,FALSE),0)),"Can't","OK"),IF(B218="Hire hunter",IF(AND(C218="Briar",AD217&gt;=1),"Can't",IF(H217&lt;IF(C218="Briar",140,IF(C218="Quill",3650,IF(C218="Moss",4850,IF(C218="Ember",12200,0)))),"Can't","OK")),IF(OR(B218="Buy upgrade",B218="Forge/Scrapwork buy"),IF(IFERROR(VLOOKUP(C218,Upgrades!$N$4:$T$47,2,FALSE),0)="points","Can't",IF(IFERROR(VLOOKUP(C218,Upgrades!$N$4:$T$47,2,FALSE),0)="gold",IF(H217&lt;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buy",$C$3:$C217,C218))),1),0),"Can't","OK"),IF(IFERROR(VLOOKUP(C218,Upgrades!$N$4:$T$47,2,FALSE),0)="scraps",IF(J217&lt;IFERROR(FLOOR(IFERROR(VLOOKUP(C218,Upgrades!$N$4:$T$47,3,FALSE),0)*(IFERROR(VLOOKUP(C218,Upgrades!$N$4:$T$47,4,FALSE),0)^(COUNTIFS($B$3:$B217,"Buy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buy",$C$3:$C217,C218))),1),0),"Can't","OK"),IF(IFERROR(VLOOKUP(C218,Upgrades!$N$4:$T$47,2,FALSE),0)="mats","Can't","OK")))),"Check")))))</f>
        <v/>
      </c>
      <c r="F218" s="7">
        <f>IF(B218="","",IF(AND(B218="Fight boss",I217&lt;IF((IFERROR(VLOOKUP(C218,Monsters!$T$4:$AH$15,15,FALSE),0))=0,120,IFERROR(VLOOKUP(C218,Monsters!$T$4:$AH$15,15,FALSE),0))),"Can't — need "&amp;TEXT(IF((IFERROR(VLOOKUP(C218,Monsters!$T$4:$AH$15,15,FALSE),0))=0,120,IFERROR(VLOOKUP(C218,Monsters!$T$4:$AH$15,15,FALSE),0))-I217,"0.0")&amp;" more Slayer points on the meter",IF(AND(B218="Hire hunter",C218="Briar",AD217&gt;=1),"Can't — already hired",IF(AND(B218="Hire hunter",H217&lt;IF(C218="Briar",140,IF(C218="Quill",3650,IF(C218="Moss",4850,IF(C218="Ember",12200,0))))),"Can't — need "&amp;TEXT(IF(C218="Briar",140,IF(C218="Quill",3650,IF(C218="Moss",4850,IF(C218="Ember",12200,0))))-H217,"0")&amp;" more gold",IF(AND(OR(B218="Buy upgrade",B218="Forge/Scrapwork buy"),IFERROR(VLOOKUP(C218,Upgrades!$N$4:$T$47,2,FALSE),0)="points"),"Can't — Sp-wallet spends not tracked here",IF(AND(OR(B218="Buy upgrade",B218="Forge/Scrapwork buy"),IFERROR(VLOOKUP(C218,Upgrades!$N$4:$T$47,2,FALSE),0)="gold",H217&lt;IFERROR(FLOOR(IFERROR(VLOOKUP(C218,Upgrades!$N$4:$T$47,3,FALSE),0)*(IFERROR(VLOOKUP(C218,Upgrades!$N$4:$T$47,4,FALSE),0)^(COUNTIFS($B$3:$B217,"Buy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buy",$C$3:$C217,C218))),1),0)),"Can't — need "&amp;TEXT(IFERROR(FLOOR(IFERROR(VLOOKUP(C218,Upgrades!$N$4:$T$47,3,FALSE),0)*(IFERROR(VLOOKUP(C218,Upgrades!$N$4:$T$47,4,FALSE),0)^(COUNTIFS($B$3:$B217,"Buy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buy",$C$3:$C217,C218))),1),0)-H217,"0")&amp;" more gold",IF(AND(OR(B218="Buy upgrade",B218="Forge/Scrapwork buy"),IFERROR(VLOOKUP(C218,Upgrades!$N$4:$T$47,2,FALSE),0)="scraps",J217&lt;IFERROR(FLOOR(IFERROR(VLOOKUP(C218,Upgrades!$N$4:$T$47,3,FALSE),0)*(IFERROR(VLOOKUP(C218,Upgrades!$N$4:$T$47,4,FALSE),0)^(COUNTIFS($B$3:$B217,"Buy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buy",$C$3:$C217,C218))),1),0)),"Can't — need "&amp;TEXT(IFERROR(FLOOR(IFERROR(VLOOKUP(C218,Upgrades!$N$4:$T$47,3,FALSE),0)*(IFERROR(VLOOKUP(C218,Upgrades!$N$4:$T$47,4,FALSE),0)^(COUNTIFS($B$3:$B217,"Buy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buy",$C$3:$C217,C218))),1),0)-J217,"0")&amp;" more scraps",IF(AND(B218="Fight boss",E218="OK",(IF((((105/'Rules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Formulas'!B12)),"WIN — boss down, next Level unlocks",IF(AND(B218="Fight boss",E218="OK"),"LOSE — TTK "&amp;TEXT(IF((((105/'Rules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Formulas'!B20*SQRT(1+0.55*(AG217&gt;=1))),0)))),"0")&amp;"s &gt; patience "&amp;TEXT('Rules &amp; Formulas'!B12,"0")&amp;"s (leave resets HP)",IF(B218="Go AFK","AFK resolved (see AFK counted h)","Applied")))))))))</f>
        <v/>
      </c>
      <c r="G218" s="7">
        <f>IF(AND((E218="OK"),B218="Fight boss",(IF((((105/'Rules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Formulas'!B12),C218="Elder Thornpelt"),2,IF(AND((E218="OK"),B218="Fight boss",(IF((((105/'Rules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Formulas'!B12),C218="Ashfang Alpha"),3,G217))</f>
        <v/>
      </c>
      <c r="H218" s="7">
        <f>MAX(0,H217+IF(AND((E218="OK"),B218="Hunt"),(IF(B218="Hunt",(('Rules &amp; Formulas'!B4*N217*('Rules &amp; Formulas'!B5+O217)*IFERROR(VLOOKUP(C218,Monsters!$T$4:$AH$15,10,FALSE),0)*IFERROR(VLOOKUP(C218,Monsters!$T$4:$AH$15,9,FALSE),0))*'Rules &amp; Formulas'!B6)*IF(D218="",0,D218),0))*(IFERROR(VLOOKUP(C218,Monsters!$T$4:$AH$15,3,FALSE),0))*(1+0.1*AH217)+(IF(OR(B218&lt;&gt;"Hunt",IFERROR(VLOOKUP(C218,Monsters!$T$4:$AH$15,6,FALSE),0)=0),0,FLOOR((IF(B218="Hunt",(('Rules &amp; Formulas'!B4*N217*('Rules &amp; Formulas'!B5+O217)*IFERROR(VLOOKUP(C218,Monsters!$T$4:$AH$15,10,FALSE),0)*IFERROR(VLOOKUP(C218,Monsters!$T$4:$AH$15,9,FALSE),0))*'Rules &amp; Formulas'!B6)*IF(D218="",0,D218),0))/MAX(1,IFERROR(VLOOKUP(C218,Monsters!$T$4:$AH$15,6,FALSE),0)),1)))*(IFERROR(VLOOKUP(C218,Monsters!$T$4:$AH$15,7,FALSE),0))*0.5*(1+0.1*AH217),0)+IF(AND((E218="OK"),B218="Go AFK"),(IF(B218="Go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AFK",IF(D218="",0,D218),0),Z217/60)*60)),0))*(IFERROR(VLOOKUP(C218,Monsters!$T$4:$AH$15,3,FALSE),0))*(1+0.1*AH217)+(IF(OR(B218&lt;&gt;"Go AFK",IFERROR(VLOOKUP(C218,Monsters!$T$4:$AH$15,6,FALSE),0)=0),0,FLOOR((IF(B218="Go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AFK",IF(D218="",0,D218),0),Z217/60)*60)),0))/MAX(1,IFERROR(VLOOKUP(C218,Monsters!$T$4:$AH$15,6,FALSE),0)),1)))*(IFERROR(VLOOKUP(C218,Monsters!$T$4:$AH$15,7,FALSE),0))*0.5*(1+0.1*AH217),0)+IF(AND((E218="OK"),B218="Fight boss",(IF((((105/'Rules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Formulas'!B12)),IFERROR(VLOOKUP(C218,Monsters!$T$4:$AH$15,3,FALSE),0),0)-IF(AND((E218="OK"),OR(B218="Buy upgrade",B218="Forge/Scrapwork buy"),IFERROR(VLOOKUP(C218,Upgrades!$N$4:$T$47,2,FALSE),0)="gold"),IFERROR(FLOOR(IFERROR(VLOOKUP(C218,Upgrades!$N$4:$T$47,3,FALSE),0)*(IFERROR(VLOOKUP(C218,Upgrades!$N$4:$T$47,4,FALSE),0)^(COUNTIFS($B$3:$B217,"Buy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buy",$C$3:$C217,C218))),1),0),0)-IF(AND((E218="OK"),B218="Hire hunter"),IF(C218="Briar",140,IF(C218="Quill",3650,IF(C218="Moss",4850,IF(C218="Ember",12200,0)))),0))</f>
        <v/>
      </c>
      <c r="I218" s="7">
        <f>IF(AND((E218="OK"),B218="Fight boss",(IF((((105/'Rules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Formulas'!B12)),0,MIN(IF(G217&lt;=1,120,IF(G217=2,280,600)),I217+IF(AND((E218="OK"),B218="Hunt"),((IF(B218="Hunt",(('Rules &amp; Formulas'!B4*N217*('Rules &amp; Formulas'!B5+O217)*IFERROR(VLOOKUP(C218,Monsters!$T$4:$AH$15,10,FALSE),0)*IFERROR(VLOOKUP(C218,Monsters!$T$4:$AH$15,9,FALSE),0))*'Rules &amp; Formulas'!B6)*IF(D218="",0,D218),0))*(IFERROR(VLOOKUP(C218,Monsters!$T$4:$AH$15,4,FALSE),0))+(IF(OR(B218&lt;&gt;"Hunt",IFERROR(VLOOKUP(C218,Monsters!$T$4:$AH$15,6,FALSE),0)=0),0,FLOOR((IF(B218="Hunt",(('Rules &amp; Formulas'!B4*N217*('Rules &amp; Formulas'!B5+O217)*IFERROR(VLOOKUP(C218,Monsters!$T$4:$AH$15,10,FALSE),0)*IFERROR(VLOOKUP(C218,Monsters!$T$4:$AH$15,9,FALSE),0))*'Rules &amp; Formulas'!B6)*IF(D218="",0,D218),0))/MAX(1,IFERROR(VLOOKUP(C218,Monsters!$T$4:$AH$15,6,FALSE),0)),1)))*(IFERROR(VLOOKUP(C218,Monsters!$T$4:$AH$15,7,FALSE),0))),0)+IF(AND((E218="OK"),B218="Go AFK"),((IF(B218="Go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AFK",IF(D218="",0,D218),0),Z217/60)*60)),0))*(IFERROR(VLOOKUP(C218,Monsters!$T$4:$AH$15,4,FALSE),0))+(IF(OR(B218&lt;&gt;"Go AFK",IFERROR(VLOOKUP(C218,Monsters!$T$4:$AH$15,6,FALSE),0)=0),0,FLOOR((IF(B218="Go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AFK",IF(D218="",0,D218),0),Z217/60)*60)),0))/MAX(1,IFERROR(VLOOKUP(C218,Monsters!$T$4:$AH$15,6,FALSE),0)),1)))*(IFERROR(VLOOKUP(C218,Monsters!$T$4:$AH$15,7,FALSE),0))),0)))</f>
        <v/>
      </c>
      <c r="J218" s="7">
        <f>MAX(0,J217+IF(AND((E218="OK"),B218="Hunt"),(IF(B218="Hunt",(('Rules &amp; Formulas'!B4*N217*('Rules &amp; Formulas'!B5+O217)*IFERROR(VLOOKUP(C218,Monsters!$T$4:$AH$15,10,FALSE),0)*IFERROR(VLOOKUP(C218,Monsters!$T$4:$AH$15,9,FALSE),0))*'Rules &amp; Formulas'!B6)*IF(D218="",0,D218),0))*(IFERROR(VLOOKUP(C218,Monsters!$T$4:$AH$15,5,FALSE),0)),0)+IF(AND((E218="OK"),B218="Go AFK"),(IF(B218="Go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AFK",IF(D218="",0,D218),0),Z217/60)*60)),0))*(IFERROR(VLOOKUP(C218,Monsters!$T$4:$AH$15,5,FALSE),0)),0)-IF(AND((E218="OK"),OR(B218="Buy upgrade",B218="Forge/Scrapwork buy"),IFERROR(VLOOKUP(C218,Upgrades!$N$4:$T$47,2,FALSE),0)="scraps"),IFERROR(FLOOR(IFERROR(VLOOKUP(C218,Upgrades!$N$4:$T$47,3,FALSE),0)*(IFERROR(VLOOKUP(C218,Upgrades!$N$4:$T$47,4,FALSE),0)^(COUNTIFS($B$3:$B217,"Buy upgrade",$C$3:$C217,C218)+COUNTIFS($B$3:$B217,"Hire hunter",$C$3:$C217,C218)+COUNTIFS($B$3:$B217,"Forge/Scrapwork buy",$C$3:$C217,C218))),1),0),0))</f>
        <v/>
      </c>
      <c r="K218" s="7">
        <f>MAX(0,K217+IF(AND((E218="OK"),B218="Hunt"),IF(C218="Thornpelt Bear",(IF(B218="Hunt",(('Rules &amp; Formulas'!B4*N217*('Rules &amp; Formulas'!B5+O217)*IFERROR(VLOOKUP(C218,Monsters!$T$4:$AH$15,10,FALSE),0)*IFERROR(VLOOKUP(C218,Monsters!$T$4:$AH$15,9,FALSE),0))*'Rules &amp; Formulas'!B6)*IF(D218="",0,D218),0))*0.12,0),0)+IF(AND((E218="OK"),B218="Go AFK"),IF(C218="Thornpelt Bear",(IF(B218="Go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AFK",IF(D218="",0,D218),0),Z217/60)*60)),0))*0.12,0),0))</f>
        <v/>
      </c>
      <c r="L218" s="7">
        <f>MAX(0,L217+IF(AND((E218="OK"),B218="Hunt"),IF(C218="Dire Thornpelt",(IF(B218="Hunt",(('Rules &amp; Formulas'!B4*N217*('Rules &amp; Formulas'!B5+O217)*IFERROR(VLOOKUP(C218,Monsters!$T$4:$AH$15,10,FALSE),0)*IFERROR(VLOOKUP(C218,Monsters!$T$4:$AH$15,9,FALSE),0))*'Rules &amp; Formulas'!B6)*IF(D218="",0,D218),0))*0.1,0),0)+IF(AND((E218="OK"),B218="Go AFK"),IF(C218="Dire Thornpelt",(IF(B218="Go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AFK",IF(D218="",0,D218),0),Z217/60)*60)),0))*0.1,0),0))</f>
        <v/>
      </c>
      <c r="M218" s="7">
        <f>IF(AND((E218="OK"),B218="Go AFK"),MAX(0,MIN(('Rules &amp; Formulas'!B15+25*AJ217),M217+('Rules &amp; Formulas'!B14+0.4*AJ217)*(MIN(IF(B218="Go AFK",IF(D218="",0,D218),0),Z217/60)*60))-(IF(B218="Go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AFK",IF(D218="",0,D218),0),Z217/60)*60)),0))*(IF((IFERROR(VLOOKUP(C218,Monsters!$T$4:$AH$15,8,FALSE),0))=0,0.35,IFERROR(VLOOKUP(C218,Monsters!$T$4:$AH$15,8,FALSE),0))/(1+0.08*AK217))),MIN(('Rules &amp; Formulas'!B15+25*AJ218),M217))</f>
        <v/>
      </c>
      <c r="N218" s="7">
        <f>(1+0.08+0.12*AA218+0.12*AB218+0.16*AC218)</f>
        <v/>
      </c>
      <c r="O218" s="7">
        <f>((AD218&gt;=1)*1*(1+0.3*AE218))</f>
        <v/>
      </c>
      <c r="P218" s="7">
        <f>IF(OR(B218="Hunt",B218="Go AFK"),(('Rules &amp; Formulas'!B4*N217*('Rules &amp; Formulas'!B5+O217)*IFERROR(VLOOKUP(C218,Monsters!$T$4:$AH$15,10,FALSE),0)*IFERROR(VLOOKUP(C218,Monsters!$T$4:$AH$15,9,FALSE),0))*'Rules &amp; Formulas'!B6),"")</f>
        <v/>
      </c>
      <c r="Q218" s="7">
        <f>IF(OR(B218="Hunt",B218="Go AFK"),('Rules &amp; Formulas'!B4*N217*('Rules &amp; Formulas'!B5+O217)*IFERROR(VLOOKUP(C218,Monsters!$T$4:$AH$15,10,FALSE),0)*IFERROR(VLOOKUP(C218,Monsters!$T$4:$AH$15,9,FALSE),0)),"")</f>
        <v/>
      </c>
      <c r="R218" s="7">
        <f>IF(AND((E218="OK"),B218="Hunt"),IF(B218="Hunt",(('Rules &amp; Formulas'!B4*N217*('Rules &amp; Formulas'!B5+O217)*IFERROR(VLOOKUP(C218,Monsters!$T$4:$AH$15,10,FALSE),0)*IFERROR(VLOOKUP(C218,Monsters!$T$4:$AH$15,9,FALSE),0))*'Rules &amp; Formulas'!B6)*IF(D218="",0,D218),0),IF(AND((E218="OK"),B218="Go AFK"),IF(B218="Go AFK",MIN(IF((IF((IFERROR(VLOOKUP(C218,Monsters!$T$4:$AH$15,8,FALSE),0))=0,0.35,IFERROR(VLOOKUP(C218,Monsters!$T$4:$AH$15,8,FALSE),0))/(1+0.08*AK217))&lt;=0,999999,FLOOR(MIN(('Rules &amp; Formulas'!B15+25*AJ217),M217+('Rules &amp; Formulas'!B14+0.4*AJ217)*(MIN(IF(B218="Go AFK",IF(D218="",0,D218),0),Z217/60)*60))/(IF((IFERROR(VLOOKUP(C218,Monsters!$T$4:$AH$15,8,FALSE),0))=0,0.35,IFERROR(VLOOKUP(C218,Monsters!$T$4:$AH$15,8,FALSE),0))/(1+0.08*AK217)),1)),('Rules &amp; Formulas'!B4*N217*('Rules &amp; Formulas'!B5+O217)*IFERROR(VLOOKUP(C218,Monsters!$T$4:$AH$15,10,FALSE),0)*IFERROR(VLOOKUP(C218,Monsters!$T$4:$AH$15,9,FALSE),0))*(MIN(IF(B218="Go AFK",IF(D218="",0,D218),0),Z217/60)*60)),0),0))</f>
        <v/>
      </c>
      <c r="S218" s="7">
        <f>(105/'Rules &amp; Formulas'!B10)*'Rules &amp; Formulas'!B11</f>
        <v/>
      </c>
      <c r="T218" s="7">
        <f>IF(AD217&gt;=1,(MAX(1,ROUND('Rules &amp; Formulas'!B18*(1+0.3*AE217)*(1+0.4*AF217),0)))*(1000/'Rules &amp; Formulas'!B19)*MIN(0.95,'Rules &amp; Formulas'!B20*SQRT(1+0.55*(AG217&gt;=1))),0)</f>
        <v/>
      </c>
      <c r="U218" s="7">
        <f>S218+T218</f>
        <v/>
      </c>
      <c r="V218" s="7">
        <f>IF(I217&gt;=IF((IFERROR(VLOOKUP(C218,Monsters!$T$4:$AH$15,15,FALSE),0))=0,120,IFERROR(VLOOKUP(C218,Monsters!$T$4:$AH$15,15,FALSE),0)),"YES","no")</f>
        <v/>
      </c>
      <c r="W218" s="7">
        <f>IF(AND(B218="Fight boss",E218="OK"),IF((((105/'Rules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Formulas'!B20*SQRT(1+0.55*(AG217&gt;=1))),0)))),"")</f>
        <v/>
      </c>
      <c r="X218" s="7">
        <f>IF(AND(B218="Fight boss",E218="OK"),IF((IF((((105/'Rules &amp; Formulas'!B10)*'Rules &amp; Formulas'!B11+IF(AD217&gt;=1,(MAX(1,ROUND('Rules &amp; Formulas'!B18*(1+0.3*AE217)*(1+0.4*AF217),0)))*(1000/'Rules &amp; Formulas'!B19)*MIN(0.95,'Rules &amp; Formulas'!B20*SQRT(1+0.55*(AG217&gt;=1))),0)))&lt;=0,9999,(IFERROR(VLOOKUP(C218,Monsters!$T$4:$AH$15,2,FALSE),0))/(((105/'Rules &amp; Formulas'!B10)*'Rules &amp; Formulas'!B11+IF(AD217&gt;=1,(MAX(1,ROUND('Rules &amp; Formulas'!B18*(1+0.3*AE217)*(1+0.4*AF217),0)))*(1000/'Rules &amp; Formulas'!B19)*MIN(0.95,'Rules &amp; Formulas'!B20*SQRT(1+0.55*(AG217&gt;=1))),0))))&lt;='Rules &amp; Formulas'!B12),"WIN","LOSE"),"")</f>
        <v/>
      </c>
      <c r="Y218" s="7">
        <f>IF(B218="Go AFK",MIN(IF(B218="Go AFK",IF(D218="",0,D218),0),Z217/60),"")</f>
        <v/>
      </c>
      <c r="Z218" s="7">
        <f>('Rules &amp; Formulas'!B13+30*AI218)</f>
        <v/>
      </c>
      <c r="AA218">
        <f>COUNTIFS($B$3:$B218,"Buy upgrade",$C$3:$C218,"Idle Power")</f>
        <v/>
      </c>
      <c r="AB218">
        <f>COUNTIFS($B$3:$B218,"Buy upgrade",$C$3:$C218,"Iron Blade")</f>
        <v/>
      </c>
      <c r="AC218">
        <f>COUNTIFS($B$3:$B218,"Buy upgrade",$C$3:$C218,"Steel Blade")</f>
        <v/>
      </c>
      <c r="AD218">
        <f>COUNTIFS($B$3:$B218,"Hire hunter",$C$3:$C218,"Briar")+COUNTIFS($B$3:$B218,"Buy upgrade",$C$3:$C218,"Hire Briar")</f>
        <v/>
      </c>
      <c r="AE218">
        <f>COUNTIFS($B$3:$B218,"Buy upgrade",$C$3:$C218,"Hunter Power")</f>
        <v/>
      </c>
      <c r="AF218">
        <f>COUNTIFS($B$3:$B218,"Buy upgrade",$C$3:$C218,"Bigger Hits")</f>
        <v/>
      </c>
      <c r="AG218">
        <f>COUNTIFS($B$3:$B218,"Buy upgrade",$C$3:$C218,"Swift Walk")</f>
        <v/>
      </c>
      <c r="AH218">
        <f>COUNTIFS($B$3:$B218,"Buy upgrade",$C$3:$C218,"Loot Luck")</f>
        <v/>
      </c>
      <c r="AI218">
        <f>COUNTIFS($B$3:$B218,"Buy upgrade",$C$3:$C218,"Offline Cap")</f>
        <v/>
      </c>
      <c r="AJ218">
        <f>COUNTIFS($B$3:$B218,"Buy upgrade",$C$3:$C218,"Bigger Food Stock")</f>
        <v/>
      </c>
      <c r="AK218">
        <f>COUNTIFS($B$3:$B218,"Buy upgrade",$C$3:$C218,"Food Efficiency")</f>
        <v/>
      </c>
    </row>
    <row r="219">
      <c r="A219" t="n">
        <v>217</v>
      </c>
      <c r="B219" s="6" t="n"/>
      <c r="C219" s="6" t="n"/>
      <c r="D219" s="6" t="n"/>
      <c r="E219" s="7">
        <f>IF(B219="","",IF(OR(B219="Hunt",B219="Go AFK"),IF(C219="","Can't","OK"),IF(B219="Fight boss",IF(I218&lt;IF((IFERROR(VLOOKUP(C219,Monsters!$T$4:$AH$15,15,FALSE),0))=0,120,IFERROR(VLOOKUP(C219,Monsters!$T$4:$AH$15,15,FALSE),0)),"Can't","OK"),IF(B219="Hire hunter",IF(AND(C219="Briar",AD218&gt;=1),"Can't",IF(H218&lt;IF(C219="Briar",140,IF(C219="Quill",3650,IF(C219="Moss",4850,IF(C219="Ember",12200,0)))),"Can't","OK")),IF(OR(B219="Buy upgrade",B219="Forge/Scrapwork buy"),IF(IFERROR(VLOOKUP(C219,Upgrades!$N$4:$T$47,2,FALSE),0)="points","Can't",IF(IFERROR(VLOOKUP(C219,Upgrades!$N$4:$T$47,2,FALSE),0)="gold",IF(H218&lt;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buy",$C$3:$C218,C219))),1),0),"Can't","OK"),IF(IFERROR(VLOOKUP(C219,Upgrades!$N$4:$T$47,2,FALSE),0)="scraps",IF(J218&lt;IFERROR(FLOOR(IFERROR(VLOOKUP(C219,Upgrades!$N$4:$T$47,3,FALSE),0)*(IFERROR(VLOOKUP(C219,Upgrades!$N$4:$T$47,4,FALSE),0)^(COUNTIFS($B$3:$B218,"Buy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buy",$C$3:$C218,C219))),1),0),"Can't","OK"),IF(IFERROR(VLOOKUP(C219,Upgrades!$N$4:$T$47,2,FALSE),0)="mats","Can't","OK")))),"Check")))))</f>
        <v/>
      </c>
      <c r="F219" s="7">
        <f>IF(B219="","",IF(AND(B219="Fight boss",I218&lt;IF((IFERROR(VLOOKUP(C219,Monsters!$T$4:$AH$15,15,FALSE),0))=0,120,IFERROR(VLOOKUP(C219,Monsters!$T$4:$AH$15,15,FALSE),0))),"Can't — need "&amp;TEXT(IF((IFERROR(VLOOKUP(C219,Monsters!$T$4:$AH$15,15,FALSE),0))=0,120,IFERROR(VLOOKUP(C219,Monsters!$T$4:$AH$15,15,FALSE),0))-I218,"0.0")&amp;" more Slayer points on the meter",IF(AND(B219="Hire hunter",C219="Briar",AD218&gt;=1),"Can't — already hired",IF(AND(B219="Hire hunter",H218&lt;IF(C219="Briar",140,IF(C219="Quill",3650,IF(C219="Moss",4850,IF(C219="Ember",12200,0))))),"Can't — need "&amp;TEXT(IF(C219="Briar",140,IF(C219="Quill",3650,IF(C219="Moss",4850,IF(C219="Ember",12200,0))))-H218,"0")&amp;" more gold",IF(AND(OR(B219="Buy upgrade",B219="Forge/Scrapwork buy"),IFERROR(VLOOKUP(C219,Upgrades!$N$4:$T$47,2,FALSE),0)="points"),"Can't — Sp-wallet spends not tracked here",IF(AND(OR(B219="Buy upgrade",B219="Forge/Scrapwork buy"),IFERROR(VLOOKUP(C219,Upgrades!$N$4:$T$47,2,FALSE),0)="gold",H218&lt;IFERROR(FLOOR(IFERROR(VLOOKUP(C219,Upgrades!$N$4:$T$47,3,FALSE),0)*(IFERROR(VLOOKUP(C219,Upgrades!$N$4:$T$47,4,FALSE),0)^(COUNTIFS($B$3:$B218,"Buy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buy",$C$3:$C218,C219))),1),0)),"Can't — need "&amp;TEXT(IFERROR(FLOOR(IFERROR(VLOOKUP(C219,Upgrades!$N$4:$T$47,3,FALSE),0)*(IFERROR(VLOOKUP(C219,Upgrades!$N$4:$T$47,4,FALSE),0)^(COUNTIFS($B$3:$B218,"Buy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buy",$C$3:$C218,C219))),1),0)-H218,"0")&amp;" more gold",IF(AND(OR(B219="Buy upgrade",B219="Forge/Scrapwork buy"),IFERROR(VLOOKUP(C219,Upgrades!$N$4:$T$47,2,FALSE),0)="scraps",J218&lt;IFERROR(FLOOR(IFERROR(VLOOKUP(C219,Upgrades!$N$4:$T$47,3,FALSE),0)*(IFERROR(VLOOKUP(C219,Upgrades!$N$4:$T$47,4,FALSE),0)^(COUNTIFS($B$3:$B218,"Buy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buy",$C$3:$C218,C219))),1),0)),"Can't — need "&amp;TEXT(IFERROR(FLOOR(IFERROR(VLOOKUP(C219,Upgrades!$N$4:$T$47,3,FALSE),0)*(IFERROR(VLOOKUP(C219,Upgrades!$N$4:$T$47,4,FALSE),0)^(COUNTIFS($B$3:$B218,"Buy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buy",$C$3:$C218,C219))),1),0)-J218,"0")&amp;" more scraps",IF(AND(B219="Fight boss",E219="OK",(IF((((105/'Rules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Formulas'!B12)),"WIN — boss down, next Level unlocks",IF(AND(B219="Fight boss",E219="OK"),"LOSE — TTK "&amp;TEXT(IF((((105/'Rules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Formulas'!B20*SQRT(1+0.55*(AG218&gt;=1))),0)))),"0")&amp;"s &gt; patience "&amp;TEXT('Rules &amp; Formulas'!B12,"0")&amp;"s (leave resets HP)",IF(B219="Go AFK","AFK resolved (see AFK counted h)","Applied")))))))))</f>
        <v/>
      </c>
      <c r="G219" s="7">
        <f>IF(AND((E219="OK"),B219="Fight boss",(IF((((105/'Rules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Formulas'!B12),C219="Elder Thornpelt"),2,IF(AND((E219="OK"),B219="Fight boss",(IF((((105/'Rules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Formulas'!B12),C219="Ashfang Alpha"),3,G218))</f>
        <v/>
      </c>
      <c r="H219" s="7">
        <f>MAX(0,H218+IF(AND((E219="OK"),B219="Hunt"),(IF(B219="Hunt",(('Rules &amp; Formulas'!B4*N218*('Rules &amp; Formulas'!B5+O218)*IFERROR(VLOOKUP(C219,Monsters!$T$4:$AH$15,10,FALSE),0)*IFERROR(VLOOKUP(C219,Monsters!$T$4:$AH$15,9,FALSE),0))*'Rules &amp; Formulas'!B6)*IF(D219="",0,D219),0))*(IFERROR(VLOOKUP(C219,Monsters!$T$4:$AH$15,3,FALSE),0))*(1+0.1*AH218)+(IF(OR(B219&lt;&gt;"Hunt",IFERROR(VLOOKUP(C219,Monsters!$T$4:$AH$15,6,FALSE),0)=0),0,FLOOR((IF(B219="Hunt",(('Rules &amp; Formulas'!B4*N218*('Rules &amp; Formulas'!B5+O218)*IFERROR(VLOOKUP(C219,Monsters!$T$4:$AH$15,10,FALSE),0)*IFERROR(VLOOKUP(C219,Monsters!$T$4:$AH$15,9,FALSE),0))*'Rules &amp; Formulas'!B6)*IF(D219="",0,D219),0))/MAX(1,IFERROR(VLOOKUP(C219,Monsters!$T$4:$AH$15,6,FALSE),0)),1)))*(IFERROR(VLOOKUP(C219,Monsters!$T$4:$AH$15,7,FALSE),0))*0.5*(1+0.1*AH218),0)+IF(AND((E219="OK"),B219="Go AFK"),(IF(B219="Go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AFK",IF(D219="",0,D219),0),Z218/60)*60)),0))*(IFERROR(VLOOKUP(C219,Monsters!$T$4:$AH$15,3,FALSE),0))*(1+0.1*AH218)+(IF(OR(B219&lt;&gt;"Go AFK",IFERROR(VLOOKUP(C219,Monsters!$T$4:$AH$15,6,FALSE),0)=0),0,FLOOR((IF(B219="Go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AFK",IF(D219="",0,D219),0),Z218/60)*60)),0))/MAX(1,IFERROR(VLOOKUP(C219,Monsters!$T$4:$AH$15,6,FALSE),0)),1)))*(IFERROR(VLOOKUP(C219,Monsters!$T$4:$AH$15,7,FALSE),0))*0.5*(1+0.1*AH218),0)+IF(AND((E219="OK"),B219="Fight boss",(IF((((105/'Rules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Formulas'!B12)),IFERROR(VLOOKUP(C219,Monsters!$T$4:$AH$15,3,FALSE),0),0)-IF(AND((E219="OK"),OR(B219="Buy upgrade",B219="Forge/Scrapwork buy"),IFERROR(VLOOKUP(C219,Upgrades!$N$4:$T$47,2,FALSE),0)="gold"),IFERROR(FLOOR(IFERROR(VLOOKUP(C219,Upgrades!$N$4:$T$47,3,FALSE),0)*(IFERROR(VLOOKUP(C219,Upgrades!$N$4:$T$47,4,FALSE),0)^(COUNTIFS($B$3:$B218,"Buy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buy",$C$3:$C218,C219))),1),0),0)-IF(AND((E219="OK"),B219="Hire hunter"),IF(C219="Briar",140,IF(C219="Quill",3650,IF(C219="Moss",4850,IF(C219="Ember",12200,0)))),0))</f>
        <v/>
      </c>
      <c r="I219" s="7">
        <f>IF(AND((E219="OK"),B219="Fight boss",(IF((((105/'Rules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Formulas'!B12)),0,MIN(IF(G218&lt;=1,120,IF(G218=2,280,600)),I218+IF(AND((E219="OK"),B219="Hunt"),((IF(B219="Hunt",(('Rules &amp; Formulas'!B4*N218*('Rules &amp; Formulas'!B5+O218)*IFERROR(VLOOKUP(C219,Monsters!$T$4:$AH$15,10,FALSE),0)*IFERROR(VLOOKUP(C219,Monsters!$T$4:$AH$15,9,FALSE),0))*'Rules &amp; Formulas'!B6)*IF(D219="",0,D219),0))*(IFERROR(VLOOKUP(C219,Monsters!$T$4:$AH$15,4,FALSE),0))+(IF(OR(B219&lt;&gt;"Hunt",IFERROR(VLOOKUP(C219,Monsters!$T$4:$AH$15,6,FALSE),0)=0),0,FLOOR((IF(B219="Hunt",(('Rules &amp; Formulas'!B4*N218*('Rules &amp; Formulas'!B5+O218)*IFERROR(VLOOKUP(C219,Monsters!$T$4:$AH$15,10,FALSE),0)*IFERROR(VLOOKUP(C219,Monsters!$T$4:$AH$15,9,FALSE),0))*'Rules &amp; Formulas'!B6)*IF(D219="",0,D219),0))/MAX(1,IFERROR(VLOOKUP(C219,Monsters!$T$4:$AH$15,6,FALSE),0)),1)))*(IFERROR(VLOOKUP(C219,Monsters!$T$4:$AH$15,7,FALSE),0))),0)+IF(AND((E219="OK"),B219="Go AFK"),((IF(B219="Go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AFK",IF(D219="",0,D219),0),Z218/60)*60)),0))*(IFERROR(VLOOKUP(C219,Monsters!$T$4:$AH$15,4,FALSE),0))+(IF(OR(B219&lt;&gt;"Go AFK",IFERROR(VLOOKUP(C219,Monsters!$T$4:$AH$15,6,FALSE),0)=0),0,FLOOR((IF(B219="Go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AFK",IF(D219="",0,D219),0),Z218/60)*60)),0))/MAX(1,IFERROR(VLOOKUP(C219,Monsters!$T$4:$AH$15,6,FALSE),0)),1)))*(IFERROR(VLOOKUP(C219,Monsters!$T$4:$AH$15,7,FALSE),0))),0)))</f>
        <v/>
      </c>
      <c r="J219" s="7">
        <f>MAX(0,J218+IF(AND((E219="OK"),B219="Hunt"),(IF(B219="Hunt",(('Rules &amp; Formulas'!B4*N218*('Rules &amp; Formulas'!B5+O218)*IFERROR(VLOOKUP(C219,Monsters!$T$4:$AH$15,10,FALSE),0)*IFERROR(VLOOKUP(C219,Monsters!$T$4:$AH$15,9,FALSE),0))*'Rules &amp; Formulas'!B6)*IF(D219="",0,D219),0))*(IFERROR(VLOOKUP(C219,Monsters!$T$4:$AH$15,5,FALSE),0)),0)+IF(AND((E219="OK"),B219="Go AFK"),(IF(B219="Go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AFK",IF(D219="",0,D219),0),Z218/60)*60)),0))*(IFERROR(VLOOKUP(C219,Monsters!$T$4:$AH$15,5,FALSE),0)),0)-IF(AND((E219="OK"),OR(B219="Buy upgrade",B219="Forge/Scrapwork buy"),IFERROR(VLOOKUP(C219,Upgrades!$N$4:$T$47,2,FALSE),0)="scraps"),IFERROR(FLOOR(IFERROR(VLOOKUP(C219,Upgrades!$N$4:$T$47,3,FALSE),0)*(IFERROR(VLOOKUP(C219,Upgrades!$N$4:$T$47,4,FALSE),0)^(COUNTIFS($B$3:$B218,"Buy upgrade",$C$3:$C218,C219)+COUNTIFS($B$3:$B218,"Hire hunter",$C$3:$C218,C219)+COUNTIFS($B$3:$B218,"Forge/Scrapwork buy",$C$3:$C218,C219))),1),0),0))</f>
        <v/>
      </c>
      <c r="K219" s="7">
        <f>MAX(0,K218+IF(AND((E219="OK"),B219="Hunt"),IF(C219="Thornpelt Bear",(IF(B219="Hunt",(('Rules &amp; Formulas'!B4*N218*('Rules &amp; Formulas'!B5+O218)*IFERROR(VLOOKUP(C219,Monsters!$T$4:$AH$15,10,FALSE),0)*IFERROR(VLOOKUP(C219,Monsters!$T$4:$AH$15,9,FALSE),0))*'Rules &amp; Formulas'!B6)*IF(D219="",0,D219),0))*0.12,0),0)+IF(AND((E219="OK"),B219="Go AFK"),IF(C219="Thornpelt Bear",(IF(B219="Go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AFK",IF(D219="",0,D219),0),Z218/60)*60)),0))*0.12,0),0))</f>
        <v/>
      </c>
      <c r="L219" s="7">
        <f>MAX(0,L218+IF(AND((E219="OK"),B219="Hunt"),IF(C219="Dire Thornpelt",(IF(B219="Hunt",(('Rules &amp; Formulas'!B4*N218*('Rules &amp; Formulas'!B5+O218)*IFERROR(VLOOKUP(C219,Monsters!$T$4:$AH$15,10,FALSE),0)*IFERROR(VLOOKUP(C219,Monsters!$T$4:$AH$15,9,FALSE),0))*'Rules &amp; Formulas'!B6)*IF(D219="",0,D219),0))*0.1,0),0)+IF(AND((E219="OK"),B219="Go AFK"),IF(C219="Dire Thornpelt",(IF(B219="Go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AFK",IF(D219="",0,D219),0),Z218/60)*60)),0))*0.1,0),0))</f>
        <v/>
      </c>
      <c r="M219" s="7">
        <f>IF(AND((E219="OK"),B219="Go AFK"),MAX(0,MIN(('Rules &amp; Formulas'!B15+25*AJ218),M218+('Rules &amp; Formulas'!B14+0.4*AJ218)*(MIN(IF(B219="Go AFK",IF(D219="",0,D219),0),Z218/60)*60))-(IF(B219="Go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AFK",IF(D219="",0,D219),0),Z218/60)*60)),0))*(IF((IFERROR(VLOOKUP(C219,Monsters!$T$4:$AH$15,8,FALSE),0))=0,0.35,IFERROR(VLOOKUP(C219,Monsters!$T$4:$AH$15,8,FALSE),0))/(1+0.08*AK218))),MIN(('Rules &amp; Formulas'!B15+25*AJ219),M218))</f>
        <v/>
      </c>
      <c r="N219" s="7">
        <f>(1+0.08+0.12*AA219+0.12*AB219+0.16*AC219)</f>
        <v/>
      </c>
      <c r="O219" s="7">
        <f>((AD219&gt;=1)*1*(1+0.3*AE219))</f>
        <v/>
      </c>
      <c r="P219" s="7">
        <f>IF(OR(B219="Hunt",B219="Go AFK"),(('Rules &amp; Formulas'!B4*N218*('Rules &amp; Formulas'!B5+O218)*IFERROR(VLOOKUP(C219,Monsters!$T$4:$AH$15,10,FALSE),0)*IFERROR(VLOOKUP(C219,Monsters!$T$4:$AH$15,9,FALSE),0))*'Rules &amp; Formulas'!B6),"")</f>
        <v/>
      </c>
      <c r="Q219" s="7">
        <f>IF(OR(B219="Hunt",B219="Go AFK"),('Rules &amp; Formulas'!B4*N218*('Rules &amp; Formulas'!B5+O218)*IFERROR(VLOOKUP(C219,Monsters!$T$4:$AH$15,10,FALSE),0)*IFERROR(VLOOKUP(C219,Monsters!$T$4:$AH$15,9,FALSE),0)),"")</f>
        <v/>
      </c>
      <c r="R219" s="7">
        <f>IF(AND((E219="OK"),B219="Hunt"),IF(B219="Hunt",(('Rules &amp; Formulas'!B4*N218*('Rules &amp; Formulas'!B5+O218)*IFERROR(VLOOKUP(C219,Monsters!$T$4:$AH$15,10,FALSE),0)*IFERROR(VLOOKUP(C219,Monsters!$T$4:$AH$15,9,FALSE),0))*'Rules &amp; Formulas'!B6)*IF(D219="",0,D219),0),IF(AND((E219="OK"),B219="Go AFK"),IF(B219="Go AFK",MIN(IF((IF((IFERROR(VLOOKUP(C219,Monsters!$T$4:$AH$15,8,FALSE),0))=0,0.35,IFERROR(VLOOKUP(C219,Monsters!$T$4:$AH$15,8,FALSE),0))/(1+0.08*AK218))&lt;=0,999999,FLOOR(MIN(('Rules &amp; Formulas'!B15+25*AJ218),M218+('Rules &amp; Formulas'!B14+0.4*AJ218)*(MIN(IF(B219="Go AFK",IF(D219="",0,D219),0),Z218/60)*60))/(IF((IFERROR(VLOOKUP(C219,Monsters!$T$4:$AH$15,8,FALSE),0))=0,0.35,IFERROR(VLOOKUP(C219,Monsters!$T$4:$AH$15,8,FALSE),0))/(1+0.08*AK218)),1)),('Rules &amp; Formulas'!B4*N218*('Rules &amp; Formulas'!B5+O218)*IFERROR(VLOOKUP(C219,Monsters!$T$4:$AH$15,10,FALSE),0)*IFERROR(VLOOKUP(C219,Monsters!$T$4:$AH$15,9,FALSE),0))*(MIN(IF(B219="Go AFK",IF(D219="",0,D219),0),Z218/60)*60)),0),0))</f>
        <v/>
      </c>
      <c r="S219" s="7">
        <f>(105/'Rules &amp; Formulas'!B10)*'Rules &amp; Formulas'!B11</f>
        <v/>
      </c>
      <c r="T219" s="7">
        <f>IF(AD218&gt;=1,(MAX(1,ROUND('Rules &amp; Formulas'!B18*(1+0.3*AE218)*(1+0.4*AF218),0)))*(1000/'Rules &amp; Formulas'!B19)*MIN(0.95,'Rules &amp; Formulas'!B20*SQRT(1+0.55*(AG218&gt;=1))),0)</f>
        <v/>
      </c>
      <c r="U219" s="7">
        <f>S219+T219</f>
        <v/>
      </c>
      <c r="V219" s="7">
        <f>IF(I218&gt;=IF((IFERROR(VLOOKUP(C219,Monsters!$T$4:$AH$15,15,FALSE),0))=0,120,IFERROR(VLOOKUP(C219,Monsters!$T$4:$AH$15,15,FALSE),0)),"YES","no")</f>
        <v/>
      </c>
      <c r="W219" s="7">
        <f>IF(AND(B219="Fight boss",E219="OK"),IF((((105/'Rules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Formulas'!B20*SQRT(1+0.55*(AG218&gt;=1))),0)))),"")</f>
        <v/>
      </c>
      <c r="X219" s="7">
        <f>IF(AND(B219="Fight boss",E219="OK"),IF((IF((((105/'Rules &amp; Formulas'!B10)*'Rules &amp; Formulas'!B11+IF(AD218&gt;=1,(MAX(1,ROUND('Rules &amp; Formulas'!B18*(1+0.3*AE218)*(1+0.4*AF218),0)))*(1000/'Rules &amp; Formulas'!B19)*MIN(0.95,'Rules &amp; Formulas'!B20*SQRT(1+0.55*(AG218&gt;=1))),0)))&lt;=0,9999,(IFERROR(VLOOKUP(C219,Monsters!$T$4:$AH$15,2,FALSE),0))/(((105/'Rules &amp; Formulas'!B10)*'Rules &amp; Formulas'!B11+IF(AD218&gt;=1,(MAX(1,ROUND('Rules &amp; Formulas'!B18*(1+0.3*AE218)*(1+0.4*AF218),0)))*(1000/'Rules &amp; Formulas'!B19)*MIN(0.95,'Rules &amp; Formulas'!B20*SQRT(1+0.55*(AG218&gt;=1))),0))))&lt;='Rules &amp; Formulas'!B12),"WIN","LOSE"),"")</f>
        <v/>
      </c>
      <c r="Y219" s="7">
        <f>IF(B219="Go AFK",MIN(IF(B219="Go AFK",IF(D219="",0,D219),0),Z218/60),"")</f>
        <v/>
      </c>
      <c r="Z219" s="7">
        <f>('Rules &amp; Formulas'!B13+30*AI219)</f>
        <v/>
      </c>
      <c r="AA219">
        <f>COUNTIFS($B$3:$B219,"Buy upgrade",$C$3:$C219,"Idle Power")</f>
        <v/>
      </c>
      <c r="AB219">
        <f>COUNTIFS($B$3:$B219,"Buy upgrade",$C$3:$C219,"Iron Blade")</f>
        <v/>
      </c>
      <c r="AC219">
        <f>COUNTIFS($B$3:$B219,"Buy upgrade",$C$3:$C219,"Steel Blade")</f>
        <v/>
      </c>
      <c r="AD219">
        <f>COUNTIFS($B$3:$B219,"Hire hunter",$C$3:$C219,"Briar")+COUNTIFS($B$3:$B219,"Buy upgrade",$C$3:$C219,"Hire Briar")</f>
        <v/>
      </c>
      <c r="AE219">
        <f>COUNTIFS($B$3:$B219,"Buy upgrade",$C$3:$C219,"Hunter Power")</f>
        <v/>
      </c>
      <c r="AF219">
        <f>COUNTIFS($B$3:$B219,"Buy upgrade",$C$3:$C219,"Bigger Hits")</f>
        <v/>
      </c>
      <c r="AG219">
        <f>COUNTIFS($B$3:$B219,"Buy upgrade",$C$3:$C219,"Swift Walk")</f>
        <v/>
      </c>
      <c r="AH219">
        <f>COUNTIFS($B$3:$B219,"Buy upgrade",$C$3:$C219,"Loot Luck")</f>
        <v/>
      </c>
      <c r="AI219">
        <f>COUNTIFS($B$3:$B219,"Buy upgrade",$C$3:$C219,"Offline Cap")</f>
        <v/>
      </c>
      <c r="AJ219">
        <f>COUNTIFS($B$3:$B219,"Buy upgrade",$C$3:$C219,"Bigger Food Stock")</f>
        <v/>
      </c>
      <c r="AK219">
        <f>COUNTIFS($B$3:$B219,"Buy upgrade",$C$3:$C219,"Food Efficiency")</f>
        <v/>
      </c>
    </row>
    <row r="220">
      <c r="A220" t="n">
        <v>218</v>
      </c>
      <c r="B220" s="6" t="n"/>
      <c r="C220" s="6" t="n"/>
      <c r="D220" s="6" t="n"/>
      <c r="E220" s="7">
        <f>IF(B220="","",IF(OR(B220="Hunt",B220="Go AFK"),IF(C220="","Can't","OK"),IF(B220="Fight boss",IF(I219&lt;IF((IFERROR(VLOOKUP(C220,Monsters!$T$4:$AH$15,15,FALSE),0))=0,120,IFERROR(VLOOKUP(C220,Monsters!$T$4:$AH$15,15,FALSE),0)),"Can't","OK"),IF(B220="Hire hunter",IF(AND(C220="Briar",AD219&gt;=1),"Can't",IF(H219&lt;IF(C220="Briar",140,IF(C220="Quill",3650,IF(C220="Moss",4850,IF(C220="Ember",12200,0)))),"Can't","OK")),IF(OR(B220="Buy upgrade",B220="Forge/Scrapwork buy"),IF(IFERROR(VLOOKUP(C220,Upgrades!$N$4:$T$47,2,FALSE),0)="points","Can't",IF(IFERROR(VLOOKUP(C220,Upgrades!$N$4:$T$47,2,FALSE),0)="gold",IF(H219&lt;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buy",$C$3:$C219,C220))),1),0),"Can't","OK"),IF(IFERROR(VLOOKUP(C220,Upgrades!$N$4:$T$47,2,FALSE),0)="scraps",IF(J219&lt;IFERROR(FLOOR(IFERROR(VLOOKUP(C220,Upgrades!$N$4:$T$47,3,FALSE),0)*(IFERROR(VLOOKUP(C220,Upgrades!$N$4:$T$47,4,FALSE),0)^(COUNTIFS($B$3:$B219,"Buy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buy",$C$3:$C219,C220))),1),0),"Can't","OK"),IF(IFERROR(VLOOKUP(C220,Upgrades!$N$4:$T$47,2,FALSE),0)="mats","Can't","OK")))),"Check")))))</f>
        <v/>
      </c>
      <c r="F220" s="7">
        <f>IF(B220="","",IF(AND(B220="Fight boss",I219&lt;IF((IFERROR(VLOOKUP(C220,Monsters!$T$4:$AH$15,15,FALSE),0))=0,120,IFERROR(VLOOKUP(C220,Monsters!$T$4:$AH$15,15,FALSE),0))),"Can't — need "&amp;TEXT(IF((IFERROR(VLOOKUP(C220,Monsters!$T$4:$AH$15,15,FALSE),0))=0,120,IFERROR(VLOOKUP(C220,Monsters!$T$4:$AH$15,15,FALSE),0))-I219,"0.0")&amp;" more Slayer points on the meter",IF(AND(B220="Hire hunter",C220="Briar",AD219&gt;=1),"Can't — already hired",IF(AND(B220="Hire hunter",H219&lt;IF(C220="Briar",140,IF(C220="Quill",3650,IF(C220="Moss",4850,IF(C220="Ember",12200,0))))),"Can't — need "&amp;TEXT(IF(C220="Briar",140,IF(C220="Quill",3650,IF(C220="Moss",4850,IF(C220="Ember",12200,0))))-H219,"0")&amp;" more gold",IF(AND(OR(B220="Buy upgrade",B220="Forge/Scrapwork buy"),IFERROR(VLOOKUP(C220,Upgrades!$N$4:$T$47,2,FALSE),0)="points"),"Can't — Sp-wallet spends not tracked here",IF(AND(OR(B220="Buy upgrade",B220="Forge/Scrapwork buy"),IFERROR(VLOOKUP(C220,Upgrades!$N$4:$T$47,2,FALSE),0)="gold",H219&lt;IFERROR(FLOOR(IFERROR(VLOOKUP(C220,Upgrades!$N$4:$T$47,3,FALSE),0)*(IFERROR(VLOOKUP(C220,Upgrades!$N$4:$T$47,4,FALSE),0)^(COUNTIFS($B$3:$B219,"Buy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buy",$C$3:$C219,C220))),1),0)),"Can't — need "&amp;TEXT(IFERROR(FLOOR(IFERROR(VLOOKUP(C220,Upgrades!$N$4:$T$47,3,FALSE),0)*(IFERROR(VLOOKUP(C220,Upgrades!$N$4:$T$47,4,FALSE),0)^(COUNTIFS($B$3:$B219,"Buy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buy",$C$3:$C219,C220))),1),0)-H219,"0")&amp;" more gold",IF(AND(OR(B220="Buy upgrade",B220="Forge/Scrapwork buy"),IFERROR(VLOOKUP(C220,Upgrades!$N$4:$T$47,2,FALSE),0)="scraps",J219&lt;IFERROR(FLOOR(IFERROR(VLOOKUP(C220,Upgrades!$N$4:$T$47,3,FALSE),0)*(IFERROR(VLOOKUP(C220,Upgrades!$N$4:$T$47,4,FALSE),0)^(COUNTIFS($B$3:$B219,"Buy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buy",$C$3:$C219,C220))),1),0)),"Can't — need "&amp;TEXT(IFERROR(FLOOR(IFERROR(VLOOKUP(C220,Upgrades!$N$4:$T$47,3,FALSE),0)*(IFERROR(VLOOKUP(C220,Upgrades!$N$4:$T$47,4,FALSE),0)^(COUNTIFS($B$3:$B219,"Buy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buy",$C$3:$C219,C220))),1),0)-J219,"0")&amp;" more scraps",IF(AND(B220="Fight boss",E220="OK",(IF((((105/'Rules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Formulas'!B12)),"WIN — boss down, next Level unlocks",IF(AND(B220="Fight boss",E220="OK"),"LOSE — TTK "&amp;TEXT(IF((((105/'Rules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Formulas'!B20*SQRT(1+0.55*(AG219&gt;=1))),0)))),"0")&amp;"s &gt; patience "&amp;TEXT('Rules &amp; Formulas'!B12,"0")&amp;"s (leave resets HP)",IF(B220="Go AFK","AFK resolved (see AFK counted h)","Applied")))))))))</f>
        <v/>
      </c>
      <c r="G220" s="7">
        <f>IF(AND((E220="OK"),B220="Fight boss",(IF((((105/'Rules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Formulas'!B12),C220="Elder Thornpelt"),2,IF(AND((E220="OK"),B220="Fight boss",(IF((((105/'Rules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Formulas'!B12),C220="Ashfang Alpha"),3,G219))</f>
        <v/>
      </c>
      <c r="H220" s="7">
        <f>MAX(0,H219+IF(AND((E220="OK"),B220="Hunt"),(IF(B220="Hunt",(('Rules &amp; Formulas'!B4*N219*('Rules &amp; Formulas'!B5+O219)*IFERROR(VLOOKUP(C220,Monsters!$T$4:$AH$15,10,FALSE),0)*IFERROR(VLOOKUP(C220,Monsters!$T$4:$AH$15,9,FALSE),0))*'Rules &amp; Formulas'!B6)*IF(D220="",0,D220),0))*(IFERROR(VLOOKUP(C220,Monsters!$T$4:$AH$15,3,FALSE),0))*(1+0.1*AH219)+(IF(OR(B220&lt;&gt;"Hunt",IFERROR(VLOOKUP(C220,Monsters!$T$4:$AH$15,6,FALSE),0)=0),0,FLOOR((IF(B220="Hunt",(('Rules &amp; Formulas'!B4*N219*('Rules &amp; Formulas'!B5+O219)*IFERROR(VLOOKUP(C220,Monsters!$T$4:$AH$15,10,FALSE),0)*IFERROR(VLOOKUP(C220,Monsters!$T$4:$AH$15,9,FALSE),0))*'Rules &amp; Formulas'!B6)*IF(D220="",0,D220),0))/MAX(1,IFERROR(VLOOKUP(C220,Monsters!$T$4:$AH$15,6,FALSE),0)),1)))*(IFERROR(VLOOKUP(C220,Monsters!$T$4:$AH$15,7,FALSE),0))*0.5*(1+0.1*AH219),0)+IF(AND((E220="OK"),B220="Go AFK"),(IF(B220="Go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AFK",IF(D220="",0,D220),0),Z219/60)*60)),0))*(IFERROR(VLOOKUP(C220,Monsters!$T$4:$AH$15,3,FALSE),0))*(1+0.1*AH219)+(IF(OR(B220&lt;&gt;"Go AFK",IFERROR(VLOOKUP(C220,Monsters!$T$4:$AH$15,6,FALSE),0)=0),0,FLOOR((IF(B220="Go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AFK",IF(D220="",0,D220),0),Z219/60)*60)),0))/MAX(1,IFERROR(VLOOKUP(C220,Monsters!$T$4:$AH$15,6,FALSE),0)),1)))*(IFERROR(VLOOKUP(C220,Monsters!$T$4:$AH$15,7,FALSE),0))*0.5*(1+0.1*AH219),0)+IF(AND((E220="OK"),B220="Fight boss",(IF((((105/'Rules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Formulas'!B12)),IFERROR(VLOOKUP(C220,Monsters!$T$4:$AH$15,3,FALSE),0),0)-IF(AND((E220="OK"),OR(B220="Buy upgrade",B220="Forge/Scrapwork buy"),IFERROR(VLOOKUP(C220,Upgrades!$N$4:$T$47,2,FALSE),0)="gold"),IFERROR(FLOOR(IFERROR(VLOOKUP(C220,Upgrades!$N$4:$T$47,3,FALSE),0)*(IFERROR(VLOOKUP(C220,Upgrades!$N$4:$T$47,4,FALSE),0)^(COUNTIFS($B$3:$B219,"Buy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buy",$C$3:$C219,C220))),1),0),0)-IF(AND((E220="OK"),B220="Hire hunter"),IF(C220="Briar",140,IF(C220="Quill",3650,IF(C220="Moss",4850,IF(C220="Ember",12200,0)))),0))</f>
        <v/>
      </c>
      <c r="I220" s="7">
        <f>IF(AND((E220="OK"),B220="Fight boss",(IF((((105/'Rules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Formulas'!B12)),0,MIN(IF(G219&lt;=1,120,IF(G219=2,280,600)),I219+IF(AND((E220="OK"),B220="Hunt"),((IF(B220="Hunt",(('Rules &amp; Formulas'!B4*N219*('Rules &amp; Formulas'!B5+O219)*IFERROR(VLOOKUP(C220,Monsters!$T$4:$AH$15,10,FALSE),0)*IFERROR(VLOOKUP(C220,Monsters!$T$4:$AH$15,9,FALSE),0))*'Rules &amp; Formulas'!B6)*IF(D220="",0,D220),0))*(IFERROR(VLOOKUP(C220,Monsters!$T$4:$AH$15,4,FALSE),0))+(IF(OR(B220&lt;&gt;"Hunt",IFERROR(VLOOKUP(C220,Monsters!$T$4:$AH$15,6,FALSE),0)=0),0,FLOOR((IF(B220="Hunt",(('Rules &amp; Formulas'!B4*N219*('Rules &amp; Formulas'!B5+O219)*IFERROR(VLOOKUP(C220,Monsters!$T$4:$AH$15,10,FALSE),0)*IFERROR(VLOOKUP(C220,Monsters!$T$4:$AH$15,9,FALSE),0))*'Rules &amp; Formulas'!B6)*IF(D220="",0,D220),0))/MAX(1,IFERROR(VLOOKUP(C220,Monsters!$T$4:$AH$15,6,FALSE),0)),1)))*(IFERROR(VLOOKUP(C220,Monsters!$T$4:$AH$15,7,FALSE),0))),0)+IF(AND((E220="OK"),B220="Go AFK"),((IF(B220="Go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AFK",IF(D220="",0,D220),0),Z219/60)*60)),0))*(IFERROR(VLOOKUP(C220,Monsters!$T$4:$AH$15,4,FALSE),0))+(IF(OR(B220&lt;&gt;"Go AFK",IFERROR(VLOOKUP(C220,Monsters!$T$4:$AH$15,6,FALSE),0)=0),0,FLOOR((IF(B220="Go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AFK",IF(D220="",0,D220),0),Z219/60)*60)),0))/MAX(1,IFERROR(VLOOKUP(C220,Monsters!$T$4:$AH$15,6,FALSE),0)),1)))*(IFERROR(VLOOKUP(C220,Monsters!$T$4:$AH$15,7,FALSE),0))),0)))</f>
        <v/>
      </c>
      <c r="J220" s="7">
        <f>MAX(0,J219+IF(AND((E220="OK"),B220="Hunt"),(IF(B220="Hunt",(('Rules &amp; Formulas'!B4*N219*('Rules &amp; Formulas'!B5+O219)*IFERROR(VLOOKUP(C220,Monsters!$T$4:$AH$15,10,FALSE),0)*IFERROR(VLOOKUP(C220,Monsters!$T$4:$AH$15,9,FALSE),0))*'Rules &amp; Formulas'!B6)*IF(D220="",0,D220),0))*(IFERROR(VLOOKUP(C220,Monsters!$T$4:$AH$15,5,FALSE),0)),0)+IF(AND((E220="OK"),B220="Go AFK"),(IF(B220="Go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AFK",IF(D220="",0,D220),0),Z219/60)*60)),0))*(IFERROR(VLOOKUP(C220,Monsters!$T$4:$AH$15,5,FALSE),0)),0)-IF(AND((E220="OK"),OR(B220="Buy upgrade",B220="Forge/Scrapwork buy"),IFERROR(VLOOKUP(C220,Upgrades!$N$4:$T$47,2,FALSE),0)="scraps"),IFERROR(FLOOR(IFERROR(VLOOKUP(C220,Upgrades!$N$4:$T$47,3,FALSE),0)*(IFERROR(VLOOKUP(C220,Upgrades!$N$4:$T$47,4,FALSE),0)^(COUNTIFS($B$3:$B219,"Buy upgrade",$C$3:$C219,C220)+COUNTIFS($B$3:$B219,"Hire hunter",$C$3:$C219,C220)+COUNTIFS($B$3:$B219,"Forge/Scrapwork buy",$C$3:$C219,C220))),1),0),0))</f>
        <v/>
      </c>
      <c r="K220" s="7">
        <f>MAX(0,K219+IF(AND((E220="OK"),B220="Hunt"),IF(C220="Thornpelt Bear",(IF(B220="Hunt",(('Rules &amp; Formulas'!B4*N219*('Rules &amp; Formulas'!B5+O219)*IFERROR(VLOOKUP(C220,Monsters!$T$4:$AH$15,10,FALSE),0)*IFERROR(VLOOKUP(C220,Monsters!$T$4:$AH$15,9,FALSE),0))*'Rules &amp; Formulas'!B6)*IF(D220="",0,D220),0))*0.12,0),0)+IF(AND((E220="OK"),B220="Go AFK"),IF(C220="Thornpelt Bear",(IF(B220="Go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AFK",IF(D220="",0,D220),0),Z219/60)*60)),0))*0.12,0),0))</f>
        <v/>
      </c>
      <c r="L220" s="7">
        <f>MAX(0,L219+IF(AND((E220="OK"),B220="Hunt"),IF(C220="Dire Thornpelt",(IF(B220="Hunt",(('Rules &amp; Formulas'!B4*N219*('Rules &amp; Formulas'!B5+O219)*IFERROR(VLOOKUP(C220,Monsters!$T$4:$AH$15,10,FALSE),0)*IFERROR(VLOOKUP(C220,Monsters!$T$4:$AH$15,9,FALSE),0))*'Rules &amp; Formulas'!B6)*IF(D220="",0,D220),0))*0.1,0),0)+IF(AND((E220="OK"),B220="Go AFK"),IF(C220="Dire Thornpelt",(IF(B220="Go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AFK",IF(D220="",0,D220),0),Z219/60)*60)),0))*0.1,0),0))</f>
        <v/>
      </c>
      <c r="M220" s="7">
        <f>IF(AND((E220="OK"),B220="Go AFK"),MAX(0,MIN(('Rules &amp; Formulas'!B15+25*AJ219),M219+('Rules &amp; Formulas'!B14+0.4*AJ219)*(MIN(IF(B220="Go AFK",IF(D220="",0,D220),0),Z219/60)*60))-(IF(B220="Go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AFK",IF(D220="",0,D220),0),Z219/60)*60)),0))*(IF((IFERROR(VLOOKUP(C220,Monsters!$T$4:$AH$15,8,FALSE),0))=0,0.35,IFERROR(VLOOKUP(C220,Monsters!$T$4:$AH$15,8,FALSE),0))/(1+0.08*AK219))),MIN(('Rules &amp; Formulas'!B15+25*AJ220),M219))</f>
        <v/>
      </c>
      <c r="N220" s="7">
        <f>(1+0.08+0.12*AA220+0.12*AB220+0.16*AC220)</f>
        <v/>
      </c>
      <c r="O220" s="7">
        <f>((AD220&gt;=1)*1*(1+0.3*AE220))</f>
        <v/>
      </c>
      <c r="P220" s="7">
        <f>IF(OR(B220="Hunt",B220="Go AFK"),(('Rules &amp; Formulas'!B4*N219*('Rules &amp; Formulas'!B5+O219)*IFERROR(VLOOKUP(C220,Monsters!$T$4:$AH$15,10,FALSE),0)*IFERROR(VLOOKUP(C220,Monsters!$T$4:$AH$15,9,FALSE),0))*'Rules &amp; Formulas'!B6),"")</f>
        <v/>
      </c>
      <c r="Q220" s="7">
        <f>IF(OR(B220="Hunt",B220="Go AFK"),('Rules &amp; Formulas'!B4*N219*('Rules &amp; Formulas'!B5+O219)*IFERROR(VLOOKUP(C220,Monsters!$T$4:$AH$15,10,FALSE),0)*IFERROR(VLOOKUP(C220,Monsters!$T$4:$AH$15,9,FALSE),0)),"")</f>
        <v/>
      </c>
      <c r="R220" s="7">
        <f>IF(AND((E220="OK"),B220="Hunt"),IF(B220="Hunt",(('Rules &amp; Formulas'!B4*N219*('Rules &amp; Formulas'!B5+O219)*IFERROR(VLOOKUP(C220,Monsters!$T$4:$AH$15,10,FALSE),0)*IFERROR(VLOOKUP(C220,Monsters!$T$4:$AH$15,9,FALSE),0))*'Rules &amp; Formulas'!B6)*IF(D220="",0,D220),0),IF(AND((E220="OK"),B220="Go AFK"),IF(B220="Go AFK",MIN(IF((IF((IFERROR(VLOOKUP(C220,Monsters!$T$4:$AH$15,8,FALSE),0))=0,0.35,IFERROR(VLOOKUP(C220,Monsters!$T$4:$AH$15,8,FALSE),0))/(1+0.08*AK219))&lt;=0,999999,FLOOR(MIN(('Rules &amp; Formulas'!B15+25*AJ219),M219+('Rules &amp; Formulas'!B14+0.4*AJ219)*(MIN(IF(B220="Go AFK",IF(D220="",0,D220),0),Z219/60)*60))/(IF((IFERROR(VLOOKUP(C220,Monsters!$T$4:$AH$15,8,FALSE),0))=0,0.35,IFERROR(VLOOKUP(C220,Monsters!$T$4:$AH$15,8,FALSE),0))/(1+0.08*AK219)),1)),('Rules &amp; Formulas'!B4*N219*('Rules &amp; Formulas'!B5+O219)*IFERROR(VLOOKUP(C220,Monsters!$T$4:$AH$15,10,FALSE),0)*IFERROR(VLOOKUP(C220,Monsters!$T$4:$AH$15,9,FALSE),0))*(MIN(IF(B220="Go AFK",IF(D220="",0,D220),0),Z219/60)*60)),0),0))</f>
        <v/>
      </c>
      <c r="S220" s="7">
        <f>(105/'Rules &amp; Formulas'!B10)*'Rules &amp; Formulas'!B11</f>
        <v/>
      </c>
      <c r="T220" s="7">
        <f>IF(AD219&gt;=1,(MAX(1,ROUND('Rules &amp; Formulas'!B18*(1+0.3*AE219)*(1+0.4*AF219),0)))*(1000/'Rules &amp; Formulas'!B19)*MIN(0.95,'Rules &amp; Formulas'!B20*SQRT(1+0.55*(AG219&gt;=1))),0)</f>
        <v/>
      </c>
      <c r="U220" s="7">
        <f>S220+T220</f>
        <v/>
      </c>
      <c r="V220" s="7">
        <f>IF(I219&gt;=IF((IFERROR(VLOOKUP(C220,Monsters!$T$4:$AH$15,15,FALSE),0))=0,120,IFERROR(VLOOKUP(C220,Monsters!$T$4:$AH$15,15,FALSE),0)),"YES","no")</f>
        <v/>
      </c>
      <c r="W220" s="7">
        <f>IF(AND(B220="Fight boss",E220="OK"),IF((((105/'Rules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Formulas'!B20*SQRT(1+0.55*(AG219&gt;=1))),0)))),"")</f>
        <v/>
      </c>
      <c r="X220" s="7">
        <f>IF(AND(B220="Fight boss",E220="OK"),IF((IF((((105/'Rules &amp; Formulas'!B10)*'Rules &amp; Formulas'!B11+IF(AD219&gt;=1,(MAX(1,ROUND('Rules &amp; Formulas'!B18*(1+0.3*AE219)*(1+0.4*AF219),0)))*(1000/'Rules &amp; Formulas'!B19)*MIN(0.95,'Rules &amp; Formulas'!B20*SQRT(1+0.55*(AG219&gt;=1))),0)))&lt;=0,9999,(IFERROR(VLOOKUP(C220,Monsters!$T$4:$AH$15,2,FALSE),0))/(((105/'Rules &amp; Formulas'!B10)*'Rules &amp; Formulas'!B11+IF(AD219&gt;=1,(MAX(1,ROUND('Rules &amp; Formulas'!B18*(1+0.3*AE219)*(1+0.4*AF219),0)))*(1000/'Rules &amp; Formulas'!B19)*MIN(0.95,'Rules &amp; Formulas'!B20*SQRT(1+0.55*(AG219&gt;=1))),0))))&lt;='Rules &amp; Formulas'!B12),"WIN","LOSE"),"")</f>
        <v/>
      </c>
      <c r="Y220" s="7">
        <f>IF(B220="Go AFK",MIN(IF(B220="Go AFK",IF(D220="",0,D220),0),Z219/60),"")</f>
        <v/>
      </c>
      <c r="Z220" s="7">
        <f>('Rules &amp; Formulas'!B13+30*AI220)</f>
        <v/>
      </c>
      <c r="AA220">
        <f>COUNTIFS($B$3:$B220,"Buy upgrade",$C$3:$C220,"Idle Power")</f>
        <v/>
      </c>
      <c r="AB220">
        <f>COUNTIFS($B$3:$B220,"Buy upgrade",$C$3:$C220,"Iron Blade")</f>
        <v/>
      </c>
      <c r="AC220">
        <f>COUNTIFS($B$3:$B220,"Buy upgrade",$C$3:$C220,"Steel Blade")</f>
        <v/>
      </c>
      <c r="AD220">
        <f>COUNTIFS($B$3:$B220,"Hire hunter",$C$3:$C220,"Briar")+COUNTIFS($B$3:$B220,"Buy upgrade",$C$3:$C220,"Hire Briar")</f>
        <v/>
      </c>
      <c r="AE220">
        <f>COUNTIFS($B$3:$B220,"Buy upgrade",$C$3:$C220,"Hunter Power")</f>
        <v/>
      </c>
      <c r="AF220">
        <f>COUNTIFS($B$3:$B220,"Buy upgrade",$C$3:$C220,"Bigger Hits")</f>
        <v/>
      </c>
      <c r="AG220">
        <f>COUNTIFS($B$3:$B220,"Buy upgrade",$C$3:$C220,"Swift Walk")</f>
        <v/>
      </c>
      <c r="AH220">
        <f>COUNTIFS($B$3:$B220,"Buy upgrade",$C$3:$C220,"Loot Luck")</f>
        <v/>
      </c>
      <c r="AI220">
        <f>COUNTIFS($B$3:$B220,"Buy upgrade",$C$3:$C220,"Offline Cap")</f>
        <v/>
      </c>
      <c r="AJ220">
        <f>COUNTIFS($B$3:$B220,"Buy upgrade",$C$3:$C220,"Bigger Food Stock")</f>
        <v/>
      </c>
      <c r="AK220">
        <f>COUNTIFS($B$3:$B220,"Buy upgrade",$C$3:$C220,"Food Efficiency")</f>
        <v/>
      </c>
    </row>
  </sheetData>
  <mergeCells count="1">
    <mergeCell ref="A1:Z1"/>
  </mergeCells>
  <conditionalFormatting sqref="E3:E220">
    <cfRule type="expression" priority="1" dxfId="0">
      <formula>E3="OK"</formula>
    </cfRule>
    <cfRule type="expression" priority="2" dxfId="1">
      <formula>E3="Can't"</formula>
    </cfRule>
  </conditionalFormatting>
  <conditionalFormatting sqref="X3:X220">
    <cfRule type="expression" priority="3" dxfId="0">
      <formula>X3="WIN"</formula>
    </cfRule>
    <cfRule type="expression" priority="4" dxfId="1">
      <formula>X3="LOSE"</formula>
    </cfRule>
  </conditionalFormatting>
  <dataValidations count="2">
    <dataValidation sqref="B3:B220" showDropDown="0" showInputMessage="0" showErrorMessage="0" allowBlank="1" type="list">
      <formula1>Lists!$A$2:$A$7</formula1>
    </dataValidation>
    <dataValidation sqref="C3:C220" showDropDown="0" showInputMessage="0" showErrorMessage="0" allowBlank="1" type="list">
      <formula1>Lists!$B$2:$B$80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>
      <c r="A1" s="1" t="inlineStr">
        <is>
          <t>Monsters &amp; Bosses (live code)</t>
        </is>
      </c>
    </row>
    <row r="3">
      <c r="A3" s="4" t="inlineStr">
        <is>
          <t>Name</t>
        </is>
      </c>
      <c r="B3" s="4" t="inlineStr">
        <is>
          <t>Kind</t>
        </is>
      </c>
      <c r="C3" s="4" t="inlineStr">
        <is>
          <t>Level</t>
        </is>
      </c>
      <c r="D3" s="4" t="inlineStr">
        <is>
          <t>Display Lv</t>
        </is>
      </c>
      <c r="E3" s="4" t="inlineStr">
        <is>
          <t>Arena HP</t>
        </is>
      </c>
      <c r="F3" s="4" t="inlineStr">
        <is>
          <t>HP mult</t>
        </is>
      </c>
      <c r="G3" s="4" t="inlineStr">
        <is>
          <t>Gold/kill avg</t>
        </is>
      </c>
      <c r="H3" s="4" t="inlineStr">
        <is>
          <t>Slayer pts/kill</t>
        </is>
      </c>
      <c r="I3" s="4" t="inlineStr">
        <is>
          <t>Scrap chance</t>
        </is>
      </c>
      <c r="J3" s="4" t="inlineStr">
        <is>
          <t>Signature mat</t>
        </is>
      </c>
      <c r="K3" s="4" t="inlineStr">
        <is>
          <t>Mat chance</t>
        </is>
      </c>
      <c r="L3" s="4" t="inlineStr">
        <is>
          <t>Task quota</t>
        </is>
      </c>
      <c r="M3" s="4" t="inlineStr">
        <is>
          <t>Finish bonus Sp</t>
        </is>
      </c>
      <c r="N3" s="4" t="inlineStr">
        <is>
          <t>Food/kill</t>
        </is>
      </c>
      <c r="O3" s="4" t="inlineStr">
        <is>
          <t>Contract mult</t>
        </is>
      </c>
      <c r="P3" s="4" t="inlineStr">
        <is>
          <t>Area mult</t>
        </is>
      </c>
      <c r="Q3" s="4" t="inlineStr">
        <is>
          <t>Notes</t>
        </is>
      </c>
      <c r="T3" s="8" t="inlineStr">
        <is>
          <t>LOOKUP_NAME</t>
        </is>
      </c>
      <c r="U3" s="8" t="inlineStr">
        <is>
          <t>HP</t>
        </is>
      </c>
      <c r="V3" s="8" t="inlineStr">
        <is>
          <t>GAVG</t>
        </is>
      </c>
      <c r="W3" s="8" t="inlineStr">
        <is>
          <t>PPK</t>
        </is>
      </c>
      <c r="X3" s="8" t="inlineStr">
        <is>
          <t>SCRAP</t>
        </is>
      </c>
      <c r="Y3" s="8" t="inlineStr">
        <is>
          <t>QUOTA</t>
        </is>
      </c>
      <c r="Z3" s="8" t="inlineStr">
        <is>
          <t>FINISH</t>
        </is>
      </c>
      <c r="AA3" s="8" t="inlineStr">
        <is>
          <t>FOOD</t>
        </is>
      </c>
      <c r="AB3" s="8" t="inlineStr">
        <is>
          <t>CMULT</t>
        </is>
      </c>
      <c r="AC3" s="8" t="inlineStr">
        <is>
          <t>AMULT</t>
        </is>
      </c>
      <c r="AD3" s="8" t="inlineStr">
        <is>
          <t>LEVEL</t>
        </is>
      </c>
      <c r="AE3" s="8" t="inlineStr">
        <is>
          <t>MAT</t>
        </is>
      </c>
      <c r="AF3" s="8" t="inlineStr">
        <is>
          <t>MATC</t>
        </is>
      </c>
      <c r="AG3" s="8" t="inlineStr">
        <is>
          <t>KIND</t>
        </is>
      </c>
      <c r="AH3" s="8" t="inlineStr">
        <is>
          <t>BOSSCOST</t>
        </is>
      </c>
    </row>
    <row r="4">
      <c r="A4" s="7" t="inlineStr">
        <is>
          <t>Bristle Cub</t>
        </is>
      </c>
      <c r="B4" s="7" t="inlineStr">
        <is>
          <t>Hunt</t>
        </is>
      </c>
      <c r="C4" s="7" t="n">
        <v>1</v>
      </c>
      <c r="D4" s="7" t="n">
        <v>8</v>
      </c>
      <c r="E4" s="7" t="n">
        <v>105</v>
      </c>
      <c r="F4" s="7" t="n">
        <v>0.7</v>
      </c>
      <c r="G4" s="7" t="n">
        <v>1.5</v>
      </c>
      <c r="H4" s="7" t="n">
        <v>1.2</v>
      </c>
      <c r="I4" s="7" t="n">
        <v>0.28</v>
      </c>
      <c r="J4" s="7" t="inlineStr">
        <is>
          <t>—</t>
        </is>
      </c>
      <c r="K4" s="7" t="n">
        <v>0</v>
      </c>
      <c r="L4" s="7" t="n">
        <v>25</v>
      </c>
      <c r="M4" s="7" t="n">
        <v>20</v>
      </c>
      <c r="N4" s="7" t="n">
        <v>0.35</v>
      </c>
      <c r="O4" s="7" t="n">
        <v>1</v>
      </c>
      <c r="P4" s="7" t="n">
        <v>1</v>
      </c>
      <c r="Q4" s="7" t="inlineStr">
        <is>
          <t>Tutorial frail/fast</t>
        </is>
      </c>
      <c r="T4" t="inlineStr">
        <is>
          <t>Bristle Cub</t>
        </is>
      </c>
      <c r="U4" t="n">
        <v>105</v>
      </c>
      <c r="V4" t="n">
        <v>1.5</v>
      </c>
      <c r="W4" t="n">
        <v>1.2</v>
      </c>
      <c r="X4" t="n">
        <v>0.28</v>
      </c>
      <c r="Y4" t="n">
        <v>25</v>
      </c>
      <c r="Z4" t="n">
        <v>20</v>
      </c>
      <c r="AA4" t="n">
        <v>0.35</v>
      </c>
      <c r="AB4" t="n">
        <v>1</v>
      </c>
      <c r="AC4" t="n">
        <v>1</v>
      </c>
      <c r="AD4" t="n">
        <v>1</v>
      </c>
      <c r="AE4" t="inlineStr"/>
      <c r="AF4" t="n">
        <v>0</v>
      </c>
      <c r="AG4" t="inlineStr">
        <is>
          <t>Hunt</t>
        </is>
      </c>
      <c r="AH4" t="n">
        <v>0</v>
      </c>
    </row>
    <row r="5">
      <c r="A5" s="7" t="inlineStr">
        <is>
          <t>Thornpelt Bear</t>
        </is>
      </c>
      <c r="B5" s="7" t="inlineStr">
        <is>
          <t>Hunt</t>
        </is>
      </c>
      <c r="C5" s="7" t="n">
        <v>1</v>
      </c>
      <c r="D5" s="7" t="n">
        <v>18</v>
      </c>
      <c r="E5" s="7" t="n">
        <v>225</v>
      </c>
      <c r="F5" s="7" t="n">
        <v>1.5</v>
      </c>
      <c r="G5" s="7" t="n">
        <v>3</v>
      </c>
      <c r="H5" s="7" t="n">
        <v>2</v>
      </c>
      <c r="I5" s="7" t="n">
        <v>0.22</v>
      </c>
      <c r="J5" s="7" t="inlineStr">
        <is>
          <t>Pelt Scrap</t>
        </is>
      </c>
      <c r="K5" s="7" t="n">
        <v>0.12</v>
      </c>
      <c r="L5" s="7" t="n">
        <v>60</v>
      </c>
      <c r="M5" s="7" t="n">
        <v>40</v>
      </c>
      <c r="N5" s="7" t="n">
        <v>0.45</v>
      </c>
      <c r="O5" s="7" t="n">
        <v>1.1</v>
      </c>
      <c r="P5" s="7" t="n">
        <v>1</v>
      </c>
      <c r="Q5" s="7" t="inlineStr">
        <is>
          <t>Tanky slow</t>
        </is>
      </c>
      <c r="T5" t="inlineStr">
        <is>
          <t>Thornpelt Bear</t>
        </is>
      </c>
      <c r="U5" t="n">
        <v>225</v>
      </c>
      <c r="V5" t="n">
        <v>3</v>
      </c>
      <c r="W5" t="n">
        <v>2</v>
      </c>
      <c r="X5" t="n">
        <v>0.22</v>
      </c>
      <c r="Y5" t="n">
        <v>60</v>
      </c>
      <c r="Z5" t="n">
        <v>40</v>
      </c>
      <c r="AA5" t="n">
        <v>0.45</v>
      </c>
      <c r="AB5" t="n">
        <v>1.1</v>
      </c>
      <c r="AC5" t="n">
        <v>1</v>
      </c>
      <c r="AD5" t="n">
        <v>1</v>
      </c>
      <c r="AE5" t="inlineStr">
        <is>
          <t>Pelt Scrap</t>
        </is>
      </c>
      <c r="AF5" t="n">
        <v>0.12</v>
      </c>
      <c r="AG5" t="inlineStr">
        <is>
          <t>Hunt</t>
        </is>
      </c>
      <c r="AH5" t="n">
        <v>0</v>
      </c>
    </row>
    <row r="6">
      <c r="A6" s="7" t="inlineStr">
        <is>
          <t>Dire Thornpelt</t>
        </is>
      </c>
      <c r="B6" s="7" t="inlineStr">
        <is>
          <t>Hunt</t>
        </is>
      </c>
      <c r="C6" s="7" t="n">
        <v>1</v>
      </c>
      <c r="D6" s="7" t="n">
        <v>26</v>
      </c>
      <c r="E6" s="7" t="n">
        <v>180</v>
      </c>
      <c r="F6" s="7" t="n">
        <v>1.2</v>
      </c>
      <c r="G6" s="7" t="n">
        <v>6.5</v>
      </c>
      <c r="H6" s="7" t="n">
        <v>2.2</v>
      </c>
      <c r="I6" s="7" t="n">
        <v>0.16</v>
      </c>
      <c r="J6" s="7" t="inlineStr">
        <is>
          <t>Dire Claw</t>
        </is>
      </c>
      <c r="K6" s="7" t="n">
        <v>0.1</v>
      </c>
      <c r="L6" s="7" t="n">
        <v>100</v>
      </c>
      <c r="M6" s="7" t="n">
        <v>60</v>
      </c>
      <c r="N6" s="7" t="n">
        <v>0.5</v>
      </c>
      <c r="O6" s="7" t="n">
        <v>1.2</v>
      </c>
      <c r="P6" s="7" t="n">
        <v>1</v>
      </c>
      <c r="Q6" s="7" t="inlineStr">
        <is>
          <t>Charger</t>
        </is>
      </c>
      <c r="T6" t="inlineStr">
        <is>
          <t>Dire Thornpelt</t>
        </is>
      </c>
      <c r="U6" t="n">
        <v>180</v>
      </c>
      <c r="V6" t="n">
        <v>6.5</v>
      </c>
      <c r="W6" t="n">
        <v>2.2</v>
      </c>
      <c r="X6" t="n">
        <v>0.16</v>
      </c>
      <c r="Y6" t="n">
        <v>100</v>
      </c>
      <c r="Z6" t="n">
        <v>60</v>
      </c>
      <c r="AA6" t="n">
        <v>0.5</v>
      </c>
      <c r="AB6" t="n">
        <v>1.2</v>
      </c>
      <c r="AC6" t="n">
        <v>1</v>
      </c>
      <c r="AD6" t="n">
        <v>1</v>
      </c>
      <c r="AE6" t="inlineStr">
        <is>
          <t>Dire Claw</t>
        </is>
      </c>
      <c r="AF6" t="n">
        <v>0.1</v>
      </c>
      <c r="AG6" t="inlineStr">
        <is>
          <t>Hunt</t>
        </is>
      </c>
      <c r="AH6" t="n">
        <v>0</v>
      </c>
    </row>
    <row r="7">
      <c r="A7" s="7" t="inlineStr">
        <is>
          <t>Ashfang Pup</t>
        </is>
      </c>
      <c r="B7" s="7" t="inlineStr">
        <is>
          <t>Hunt</t>
        </is>
      </c>
      <c r="C7" s="7" t="n">
        <v>2</v>
      </c>
      <c r="D7" s="7" t="n">
        <v>22</v>
      </c>
      <c r="E7" s="7" t="n">
        <v>82</v>
      </c>
      <c r="F7" s="7" t="n">
        <v>0.55</v>
      </c>
      <c r="G7" s="7" t="n">
        <v>7</v>
      </c>
      <c r="H7" s="7" t="n">
        <v>2</v>
      </c>
      <c r="I7" s="7" t="n">
        <v>0.22</v>
      </c>
      <c r="J7" s="7" t="inlineStr">
        <is>
          <t>—</t>
        </is>
      </c>
      <c r="K7" s="7" t="n">
        <v>0</v>
      </c>
      <c r="L7" s="7" t="n">
        <v>80</v>
      </c>
      <c r="M7" s="7" t="n">
        <v>80</v>
      </c>
      <c r="N7" s="7" t="n">
        <v>0.6</v>
      </c>
      <c r="O7" s="7" t="n">
        <v>1.25</v>
      </c>
      <c r="P7" s="7" t="n">
        <v>1.35</v>
      </c>
      <c r="Q7" s="7" t="inlineStr">
        <is>
          <t>Fast packling</t>
        </is>
      </c>
      <c r="T7" t="inlineStr">
        <is>
          <t>Ashfang Pup</t>
        </is>
      </c>
      <c r="U7" t="n">
        <v>82</v>
      </c>
      <c r="V7" t="n">
        <v>7</v>
      </c>
      <c r="W7" t="n">
        <v>2</v>
      </c>
      <c r="X7" t="n">
        <v>0.22</v>
      </c>
      <c r="Y7" t="n">
        <v>80</v>
      </c>
      <c r="Z7" t="n">
        <v>80</v>
      </c>
      <c r="AA7" t="n">
        <v>0.6</v>
      </c>
      <c r="AB7" t="n">
        <v>1.25</v>
      </c>
      <c r="AC7" t="n">
        <v>1.35</v>
      </c>
      <c r="AD7" t="n">
        <v>2</v>
      </c>
      <c r="AE7" t="inlineStr"/>
      <c r="AF7" t="n">
        <v>0</v>
      </c>
      <c r="AG7" t="inlineStr">
        <is>
          <t>Hunt</t>
        </is>
      </c>
      <c r="AH7" t="n">
        <v>0</v>
      </c>
    </row>
    <row r="8">
      <c r="A8" s="7" t="inlineStr">
        <is>
          <t>Ashfang Wolf</t>
        </is>
      </c>
      <c r="B8" s="7" t="inlineStr">
        <is>
          <t>Hunt</t>
        </is>
      </c>
      <c r="C8" s="7" t="n">
        <v>2</v>
      </c>
      <c r="D8" s="7" t="n">
        <v>42</v>
      </c>
      <c r="E8" s="7" t="n">
        <v>180</v>
      </c>
      <c r="F8" s="7" t="n">
        <v>1.2</v>
      </c>
      <c r="G8" s="7" t="n">
        <v>10</v>
      </c>
      <c r="H8" s="7" t="n">
        <v>2.5</v>
      </c>
      <c r="I8" s="7" t="n">
        <v>0.18</v>
      </c>
      <c r="J8" s="7" t="inlineStr">
        <is>
          <t>Ashfang Fang</t>
        </is>
      </c>
      <c r="K8" s="7" t="n">
        <v>0.1</v>
      </c>
      <c r="L8" s="7" t="n">
        <v>120</v>
      </c>
      <c r="M8" s="7" t="n">
        <v>120</v>
      </c>
      <c r="N8" s="7" t="n">
        <v>0.7</v>
      </c>
      <c r="O8" s="7" t="n">
        <v>1.4</v>
      </c>
      <c r="P8" s="7" t="n">
        <v>1.35</v>
      </c>
      <c r="Q8" s="7" t="inlineStr">
        <is>
          <t>Evasive</t>
        </is>
      </c>
      <c r="T8" t="inlineStr">
        <is>
          <t>Ashfang Wolf</t>
        </is>
      </c>
      <c r="U8" t="n">
        <v>180</v>
      </c>
      <c r="V8" t="n">
        <v>10</v>
      </c>
      <c r="W8" t="n">
        <v>2.5</v>
      </c>
      <c r="X8" t="n">
        <v>0.18</v>
      </c>
      <c r="Y8" t="n">
        <v>120</v>
      </c>
      <c r="Z8" t="n">
        <v>120</v>
      </c>
      <c r="AA8" t="n">
        <v>0.7</v>
      </c>
      <c r="AB8" t="n">
        <v>1.4</v>
      </c>
      <c r="AC8" t="n">
        <v>1.35</v>
      </c>
      <c r="AD8" t="n">
        <v>2</v>
      </c>
      <c r="AE8" t="inlineStr">
        <is>
          <t>Ashfang Fang</t>
        </is>
      </c>
      <c r="AF8" t="n">
        <v>0.1</v>
      </c>
      <c r="AG8" t="inlineStr">
        <is>
          <t>Hunt</t>
        </is>
      </c>
      <c r="AH8" t="n">
        <v>0</v>
      </c>
    </row>
    <row r="9">
      <c r="A9" s="7" t="inlineStr">
        <is>
          <t>Dire Ashfang</t>
        </is>
      </c>
      <c r="B9" s="7" t="inlineStr">
        <is>
          <t>Hunt</t>
        </is>
      </c>
      <c r="C9" s="7" t="n">
        <v>2</v>
      </c>
      <c r="D9" s="7" t="n">
        <v>58</v>
      </c>
      <c r="E9" s="7" t="n">
        <v>202</v>
      </c>
      <c r="F9" s="7" t="n">
        <v>1.35</v>
      </c>
      <c r="G9" s="7" t="n">
        <v>13</v>
      </c>
      <c r="H9" s="7" t="n">
        <v>3</v>
      </c>
      <c r="I9" s="7" t="n">
        <v>0.28</v>
      </c>
      <c r="J9" s="7" t="inlineStr">
        <is>
          <t>Pack Hide</t>
        </is>
      </c>
      <c r="K9" s="7" t="n">
        <v>0.1</v>
      </c>
      <c r="L9" s="7" t="n">
        <v>150</v>
      </c>
      <c r="M9" s="7" t="n">
        <v>160</v>
      </c>
      <c r="N9" s="7" t="n">
        <v>0.75</v>
      </c>
      <c r="O9" s="7" t="n">
        <v>1.5</v>
      </c>
      <c r="P9" s="7" t="n">
        <v>1.35</v>
      </c>
      <c r="Q9" s="7" t="inlineStr">
        <is>
          <t>Pack rush</t>
        </is>
      </c>
      <c r="T9" t="inlineStr">
        <is>
          <t>Dire Ashfang</t>
        </is>
      </c>
      <c r="U9" t="n">
        <v>202</v>
      </c>
      <c r="V9" t="n">
        <v>13</v>
      </c>
      <c r="W9" t="n">
        <v>3</v>
      </c>
      <c r="X9" t="n">
        <v>0.28</v>
      </c>
      <c r="Y9" t="n">
        <v>150</v>
      </c>
      <c r="Z9" t="n">
        <v>160</v>
      </c>
      <c r="AA9" t="n">
        <v>0.75</v>
      </c>
      <c r="AB9" t="n">
        <v>1.5</v>
      </c>
      <c r="AC9" t="n">
        <v>1.35</v>
      </c>
      <c r="AD9" t="n">
        <v>2</v>
      </c>
      <c r="AE9" t="inlineStr">
        <is>
          <t>Pack Hide</t>
        </is>
      </c>
      <c r="AF9" t="n">
        <v>0.1</v>
      </c>
      <c r="AG9" t="inlineStr">
        <is>
          <t>Hunt</t>
        </is>
      </c>
      <c r="AH9" t="n">
        <v>0</v>
      </c>
    </row>
    <row r="10">
      <c r="A10" s="7" t="inlineStr">
        <is>
          <t>Silkling</t>
        </is>
      </c>
      <c r="B10" s="7" t="inlineStr">
        <is>
          <t>Hunt</t>
        </is>
      </c>
      <c r="C10" s="7" t="n">
        <v>3</v>
      </c>
      <c r="D10" s="7" t="n">
        <v>180</v>
      </c>
      <c r="E10" s="7" t="n">
        <v>105</v>
      </c>
      <c r="F10" s="7" t="n">
        <v>0.7</v>
      </c>
      <c r="G10" s="7" t="n">
        <v>16</v>
      </c>
      <c r="H10" s="7" t="n">
        <v>3.5</v>
      </c>
      <c r="I10" s="7" t="n">
        <v>0.3</v>
      </c>
      <c r="J10" s="7" t="inlineStr">
        <is>
          <t>—</t>
        </is>
      </c>
      <c r="K10" s="7" t="n">
        <v>0</v>
      </c>
      <c r="L10" s="7" t="n">
        <v>140</v>
      </c>
      <c r="M10" s="7" t="n">
        <v>200</v>
      </c>
      <c r="N10" s="7" t="n">
        <v>0.8</v>
      </c>
      <c r="O10" s="7" t="n">
        <v>1.6</v>
      </c>
      <c r="P10" s="7" t="n">
        <v>1.8</v>
      </c>
      <c r="Q10" s="7" t="inlineStr">
        <is>
          <t>Clump swarm</t>
        </is>
      </c>
      <c r="T10" t="inlineStr">
        <is>
          <t>Silkling</t>
        </is>
      </c>
      <c r="U10" t="n">
        <v>105</v>
      </c>
      <c r="V10" t="n">
        <v>16</v>
      </c>
      <c r="W10" t="n">
        <v>3.5</v>
      </c>
      <c r="X10" t="n">
        <v>0.3</v>
      </c>
      <c r="Y10" t="n">
        <v>140</v>
      </c>
      <c r="Z10" t="n">
        <v>200</v>
      </c>
      <c r="AA10" t="n">
        <v>0.8</v>
      </c>
      <c r="AB10" t="n">
        <v>1.6</v>
      </c>
      <c r="AC10" t="n">
        <v>1.8</v>
      </c>
      <c r="AD10" t="n">
        <v>3</v>
      </c>
      <c r="AE10" t="inlineStr"/>
      <c r="AF10" t="n">
        <v>0</v>
      </c>
      <c r="AG10" t="inlineStr">
        <is>
          <t>Hunt</t>
        </is>
      </c>
      <c r="AH10" t="n">
        <v>0</v>
      </c>
    </row>
    <row r="11">
      <c r="A11" s="7" t="inlineStr">
        <is>
          <t>Webfen Widow</t>
        </is>
      </c>
      <c r="B11" s="7" t="inlineStr">
        <is>
          <t>Hunt</t>
        </is>
      </c>
      <c r="C11" s="7" t="n">
        <v>3</v>
      </c>
      <c r="D11" s="7" t="n">
        <v>420</v>
      </c>
      <c r="E11" s="7" t="n">
        <v>188</v>
      </c>
      <c r="F11" s="7" t="n">
        <v>1.25</v>
      </c>
      <c r="G11" s="7" t="n">
        <v>21</v>
      </c>
      <c r="H11" s="7" t="n">
        <v>4</v>
      </c>
      <c r="I11" s="7" t="n">
        <v>0.22</v>
      </c>
      <c r="J11" s="7" t="inlineStr">
        <is>
          <t>Silk Thread</t>
        </is>
      </c>
      <c r="K11" s="7" t="n">
        <v>0.1</v>
      </c>
      <c r="L11" s="7" t="n">
        <v>180</v>
      </c>
      <c r="M11" s="7" t="n">
        <v>280</v>
      </c>
      <c r="N11" s="7" t="n">
        <v>0.9</v>
      </c>
      <c r="O11" s="7" t="n">
        <v>1.8</v>
      </c>
      <c r="P11" s="7" t="n">
        <v>1.8</v>
      </c>
      <c r="Q11" s="7" t="inlineStr">
        <is>
          <t>Evasive</t>
        </is>
      </c>
      <c r="T11" t="inlineStr">
        <is>
          <t>Webfen Widow</t>
        </is>
      </c>
      <c r="U11" t="n">
        <v>188</v>
      </c>
      <c r="V11" t="n">
        <v>21</v>
      </c>
      <c r="W11" t="n">
        <v>4</v>
      </c>
      <c r="X11" t="n">
        <v>0.22</v>
      </c>
      <c r="Y11" t="n">
        <v>180</v>
      </c>
      <c r="Z11" t="n">
        <v>280</v>
      </c>
      <c r="AA11" t="n">
        <v>0.9</v>
      </c>
      <c r="AB11" t="n">
        <v>1.8</v>
      </c>
      <c r="AC11" t="n">
        <v>1.8</v>
      </c>
      <c r="AD11" t="n">
        <v>3</v>
      </c>
      <c r="AE11" t="inlineStr">
        <is>
          <t>Silk Thread</t>
        </is>
      </c>
      <c r="AF11" t="n">
        <v>0.1</v>
      </c>
      <c r="AG11" t="inlineStr">
        <is>
          <t>Hunt</t>
        </is>
      </c>
      <c r="AH11" t="n">
        <v>0</v>
      </c>
    </row>
    <row r="12">
      <c r="A12" s="7" t="inlineStr">
        <is>
          <t>Brood Matron</t>
        </is>
      </c>
      <c r="B12" s="7" t="inlineStr">
        <is>
          <t>Hunt</t>
        </is>
      </c>
      <c r="C12" s="7" t="n">
        <v>3</v>
      </c>
      <c r="D12" s="7" t="n">
        <v>600</v>
      </c>
      <c r="E12" s="7" t="n">
        <v>202</v>
      </c>
      <c r="F12" s="7" t="n">
        <v>1.35</v>
      </c>
      <c r="G12" s="7" t="n">
        <v>27</v>
      </c>
      <c r="H12" s="7" t="n">
        <v>5</v>
      </c>
      <c r="I12" s="7" t="n">
        <v>0.28</v>
      </c>
      <c r="J12" s="7" t="inlineStr">
        <is>
          <t>Venom Sac</t>
        </is>
      </c>
      <c r="K12" s="7" t="n">
        <v>0.1</v>
      </c>
      <c r="L12" s="7" t="n">
        <v>220</v>
      </c>
      <c r="M12" s="7" t="n">
        <v>350</v>
      </c>
      <c r="N12" s="7" t="n">
        <v>1</v>
      </c>
      <c r="O12" s="7" t="n">
        <v>2</v>
      </c>
      <c r="P12" s="7" t="n">
        <v>1.8</v>
      </c>
      <c r="Q12" s="7" t="inlineStr">
        <is>
          <t>Clump; hpMultNoPierce 1.25 until Pierce</t>
        </is>
      </c>
      <c r="T12" t="inlineStr">
        <is>
          <t>Brood Matron</t>
        </is>
      </c>
      <c r="U12" t="n">
        <v>202</v>
      </c>
      <c r="V12" t="n">
        <v>27</v>
      </c>
      <c r="W12" t="n">
        <v>5</v>
      </c>
      <c r="X12" t="n">
        <v>0.28</v>
      </c>
      <c r="Y12" t="n">
        <v>220</v>
      </c>
      <c r="Z12" t="n">
        <v>350</v>
      </c>
      <c r="AA12" t="n">
        <v>1</v>
      </c>
      <c r="AB12" t="n">
        <v>2</v>
      </c>
      <c r="AC12" t="n">
        <v>1.8</v>
      </c>
      <c r="AD12" t="n">
        <v>3</v>
      </c>
      <c r="AE12" t="inlineStr">
        <is>
          <t>Venom Sac</t>
        </is>
      </c>
      <c r="AF12" t="n">
        <v>0.1</v>
      </c>
      <c r="AG12" t="inlineStr">
        <is>
          <t>Hunt</t>
        </is>
      </c>
      <c r="AH12" t="n">
        <v>0</v>
      </c>
    </row>
    <row r="13">
      <c r="A13" s="9" t="inlineStr">
        <is>
          <t>Elder Thornpelt</t>
        </is>
      </c>
      <c r="B13" s="9" t="inlineStr">
        <is>
          <t>Boss</t>
        </is>
      </c>
      <c r="C13" s="9" t="n">
        <v>1</v>
      </c>
      <c r="D13" s="9" t="n">
        <v>30</v>
      </c>
      <c r="E13" s="9" t="n">
        <v>278</v>
      </c>
      <c r="F13" s="9" t="n">
        <v>1.85</v>
      </c>
      <c r="G13" s="9" t="n">
        <v>200</v>
      </c>
      <c r="H13" s="9" t="n">
        <v>100</v>
      </c>
      <c r="I13" s="9" t="inlineStr">
        <is>
          <t>—</t>
        </is>
      </c>
      <c r="J13" s="9" t="inlineStr">
        <is>
          <t>—</t>
        </is>
      </c>
      <c r="K13" s="9" t="n">
        <v>0</v>
      </c>
      <c r="L13" s="9" t="inlineStr">
        <is>
          <t>Meter 120</t>
        </is>
      </c>
      <c r="M13" s="9" t="n">
        <v>0</v>
      </c>
      <c r="N13" s="9" t="n">
        <v>0</v>
      </c>
      <c r="O13" s="9" t="n">
        <v>1</v>
      </c>
      <c r="P13" s="9" t="n">
        <v>1</v>
      </c>
      <c r="Q13" s="9" t="inlineStr">
        <is>
          <t>No hard timer; design 45-90s solo</t>
        </is>
      </c>
      <c r="T13" t="inlineStr">
        <is>
          <t>Elder Thornpelt</t>
        </is>
      </c>
      <c r="U13" t="n">
        <v>278</v>
      </c>
      <c r="V13" t="n">
        <v>200</v>
      </c>
      <c r="W13" t="n">
        <v>100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inlineStr"/>
      <c r="AF13" t="inlineStr"/>
      <c r="AG13" t="inlineStr">
        <is>
          <t>Boss</t>
        </is>
      </c>
      <c r="AH13" t="n">
        <v>120</v>
      </c>
    </row>
    <row r="14">
      <c r="A14" s="9" t="inlineStr">
        <is>
          <t>Ashfang Alpha</t>
        </is>
      </c>
      <c r="B14" s="9" t="inlineStr">
        <is>
          <t>Boss</t>
        </is>
      </c>
      <c r="C14" s="9" t="n">
        <v>2</v>
      </c>
      <c r="D14" s="9" t="n">
        <v>69</v>
      </c>
      <c r="E14" s="9" t="n">
        <v>390</v>
      </c>
      <c r="F14" s="9" t="n">
        <v>2.6</v>
      </c>
      <c r="G14" s="9" t="n">
        <v>500</v>
      </c>
      <c r="H14" s="9" t="n">
        <v>250</v>
      </c>
      <c r="I14" s="9" t="inlineStr">
        <is>
          <t>—</t>
        </is>
      </c>
      <c r="J14" s="9" t="inlineStr">
        <is>
          <t>—</t>
        </is>
      </c>
      <c r="K14" s="9" t="n">
        <v>0</v>
      </c>
      <c r="L14" s="9" t="inlineStr">
        <is>
          <t>Meter 280</t>
        </is>
      </c>
      <c r="M14" s="9" t="n">
        <v>0</v>
      </c>
      <c r="N14" s="9" t="n">
        <v>0</v>
      </c>
      <c r="O14" s="9" t="n">
        <v>1</v>
      </c>
      <c r="P14" s="9" t="n">
        <v>1.35</v>
      </c>
      <c r="Q14" s="9" t="inlineStr">
        <is>
          <t>Same fight rules</t>
        </is>
      </c>
      <c r="T14" t="inlineStr">
        <is>
          <t>Ashfang Alpha</t>
        </is>
      </c>
      <c r="U14" t="n">
        <v>390</v>
      </c>
      <c r="V14" t="n">
        <v>500</v>
      </c>
      <c r="W14" t="n">
        <v>250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1.35</v>
      </c>
      <c r="AD14" t="n">
        <v>2</v>
      </c>
      <c r="AE14" t="inlineStr"/>
      <c r="AF14" t="inlineStr"/>
      <c r="AG14" t="inlineStr">
        <is>
          <t>Boss</t>
        </is>
      </c>
      <c r="AH14" t="n">
        <v>280</v>
      </c>
    </row>
    <row r="15">
      <c r="A15" s="9" t="inlineStr">
        <is>
          <t>Nightweave</t>
        </is>
      </c>
      <c r="B15" s="9" t="inlineStr">
        <is>
          <t>Boss</t>
        </is>
      </c>
      <c r="C15" s="9" t="n">
        <v>3</v>
      </c>
      <c r="D15" s="9" t="n">
        <v>720</v>
      </c>
      <c r="E15" s="9" t="n">
        <v>540</v>
      </c>
      <c r="F15" s="9" t="n">
        <v>3.6</v>
      </c>
      <c r="G15" s="9" t="n">
        <v>1200</v>
      </c>
      <c r="H15" s="9" t="n">
        <v>500</v>
      </c>
      <c r="I15" s="9" t="inlineStr">
        <is>
          <t>—</t>
        </is>
      </c>
      <c r="J15" s="9" t="inlineStr">
        <is>
          <t>—</t>
        </is>
      </c>
      <c r="K15" s="9" t="n">
        <v>0</v>
      </c>
      <c r="L15" s="9" t="inlineStr">
        <is>
          <t>Meter 600</t>
        </is>
      </c>
      <c r="M15" s="9" t="n">
        <v>0</v>
      </c>
      <c r="N15" s="9" t="n">
        <v>0</v>
      </c>
      <c r="O15" s="9" t="n">
        <v>1</v>
      </c>
      <c r="P15" s="9" t="n">
        <v>1.8</v>
      </c>
      <c r="Q15" s="9" t="inlineStr">
        <is>
          <t>Same fight rules</t>
        </is>
      </c>
      <c r="T15" t="inlineStr">
        <is>
          <t>Nightweave</t>
        </is>
      </c>
      <c r="U15" t="n">
        <v>540</v>
      </c>
      <c r="V15" t="n">
        <v>1200</v>
      </c>
      <c r="W15" t="n">
        <v>500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1.8</v>
      </c>
      <c r="AD15" t="n">
        <v>3</v>
      </c>
      <c r="AE15" t="inlineStr"/>
      <c r="AF15" t="inlineStr"/>
      <c r="AG15" t="inlineStr">
        <is>
          <t>Boss</t>
        </is>
      </c>
      <c r="AH15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8" customWidth="1" min="8" max="8"/>
    <col width="10" customWidth="1" min="9" max="9"/>
    <col width="22" customWidth="1" min="10" max="10"/>
    <col width="36" customWidth="1" min="11" max="11"/>
  </cols>
  <sheetData>
    <row r="1">
      <c r="A1" s="1" t="inlineStr">
        <is>
          <t>Upgrades / Hires / Scrapwork / Forge (code: resource costs, no time gates)</t>
        </is>
      </c>
    </row>
    <row r="3">
      <c r="A3" s="4" t="inlineStr">
        <is>
          <t>Tab</t>
        </is>
      </c>
      <c r="B3" s="4" t="inlineStr">
        <is>
          <t>Name</t>
        </is>
      </c>
      <c r="C3" s="4" t="inlineStr">
        <is>
          <t>Currency</t>
        </is>
      </c>
      <c r="D3" s="4" t="inlineStr">
        <is>
          <t>Base cost</t>
        </is>
      </c>
      <c r="E3" s="4" t="inlineStr">
        <is>
          <t>Cost mult</t>
        </is>
      </c>
      <c r="F3" s="4" t="inlineStr">
        <is>
          <t>Max level</t>
        </is>
      </c>
      <c r="G3" s="4" t="inlineStr">
        <is>
          <t>Effect (plain)</t>
        </is>
      </c>
      <c r="H3" s="4" t="inlineStr">
        <is>
          <t>Effect key</t>
        </is>
      </c>
      <c r="I3" s="4" t="inlineStr">
        <is>
          <t>Per level</t>
        </is>
      </c>
      <c r="J3" s="4" t="inlineStr">
        <is>
          <t>Prerequisite</t>
        </is>
      </c>
      <c r="K3" s="4" t="inlineStr">
        <is>
          <t>Notes</t>
        </is>
      </c>
      <c r="N3" s="8" t="inlineStr">
        <is>
          <t>LOOKUP_NAME</t>
        </is>
      </c>
      <c r="O3" s="8" t="inlineStr">
        <is>
          <t>CURRENCY</t>
        </is>
      </c>
      <c r="P3" s="8" t="inlineStr">
        <is>
          <t>BASE</t>
        </is>
      </c>
      <c r="Q3" s="8" t="inlineStr">
        <is>
          <t>MULT</t>
        </is>
      </c>
      <c r="R3" s="8" t="inlineStr">
        <is>
          <t>MAX</t>
        </is>
      </c>
      <c r="S3" s="8" t="inlineStr">
        <is>
          <t>EKEY</t>
        </is>
      </c>
      <c r="T3" s="8" t="inlineStr">
        <is>
          <t>EVAL</t>
        </is>
      </c>
    </row>
    <row r="4">
      <c r="A4" s="7" t="inlineStr">
        <is>
          <t>Combat</t>
        </is>
      </c>
      <c r="B4" s="7" t="inlineStr">
        <is>
          <t>Idle Power</t>
        </is>
      </c>
      <c r="C4" s="7" t="inlineStr">
        <is>
          <t>gold</t>
        </is>
      </c>
      <c r="D4" s="7" t="n">
        <v>40</v>
      </c>
      <c r="E4" s="7" t="n">
        <v>1.55</v>
      </c>
      <c r="F4" s="7" t="n">
        <v>40</v>
      </c>
      <c r="G4" s="7" t="inlineStr">
        <is>
          <t>+12% kill rate per level</t>
        </is>
      </c>
      <c r="H4" s="7" t="inlineStr">
        <is>
          <t>idlePower</t>
        </is>
      </c>
      <c r="I4" s="7" t="n">
        <v>0.12</v>
      </c>
      <c r="J4" s="7" t="inlineStr"/>
      <c r="K4" s="7" t="inlineStr">
        <is>
          <t>Was time-gated; now resource cost</t>
        </is>
      </c>
      <c r="N4" t="inlineStr">
        <is>
          <t>Idle Power</t>
        </is>
      </c>
      <c r="O4" t="inlineStr">
        <is>
          <t>gold</t>
        </is>
      </c>
      <c r="P4" t="n">
        <v>40</v>
      </c>
      <c r="Q4" t="n">
        <v>1.55</v>
      </c>
      <c r="R4" t="n">
        <v>40</v>
      </c>
      <c r="S4" t="inlineStr">
        <is>
          <t>idlePower</t>
        </is>
      </c>
      <c r="T4" t="n">
        <v>0.12</v>
      </c>
    </row>
    <row r="5">
      <c r="A5" s="7" t="inlineStr">
        <is>
          <t>Combat</t>
        </is>
      </c>
      <c r="B5" s="7" t="inlineStr">
        <is>
          <t>Unlock Crits</t>
        </is>
      </c>
      <c r="C5" s="7" t="inlineStr">
        <is>
          <t>gold</t>
        </is>
      </c>
      <c r="D5" s="7" t="n">
        <v>250</v>
      </c>
      <c r="E5" s="7" t="n">
        <v>1</v>
      </c>
      <c r="F5" s="7" t="n">
        <v>1</v>
      </c>
      <c r="G5" s="7" t="inlineStr">
        <is>
          <t>Enable critical hits</t>
        </is>
      </c>
      <c r="H5" s="7" t="inlineStr">
        <is>
          <t>feature:crits</t>
        </is>
      </c>
      <c r="I5" s="7" t="n">
        <v>1</v>
      </c>
      <c r="J5" s="7" t="inlineStr"/>
      <c r="K5" s="7" t="inlineStr">
        <is>
          <t>Was time-gated; now resource cost</t>
        </is>
      </c>
      <c r="N5" t="inlineStr">
        <is>
          <t>Unlock Crits</t>
        </is>
      </c>
      <c r="O5" t="inlineStr">
        <is>
          <t>gold</t>
        </is>
      </c>
      <c r="P5" t="n">
        <v>250</v>
      </c>
      <c r="Q5" t="n">
        <v>1</v>
      </c>
      <c r="R5" t="n">
        <v>1</v>
      </c>
      <c r="S5" t="inlineStr">
        <is>
          <t>feature:crits</t>
        </is>
      </c>
      <c r="T5" t="n">
        <v>1</v>
      </c>
    </row>
    <row r="6">
      <c r="A6" s="7" t="inlineStr">
        <is>
          <t>Combat</t>
        </is>
      </c>
      <c r="B6" s="7" t="inlineStr">
        <is>
          <t>Unlock Specials</t>
        </is>
      </c>
      <c r="C6" s="7" t="inlineStr">
        <is>
          <t>gold</t>
        </is>
      </c>
      <c r="D6" s="7" t="n">
        <v>360</v>
      </c>
      <c r="E6" s="7" t="n">
        <v>1</v>
      </c>
      <c r="F6" s="7" t="n">
        <v>1</v>
      </c>
      <c r="G6" s="7" t="inlineStr">
        <is>
          <t>Periodic heavy bolt pulse</t>
        </is>
      </c>
      <c r="H6" s="7" t="inlineStr">
        <is>
          <t>feature:specials</t>
        </is>
      </c>
      <c r="I6" s="7" t="n">
        <v>1</v>
      </c>
      <c r="J6" s="7" t="inlineStr"/>
      <c r="K6" s="7" t="inlineStr">
        <is>
          <t>Was time-gated; now resource cost</t>
        </is>
      </c>
      <c r="N6" t="inlineStr">
        <is>
          <t>Unlock Specials</t>
        </is>
      </c>
      <c r="O6" t="inlineStr">
        <is>
          <t>gold</t>
        </is>
      </c>
      <c r="P6" t="n">
        <v>360</v>
      </c>
      <c r="Q6" t="n">
        <v>1</v>
      </c>
      <c r="R6" t="n">
        <v>1</v>
      </c>
      <c r="S6" t="inlineStr">
        <is>
          <t>feature:specials</t>
        </is>
      </c>
      <c r="T6" t="n">
        <v>1</v>
      </c>
    </row>
    <row r="7">
      <c r="A7" s="7" t="inlineStr">
        <is>
          <t>Combat</t>
        </is>
      </c>
      <c r="B7" s="7" t="inlineStr">
        <is>
          <t>Bolt Focus</t>
        </is>
      </c>
      <c r="C7" s="7" t="inlineStr">
        <is>
          <t>gold</t>
        </is>
      </c>
      <c r="D7" s="7" t="n">
        <v>90</v>
      </c>
      <c r="E7" s="7" t="n">
        <v>1.8</v>
      </c>
      <c r="F7" s="7" t="n">
        <v>3</v>
      </c>
      <c r="G7" s="7" t="inlineStr">
        <is>
          <t>+bolt visual tier</t>
        </is>
      </c>
      <c r="H7" s="7" t="inlineStr">
        <is>
          <t>beamFocus</t>
        </is>
      </c>
      <c r="I7" s="7" t="n">
        <v>1</v>
      </c>
      <c r="J7" s="7" t="inlineStr"/>
      <c r="K7" s="7" t="inlineStr">
        <is>
          <t>Was time-gated; now resource cost</t>
        </is>
      </c>
      <c r="N7" t="inlineStr">
        <is>
          <t>Bolt Focus</t>
        </is>
      </c>
      <c r="O7" t="inlineStr">
        <is>
          <t>gold</t>
        </is>
      </c>
      <c r="P7" t="n">
        <v>90</v>
      </c>
      <c r="Q7" t="n">
        <v>1.8</v>
      </c>
      <c r="R7" t="n">
        <v>3</v>
      </c>
      <c r="S7" t="inlineStr">
        <is>
          <t>beamFocus</t>
        </is>
      </c>
      <c r="T7" t="n">
        <v>1</v>
      </c>
    </row>
    <row r="8">
      <c r="A8" s="7" t="inlineStr">
        <is>
          <t>Combat</t>
        </is>
      </c>
      <c r="B8" s="7" t="inlineStr">
        <is>
          <t>Crit Power</t>
        </is>
      </c>
      <c r="C8" s="7" t="inlineStr">
        <is>
          <t>gold</t>
        </is>
      </c>
      <c r="D8" s="7" t="n">
        <v>300</v>
      </c>
      <c r="E8" s="7" t="n">
        <v>1.7</v>
      </c>
      <c r="F8" s="7" t="n">
        <v>10</v>
      </c>
      <c r="G8" s="7" t="inlineStr">
        <is>
          <t>+4% crit chance</t>
        </is>
      </c>
      <c r="H8" s="7" t="inlineStr">
        <is>
          <t>critChance</t>
        </is>
      </c>
      <c r="I8" s="7" t="n">
        <v>0.04</v>
      </c>
      <c r="J8" s="7" t="inlineStr">
        <is>
          <t>Unlock Crits</t>
        </is>
      </c>
      <c r="K8" s="7" t="inlineStr">
        <is>
          <t>Was time-gated; now resource cost</t>
        </is>
      </c>
      <c r="N8" t="inlineStr">
        <is>
          <t>Crit Power</t>
        </is>
      </c>
      <c r="O8" t="inlineStr">
        <is>
          <t>gold</t>
        </is>
      </c>
      <c r="P8" t="n">
        <v>300</v>
      </c>
      <c r="Q8" t="n">
        <v>1.7</v>
      </c>
      <c r="R8" t="n">
        <v>10</v>
      </c>
      <c r="S8" t="inlineStr">
        <is>
          <t>critChance</t>
        </is>
      </c>
      <c r="T8" t="n">
        <v>0.04</v>
      </c>
    </row>
    <row r="9">
      <c r="A9" s="7" t="inlineStr">
        <is>
          <t>Combat</t>
        </is>
      </c>
      <c r="B9" s="7" t="inlineStr">
        <is>
          <t>Special Cadence</t>
        </is>
      </c>
      <c r="C9" s="7" t="inlineStr">
        <is>
          <t>points</t>
        </is>
      </c>
      <c r="D9" s="7" t="n">
        <v>220</v>
      </c>
      <c r="E9" s="7" t="n">
        <v>1.75</v>
      </c>
      <c r="F9" s="7" t="n">
        <v>5</v>
      </c>
      <c r="G9" s="7" t="inlineStr">
        <is>
          <t>Specials more often</t>
        </is>
      </c>
      <c r="H9" s="7" t="inlineStr">
        <is>
          <t>specialCadence</t>
        </is>
      </c>
      <c r="I9" s="7" t="n">
        <v>0.12</v>
      </c>
      <c r="J9" s="7" t="inlineStr">
        <is>
          <t>Unlock Specials</t>
        </is>
      </c>
      <c r="K9" s="7" t="inlineStr">
        <is>
          <t>Was time-gated; now resource cost</t>
        </is>
      </c>
      <c r="N9" t="inlineStr">
        <is>
          <t>Special Cadence</t>
        </is>
      </c>
      <c r="O9" t="inlineStr">
        <is>
          <t>points</t>
        </is>
      </c>
      <c r="P9" t="n">
        <v>220</v>
      </c>
      <c r="Q9" t="n">
        <v>1.75</v>
      </c>
      <c r="R9" t="n">
        <v>5</v>
      </c>
      <c r="S9" t="inlineStr">
        <is>
          <t>specialCadence</t>
        </is>
      </c>
      <c r="T9" t="n">
        <v>0.12</v>
      </c>
    </row>
    <row r="10">
      <c r="A10" s="7" t="inlineStr">
        <is>
          <t>Combat</t>
        </is>
      </c>
      <c r="B10" s="7" t="inlineStr">
        <is>
          <t>Bolt Pierce</t>
        </is>
      </c>
      <c r="C10" s="7" t="inlineStr">
        <is>
          <t>gold</t>
        </is>
      </c>
      <c r="D10" s="7" t="n">
        <v>180</v>
      </c>
      <c r="E10" s="7" t="n">
        <v>2.2</v>
      </c>
      <c r="F10" s="7" t="n">
        <v>2</v>
      </c>
      <c r="G10" s="7" t="inlineStr">
        <is>
          <t>Bolts pierce</t>
        </is>
      </c>
      <c r="H10" s="7" t="inlineStr">
        <is>
          <t>boltPierce</t>
        </is>
      </c>
      <c r="I10" s="7" t="n">
        <v>1</v>
      </c>
      <c r="J10" s="7" t="inlineStr">
        <is>
          <t>Bolt Focus</t>
        </is>
      </c>
      <c r="K10" s="7" t="inlineStr">
        <is>
          <t>Was time-gated; now resource cost</t>
        </is>
      </c>
      <c r="N10" t="inlineStr">
        <is>
          <t>Bolt Pierce</t>
        </is>
      </c>
      <c r="O10" t="inlineStr">
        <is>
          <t>gold</t>
        </is>
      </c>
      <c r="P10" t="n">
        <v>180</v>
      </c>
      <c r="Q10" t="n">
        <v>2.2</v>
      </c>
      <c r="R10" t="n">
        <v>2</v>
      </c>
      <c r="S10" t="inlineStr">
        <is>
          <t>boltPierce</t>
        </is>
      </c>
      <c r="T10" t="n">
        <v>1</v>
      </c>
    </row>
    <row r="11">
      <c r="A11" s="7" t="inlineStr">
        <is>
          <t>Combat</t>
        </is>
      </c>
      <c r="B11" s="7" t="inlineStr">
        <is>
          <t>Bolt Bounce</t>
        </is>
      </c>
      <c r="C11" s="7" t="inlineStr">
        <is>
          <t>gold</t>
        </is>
      </c>
      <c r="D11" s="7" t="n">
        <v>250</v>
      </c>
      <c r="E11" s="7" t="n">
        <v>2.2</v>
      </c>
      <c r="F11" s="7" t="n">
        <v>2</v>
      </c>
      <c r="G11" s="7" t="inlineStr">
        <is>
          <t>Bolt ricochets</t>
        </is>
      </c>
      <c r="H11" s="7" t="inlineStr">
        <is>
          <t>boltBounce</t>
        </is>
      </c>
      <c r="I11" s="7" t="n">
        <v>1</v>
      </c>
      <c r="J11" s="7" t="inlineStr">
        <is>
          <t>Bolt Focus</t>
        </is>
      </c>
      <c r="K11" s="7" t="inlineStr">
        <is>
          <t>Was time-gated; now resource cost</t>
        </is>
      </c>
      <c r="N11" t="inlineStr">
        <is>
          <t>Bolt Bounce</t>
        </is>
      </c>
      <c r="O11" t="inlineStr">
        <is>
          <t>gold</t>
        </is>
      </c>
      <c r="P11" t="n">
        <v>250</v>
      </c>
      <c r="Q11" t="n">
        <v>2.2</v>
      </c>
      <c r="R11" t="n">
        <v>2</v>
      </c>
      <c r="S11" t="inlineStr">
        <is>
          <t>boltBounce</t>
        </is>
      </c>
      <c r="T11" t="n">
        <v>1</v>
      </c>
    </row>
    <row r="12">
      <c r="A12" s="7" t="inlineStr">
        <is>
          <t>Gear</t>
        </is>
      </c>
      <c r="B12" s="7" t="inlineStr">
        <is>
          <t>Bronze Blade</t>
        </is>
      </c>
      <c r="C12" s="7" t="inlineStr">
        <is>
          <t>gold</t>
        </is>
      </c>
      <c r="D12" s="7" t="n">
        <v>0</v>
      </c>
      <c r="E12" s="7" t="n">
        <v>1</v>
      </c>
      <c r="F12" s="7" t="n">
        <v>1</v>
      </c>
      <c r="G12" s="7" t="inlineStr">
        <is>
          <t>+8% kill rate (starter owned)</t>
        </is>
      </c>
      <c r="H12" s="7" t="inlineStr">
        <is>
          <t>idlePower</t>
        </is>
      </c>
      <c r="I12" s="7" t="n">
        <v>0.08</v>
      </c>
      <c r="J12" s="7" t="inlineStr"/>
      <c r="K12" s="7" t="inlineStr">
        <is>
          <t>Starter/mat</t>
        </is>
      </c>
      <c r="N12" t="inlineStr">
        <is>
          <t>Bronze Blade</t>
        </is>
      </c>
      <c r="O12" t="inlineStr">
        <is>
          <t>gold</t>
        </is>
      </c>
      <c r="P12" t="n">
        <v>0</v>
      </c>
      <c r="Q12" t="n">
        <v>1</v>
      </c>
      <c r="R12" t="n">
        <v>1</v>
      </c>
      <c r="S12" t="inlineStr">
        <is>
          <t>idlePower</t>
        </is>
      </c>
      <c r="T12" t="n">
        <v>0.08</v>
      </c>
    </row>
    <row r="13">
      <c r="A13" s="7" t="inlineStr">
        <is>
          <t>Gear</t>
        </is>
      </c>
      <c r="B13" s="7" t="inlineStr">
        <is>
          <t>Iron Blade</t>
        </is>
      </c>
      <c r="C13" s="7" t="inlineStr">
        <is>
          <t>gold</t>
        </is>
      </c>
      <c r="D13" s="7" t="n">
        <v>180</v>
      </c>
      <c r="E13" s="7" t="n">
        <v>1</v>
      </c>
      <c r="F13" s="7" t="n">
        <v>1</v>
      </c>
      <c r="G13" s="7" t="inlineStr">
        <is>
          <t>+12% kill rate</t>
        </is>
      </c>
      <c r="H13" s="7" t="inlineStr">
        <is>
          <t>idlePower</t>
        </is>
      </c>
      <c r="I13" s="7" t="n">
        <v>0.12</v>
      </c>
      <c r="J13" s="7" t="inlineStr">
        <is>
          <t>Bronze Blade</t>
        </is>
      </c>
      <c r="K13" s="7" t="inlineStr">
        <is>
          <t>Was time-gated; now resource cost</t>
        </is>
      </c>
      <c r="N13" t="inlineStr">
        <is>
          <t>Iron Blade</t>
        </is>
      </c>
      <c r="O13" t="inlineStr">
        <is>
          <t>gold</t>
        </is>
      </c>
      <c r="P13" t="n">
        <v>180</v>
      </c>
      <c r="Q13" t="n">
        <v>1</v>
      </c>
      <c r="R13" t="n">
        <v>1</v>
      </c>
      <c r="S13" t="inlineStr">
        <is>
          <t>idlePower</t>
        </is>
      </c>
      <c r="T13" t="n">
        <v>0.12</v>
      </c>
    </row>
    <row r="14">
      <c r="A14" s="7" t="inlineStr">
        <is>
          <t>Gear</t>
        </is>
      </c>
      <c r="B14" s="7" t="inlineStr">
        <is>
          <t>Steel Blade</t>
        </is>
      </c>
      <c r="C14" s="7" t="inlineStr">
        <is>
          <t>gold</t>
        </is>
      </c>
      <c r="D14" s="7" t="n">
        <v>450</v>
      </c>
      <c r="E14" s="7" t="n">
        <v>1</v>
      </c>
      <c r="F14" s="7" t="n">
        <v>1</v>
      </c>
      <c r="G14" s="7" t="inlineStr">
        <is>
          <t>+16% kill rate</t>
        </is>
      </c>
      <c r="H14" s="7" t="inlineStr">
        <is>
          <t>idlePower</t>
        </is>
      </c>
      <c r="I14" s="7" t="n">
        <v>0.16</v>
      </c>
      <c r="J14" s="7" t="inlineStr">
        <is>
          <t>Iron Blade</t>
        </is>
      </c>
      <c r="K14" s="7" t="inlineStr">
        <is>
          <t>Was time-gated; now resource cost</t>
        </is>
      </c>
      <c r="N14" t="inlineStr">
        <is>
          <t>Steel Blade</t>
        </is>
      </c>
      <c r="O14" t="inlineStr">
        <is>
          <t>gold</t>
        </is>
      </c>
      <c r="P14" t="n">
        <v>450</v>
      </c>
      <c r="Q14" t="n">
        <v>1</v>
      </c>
      <c r="R14" t="n">
        <v>1</v>
      </c>
      <c r="S14" t="inlineStr">
        <is>
          <t>idlePower</t>
        </is>
      </c>
      <c r="T14" t="n">
        <v>0.16</v>
      </c>
    </row>
    <row r="15">
      <c r="A15" s="7" t="inlineStr">
        <is>
          <t>Gear</t>
        </is>
      </c>
      <c r="B15" s="7" t="inlineStr">
        <is>
          <t>Mithril Blade</t>
        </is>
      </c>
      <c r="C15" s="7" t="inlineStr">
        <is>
          <t>points</t>
        </is>
      </c>
      <c r="D15" s="7" t="n">
        <v>320</v>
      </c>
      <c r="E15" s="7" t="n">
        <v>1</v>
      </c>
      <c r="F15" s="7" t="n">
        <v>1</v>
      </c>
      <c r="G15" s="7" t="inlineStr">
        <is>
          <t>+22% kill rate</t>
        </is>
      </c>
      <c r="H15" s="7" t="inlineStr">
        <is>
          <t>idlePower</t>
        </is>
      </c>
      <c r="I15" s="7" t="n">
        <v>0.22</v>
      </c>
      <c r="J15" s="7" t="inlineStr">
        <is>
          <t>Steel Blade</t>
        </is>
      </c>
      <c r="K15" s="7" t="inlineStr">
        <is>
          <t>Was time-gated; now resource cost</t>
        </is>
      </c>
      <c r="N15" t="inlineStr">
        <is>
          <t>Mithril Blade</t>
        </is>
      </c>
      <c r="O15" t="inlineStr">
        <is>
          <t>points</t>
        </is>
      </c>
      <c r="P15" t="n">
        <v>320</v>
      </c>
      <c r="Q15" t="n">
        <v>1</v>
      </c>
      <c r="R15" t="n">
        <v>1</v>
      </c>
      <c r="S15" t="inlineStr">
        <is>
          <t>idlePower</t>
        </is>
      </c>
      <c r="T15" t="n">
        <v>0.22</v>
      </c>
    </row>
    <row r="16">
      <c r="A16" s="7" t="inlineStr">
        <is>
          <t>Gear</t>
        </is>
      </c>
      <c r="B16" s="7" t="inlineStr">
        <is>
          <t>Adamant Blade</t>
        </is>
      </c>
      <c r="C16" s="7" t="inlineStr">
        <is>
          <t>points</t>
        </is>
      </c>
      <c r="D16" s="7" t="n">
        <v>700</v>
      </c>
      <c r="E16" s="7" t="n">
        <v>1</v>
      </c>
      <c r="F16" s="7" t="n">
        <v>1</v>
      </c>
      <c r="G16" s="7" t="inlineStr">
        <is>
          <t>+28% kill rate</t>
        </is>
      </c>
      <c r="H16" s="7" t="inlineStr">
        <is>
          <t>idlePower</t>
        </is>
      </c>
      <c r="I16" s="7" t="n">
        <v>0.28</v>
      </c>
      <c r="J16" s="7" t="inlineStr">
        <is>
          <t>Mithril Blade</t>
        </is>
      </c>
      <c r="K16" s="7" t="inlineStr">
        <is>
          <t>Was time-gated; now resource cost</t>
        </is>
      </c>
      <c r="N16" t="inlineStr">
        <is>
          <t>Adamant Blade</t>
        </is>
      </c>
      <c r="O16" t="inlineStr">
        <is>
          <t>points</t>
        </is>
      </c>
      <c r="P16" t="n">
        <v>700</v>
      </c>
      <c r="Q16" t="n">
        <v>1</v>
      </c>
      <c r="R16" t="n">
        <v>1</v>
      </c>
      <c r="S16" t="inlineStr">
        <is>
          <t>idlePower</t>
        </is>
      </c>
      <c r="T16" t="n">
        <v>0.28</v>
      </c>
    </row>
    <row r="17">
      <c r="A17" s="7" t="inlineStr">
        <is>
          <t>Gear</t>
        </is>
      </c>
      <c r="B17" s="7" t="inlineStr">
        <is>
          <t>Rune Blade</t>
        </is>
      </c>
      <c r="C17" s="7" t="inlineStr">
        <is>
          <t>points</t>
        </is>
      </c>
      <c r="D17" s="7" t="n">
        <v>1500</v>
      </c>
      <c r="E17" s="7" t="n">
        <v>1</v>
      </c>
      <c r="F17" s="7" t="n">
        <v>1</v>
      </c>
      <c r="G17" s="7" t="inlineStr">
        <is>
          <t>+35% kill rate</t>
        </is>
      </c>
      <c r="H17" s="7" t="inlineStr">
        <is>
          <t>idlePower</t>
        </is>
      </c>
      <c r="I17" s="7" t="n">
        <v>0.35</v>
      </c>
      <c r="J17" s="7" t="inlineStr">
        <is>
          <t>Adamant Blade</t>
        </is>
      </c>
      <c r="K17" s="7" t="inlineStr">
        <is>
          <t>Was time-gated; now resource cost</t>
        </is>
      </c>
      <c r="N17" t="inlineStr">
        <is>
          <t>Rune Blade</t>
        </is>
      </c>
      <c r="O17" t="inlineStr">
        <is>
          <t>points</t>
        </is>
      </c>
      <c r="P17" t="n">
        <v>1500</v>
      </c>
      <c r="Q17" t="n">
        <v>1</v>
      </c>
      <c r="R17" t="n">
        <v>1</v>
      </c>
      <c r="S17" t="inlineStr">
        <is>
          <t>idlePower</t>
        </is>
      </c>
      <c r="T17" t="n">
        <v>0.35</v>
      </c>
    </row>
    <row r="18">
      <c r="A18" s="7" t="inlineStr">
        <is>
          <t>Gear</t>
        </is>
      </c>
      <c r="B18" s="7" t="inlineStr">
        <is>
          <t>Dragon Blade</t>
        </is>
      </c>
      <c r="C18" s="7" t="inlineStr">
        <is>
          <t>points</t>
        </is>
      </c>
      <c r="D18" s="7" t="n">
        <v>3500</v>
      </c>
      <c r="E18" s="7" t="n">
        <v>1</v>
      </c>
      <c r="F18" s="7" t="n">
        <v>1</v>
      </c>
      <c r="G18" s="7" t="inlineStr">
        <is>
          <t>+50% kill rate</t>
        </is>
      </c>
      <c r="H18" s="7" t="inlineStr">
        <is>
          <t>idlePower</t>
        </is>
      </c>
      <c r="I18" s="7" t="n">
        <v>0.5</v>
      </c>
      <c r="J18" s="7" t="inlineStr">
        <is>
          <t>Rune Blade</t>
        </is>
      </c>
      <c r="K18" s="7" t="inlineStr">
        <is>
          <t>Was time-gated; now resource cost</t>
        </is>
      </c>
      <c r="N18" t="inlineStr">
        <is>
          <t>Dragon Blade</t>
        </is>
      </c>
      <c r="O18" t="inlineStr">
        <is>
          <t>points</t>
        </is>
      </c>
      <c r="P18" t="n">
        <v>3500</v>
      </c>
      <c r="Q18" t="n">
        <v>1</v>
      </c>
      <c r="R18" t="n">
        <v>1</v>
      </c>
      <c r="S18" t="inlineStr">
        <is>
          <t>idlePower</t>
        </is>
      </c>
      <c r="T18" t="n">
        <v>0.5</v>
      </c>
    </row>
    <row r="19">
      <c r="A19" s="7" t="inlineStr">
        <is>
          <t>Company</t>
        </is>
      </c>
      <c r="B19" s="7" t="inlineStr">
        <is>
          <t>Hire Briar</t>
        </is>
      </c>
      <c r="C19" s="7" t="inlineStr">
        <is>
          <t>gold</t>
        </is>
      </c>
      <c r="D19" s="7" t="n">
        <v>140</v>
      </c>
      <c r="E19" s="7" t="n">
        <v>1</v>
      </c>
      <c r="F19" s="7" t="n">
        <v>1</v>
      </c>
      <c r="G19" s="7" t="inlineStr">
        <is>
          <t>Unlock Briar</t>
        </is>
      </c>
      <c r="H19" s="7" t="inlineStr">
        <is>
          <t>unlockHunter:briar</t>
        </is>
      </c>
      <c r="I19" s="7" t="n">
        <v>1</v>
      </c>
      <c r="J19" s="7" t="inlineStr"/>
      <c r="K19" s="7" t="inlineStr">
        <is>
          <t>Was time-gated; now resource cost</t>
        </is>
      </c>
      <c r="N19" t="inlineStr">
        <is>
          <t>Hire Briar</t>
        </is>
      </c>
      <c r="O19" t="inlineStr">
        <is>
          <t>gold</t>
        </is>
      </c>
      <c r="P19" t="n">
        <v>140</v>
      </c>
      <c r="Q19" t="n">
        <v>1</v>
      </c>
      <c r="R19" t="n">
        <v>1</v>
      </c>
      <c r="S19" t="inlineStr">
        <is>
          <t>unlockHunter:briar</t>
        </is>
      </c>
      <c r="T19" t="n">
        <v>1</v>
      </c>
    </row>
    <row r="20">
      <c r="A20" s="7" t="inlineStr">
        <is>
          <t>Company</t>
        </is>
      </c>
      <c r="B20" s="7" t="inlineStr">
        <is>
          <t>Hire Quill</t>
        </is>
      </c>
      <c r="C20" s="7" t="inlineStr">
        <is>
          <t>gold</t>
        </is>
      </c>
      <c r="D20" s="7" t="n">
        <v>3650</v>
      </c>
      <c r="E20" s="7" t="n">
        <v>1</v>
      </c>
      <c r="F20" s="7" t="n">
        <v>1</v>
      </c>
      <c r="G20" s="7" t="inlineStr">
        <is>
          <t>Unlock Quill</t>
        </is>
      </c>
      <c r="H20" s="7" t="inlineStr">
        <is>
          <t>unlockHunter:quill</t>
        </is>
      </c>
      <c r="I20" s="7" t="n">
        <v>1</v>
      </c>
      <c r="J20" s="7" t="inlineStr">
        <is>
          <t>Hire Briar</t>
        </is>
      </c>
      <c r="K20" s="7" t="inlineStr">
        <is>
          <t>Was time-gated; now resource cost</t>
        </is>
      </c>
      <c r="N20" t="inlineStr">
        <is>
          <t>Hire Quill</t>
        </is>
      </c>
      <c r="O20" t="inlineStr">
        <is>
          <t>gold</t>
        </is>
      </c>
      <c r="P20" t="n">
        <v>3650</v>
      </c>
      <c r="Q20" t="n">
        <v>1</v>
      </c>
      <c r="R20" t="n">
        <v>1</v>
      </c>
      <c r="S20" t="inlineStr">
        <is>
          <t>unlockHunter:quill</t>
        </is>
      </c>
      <c r="T20" t="n">
        <v>1</v>
      </c>
    </row>
    <row r="21">
      <c r="A21" s="7" t="inlineStr">
        <is>
          <t>Company</t>
        </is>
      </c>
      <c r="B21" s="7" t="inlineStr">
        <is>
          <t>Hire Moss</t>
        </is>
      </c>
      <c r="C21" s="7" t="inlineStr">
        <is>
          <t>points</t>
        </is>
      </c>
      <c r="D21" s="7" t="n">
        <v>4850</v>
      </c>
      <c r="E21" s="7" t="n">
        <v>1</v>
      </c>
      <c r="F21" s="7" t="n">
        <v>1</v>
      </c>
      <c r="G21" s="7" t="inlineStr">
        <is>
          <t>Unlock Moss</t>
        </is>
      </c>
      <c r="H21" s="7" t="inlineStr">
        <is>
          <t>unlockHunter:moss</t>
        </is>
      </c>
      <c r="I21" s="7" t="n">
        <v>1</v>
      </c>
      <c r="J21" s="7" t="inlineStr">
        <is>
          <t>Hire Quill</t>
        </is>
      </c>
      <c r="K21" s="7" t="inlineStr">
        <is>
          <t>Was time-gated; now resource cost</t>
        </is>
      </c>
      <c r="N21" t="inlineStr">
        <is>
          <t>Hire Moss</t>
        </is>
      </c>
      <c r="O21" t="inlineStr">
        <is>
          <t>points</t>
        </is>
      </c>
      <c r="P21" t="n">
        <v>4850</v>
      </c>
      <c r="Q21" t="n">
        <v>1</v>
      </c>
      <c r="R21" t="n">
        <v>1</v>
      </c>
      <c r="S21" t="inlineStr">
        <is>
          <t>unlockHunter:moss</t>
        </is>
      </c>
      <c r="T21" t="n">
        <v>1</v>
      </c>
    </row>
    <row r="22">
      <c r="A22" s="7" t="inlineStr">
        <is>
          <t>Company</t>
        </is>
      </c>
      <c r="B22" s="7" t="inlineStr">
        <is>
          <t>Hire Ember</t>
        </is>
      </c>
      <c r="C22" s="7" t="inlineStr">
        <is>
          <t>points</t>
        </is>
      </c>
      <c r="D22" s="7" t="n">
        <v>12200</v>
      </c>
      <c r="E22" s="7" t="n">
        <v>1</v>
      </c>
      <c r="F22" s="7" t="n">
        <v>1</v>
      </c>
      <c r="G22" s="7" t="inlineStr">
        <is>
          <t>Unlock Ember</t>
        </is>
      </c>
      <c r="H22" s="7" t="inlineStr">
        <is>
          <t>unlockHunter:ember</t>
        </is>
      </c>
      <c r="I22" s="7" t="n">
        <v>1</v>
      </c>
      <c r="J22" s="7" t="inlineStr">
        <is>
          <t>Hire Moss</t>
        </is>
      </c>
      <c r="K22" s="7" t="inlineStr">
        <is>
          <t>Was time-gated; now resource cost</t>
        </is>
      </c>
      <c r="N22" t="inlineStr">
        <is>
          <t>Hire Ember</t>
        </is>
      </c>
      <c r="O22" t="inlineStr">
        <is>
          <t>points</t>
        </is>
      </c>
      <c r="P22" t="n">
        <v>12200</v>
      </c>
      <c r="Q22" t="n">
        <v>1</v>
      </c>
      <c r="R22" t="n">
        <v>1</v>
      </c>
      <c r="S22" t="inlineStr">
        <is>
          <t>unlockHunter:ember</t>
        </is>
      </c>
      <c r="T22" t="n">
        <v>1</v>
      </c>
    </row>
    <row r="23">
      <c r="A23" s="7" t="inlineStr">
        <is>
          <t>Company</t>
        </is>
      </c>
      <c r="B23" s="7" t="inlineStr">
        <is>
          <t>Hunter Power</t>
        </is>
      </c>
      <c r="C23" s="7" t="inlineStr">
        <is>
          <t>gold</t>
        </is>
      </c>
      <c r="D23" s="7" t="n">
        <v>250</v>
      </c>
      <c r="E23" s="7" t="n">
        <v>1.65</v>
      </c>
      <c r="F23" s="7" t="n">
        <v>20</v>
      </c>
      <c r="G23" s="7" t="inlineStr">
        <is>
          <t>+30%/lv hunter output</t>
        </is>
      </c>
      <c r="H23" s="7" t="inlineStr">
        <is>
          <t>hunterPower</t>
        </is>
      </c>
      <c r="I23" s="7" t="n">
        <v>0.3</v>
      </c>
      <c r="J23" s="7" t="inlineStr">
        <is>
          <t>Hire Briar</t>
        </is>
      </c>
      <c r="K23" s="7" t="inlineStr">
        <is>
          <t>Was time-gated; now resource cost</t>
        </is>
      </c>
      <c r="N23" t="inlineStr">
        <is>
          <t>Hunter Power</t>
        </is>
      </c>
      <c r="O23" t="inlineStr">
        <is>
          <t>gold</t>
        </is>
      </c>
      <c r="P23" t="n">
        <v>250</v>
      </c>
      <c r="Q23" t="n">
        <v>1.65</v>
      </c>
      <c r="R23" t="n">
        <v>20</v>
      </c>
      <c r="S23" t="inlineStr">
        <is>
          <t>hunterPower</t>
        </is>
      </c>
      <c r="T23" t="n">
        <v>0.3</v>
      </c>
    </row>
    <row r="24">
      <c r="A24" s="7" t="inlineStr">
        <is>
          <t>Company</t>
        </is>
      </c>
      <c r="B24" s="7" t="inlineStr">
        <is>
          <t>Bigger Hits</t>
        </is>
      </c>
      <c r="C24" s="7" t="inlineStr">
        <is>
          <t>gold</t>
        </is>
      </c>
      <c r="D24" s="7" t="n">
        <v>300</v>
      </c>
      <c r="E24" s="7" t="n">
        <v>1.7</v>
      </c>
      <c r="F24" s="7" t="n">
        <v>15</v>
      </c>
      <c r="G24" s="7" t="inlineStr">
        <is>
          <t>+40%/lv hunter hit dmg</t>
        </is>
      </c>
      <c r="H24" s="7" t="inlineStr">
        <is>
          <t>hunterDmg</t>
        </is>
      </c>
      <c r="I24" s="7" t="n">
        <v>0.4</v>
      </c>
      <c r="J24" s="7" t="inlineStr">
        <is>
          <t>Hire Briar</t>
        </is>
      </c>
      <c r="K24" s="7" t="inlineStr">
        <is>
          <t>Was time-gated; now resource cost</t>
        </is>
      </c>
      <c r="N24" t="inlineStr">
        <is>
          <t>Bigger Hits</t>
        </is>
      </c>
      <c r="O24" t="inlineStr">
        <is>
          <t>gold</t>
        </is>
      </c>
      <c r="P24" t="n">
        <v>300</v>
      </c>
      <c r="Q24" t="n">
        <v>1.7</v>
      </c>
      <c r="R24" t="n">
        <v>15</v>
      </c>
      <c r="S24" t="inlineStr">
        <is>
          <t>hunterDmg</t>
        </is>
      </c>
      <c r="T24" t="n">
        <v>0.4</v>
      </c>
    </row>
    <row r="25">
      <c r="A25" s="7" t="inlineStr">
        <is>
          <t>Company</t>
        </is>
      </c>
      <c r="B25" s="7" t="inlineStr">
        <is>
          <t>Faster Attacks</t>
        </is>
      </c>
      <c r="C25" s="7" t="inlineStr">
        <is>
          <t>gold</t>
        </is>
      </c>
      <c r="D25" s="7" t="n">
        <v>320</v>
      </c>
      <c r="E25" s="7" t="n">
        <v>1.75</v>
      </c>
      <c r="F25" s="7" t="n">
        <v>12</v>
      </c>
      <c r="G25" s="7" t="inlineStr">
        <is>
          <t>+30%/lv hunter atk speed</t>
        </is>
      </c>
      <c r="H25" s="7" t="inlineStr">
        <is>
          <t>hunterAtkSpeed</t>
        </is>
      </c>
      <c r="I25" s="7" t="n">
        <v>0.3</v>
      </c>
      <c r="J25" s="7" t="inlineStr">
        <is>
          <t>Hire Briar</t>
        </is>
      </c>
      <c r="K25" s="7" t="inlineStr">
        <is>
          <t>Was time-gated; now resource cost</t>
        </is>
      </c>
      <c r="N25" t="inlineStr">
        <is>
          <t>Faster Attacks</t>
        </is>
      </c>
      <c r="O25" t="inlineStr">
        <is>
          <t>gold</t>
        </is>
      </c>
      <c r="P25" t="n">
        <v>320</v>
      </c>
      <c r="Q25" t="n">
        <v>1.75</v>
      </c>
      <c r="R25" t="n">
        <v>12</v>
      </c>
      <c r="S25" t="inlineStr">
        <is>
          <t>hunterAtkSpeed</t>
        </is>
      </c>
      <c r="T25" t="n">
        <v>0.3</v>
      </c>
    </row>
    <row r="26">
      <c r="A26" s="7" t="inlineStr">
        <is>
          <t>Company</t>
        </is>
      </c>
      <c r="B26" s="7" t="inlineStr">
        <is>
          <t>Swift Walk</t>
        </is>
      </c>
      <c r="C26" s="7" t="inlineStr">
        <is>
          <t>gold</t>
        </is>
      </c>
      <c r="D26" s="7" t="n">
        <v>160</v>
      </c>
      <c r="E26" s="7" t="n">
        <v>1</v>
      </c>
      <c r="F26" s="7" t="n">
        <v>1</v>
      </c>
      <c r="G26" s="7" t="inlineStr">
        <is>
          <t>+55% melee chase</t>
        </is>
      </c>
      <c r="H26" s="7" t="inlineStr">
        <is>
          <t>hunterMoveSpeed</t>
        </is>
      </c>
      <c r="I26" s="7" t="n">
        <v>0.55</v>
      </c>
      <c r="J26" s="7" t="inlineStr">
        <is>
          <t>Hire Briar</t>
        </is>
      </c>
      <c r="K26" s="7" t="inlineStr">
        <is>
          <t>Was time-gated; now resource cost</t>
        </is>
      </c>
      <c r="N26" t="inlineStr">
        <is>
          <t>Swift Walk</t>
        </is>
      </c>
      <c r="O26" t="inlineStr">
        <is>
          <t>gold</t>
        </is>
      </c>
      <c r="P26" t="n">
        <v>160</v>
      </c>
      <c r="Q26" t="n">
        <v>1</v>
      </c>
      <c r="R26" t="n">
        <v>1</v>
      </c>
      <c r="S26" t="inlineStr">
        <is>
          <t>hunterMoveSpeed</t>
        </is>
      </c>
      <c r="T26" t="n">
        <v>0.55</v>
      </c>
    </row>
    <row r="27">
      <c r="A27" s="7" t="inlineStr">
        <is>
          <t>Company</t>
        </is>
      </c>
      <c r="B27" s="7" t="inlineStr">
        <is>
          <t>Faster Chase</t>
        </is>
      </c>
      <c r="C27" s="7" t="inlineStr">
        <is>
          <t>gold</t>
        </is>
      </c>
      <c r="D27" s="7" t="n">
        <v>360</v>
      </c>
      <c r="E27" s="7" t="n">
        <v>1</v>
      </c>
      <c r="F27" s="7" t="n">
        <v>1</v>
      </c>
      <c r="G27" s="7" t="inlineStr">
        <is>
          <t>+70% melee chase</t>
        </is>
      </c>
      <c r="H27" s="7" t="inlineStr">
        <is>
          <t>hunterMoveSpeed</t>
        </is>
      </c>
      <c r="I27" s="7" t="n">
        <v>0.7</v>
      </c>
      <c r="J27" s="7" t="inlineStr">
        <is>
          <t>Swift Walk</t>
        </is>
      </c>
      <c r="K27" s="7" t="inlineStr">
        <is>
          <t>Was time-gated; now resource cost</t>
        </is>
      </c>
      <c r="N27" t="inlineStr">
        <is>
          <t>Faster Chase</t>
        </is>
      </c>
      <c r="O27" t="inlineStr">
        <is>
          <t>gold</t>
        </is>
      </c>
      <c r="P27" t="n">
        <v>360</v>
      </c>
      <c r="Q27" t="n">
        <v>1</v>
      </c>
      <c r="R27" t="n">
        <v>1</v>
      </c>
      <c r="S27" t="inlineStr">
        <is>
          <t>hunterMoveSpeed</t>
        </is>
      </c>
      <c r="T27" t="n">
        <v>0.7</v>
      </c>
    </row>
    <row r="28">
      <c r="A28" s="7" t="inlineStr">
        <is>
          <t>Company</t>
        </is>
      </c>
      <c r="B28" s="7" t="inlineStr">
        <is>
          <t>Hard Charge</t>
        </is>
      </c>
      <c r="C28" s="7" t="inlineStr">
        <is>
          <t>points</t>
        </is>
      </c>
      <c r="D28" s="7" t="n">
        <v>400</v>
      </c>
      <c r="E28" s="7" t="n">
        <v>1</v>
      </c>
      <c r="F28" s="7" t="n">
        <v>1</v>
      </c>
      <c r="G28" s="7" t="inlineStr">
        <is>
          <t>+90% melee chase</t>
        </is>
      </c>
      <c r="H28" s="7" t="inlineStr">
        <is>
          <t>hunterMoveSpeed</t>
        </is>
      </c>
      <c r="I28" s="7" t="n">
        <v>0.9</v>
      </c>
      <c r="J28" s="7" t="inlineStr">
        <is>
          <t>Faster Chase</t>
        </is>
      </c>
      <c r="K28" s="7" t="inlineStr">
        <is>
          <t>Was time-gated; now resource cost</t>
        </is>
      </c>
      <c r="N28" t="inlineStr">
        <is>
          <t>Hard Charge</t>
        </is>
      </c>
      <c r="O28" t="inlineStr">
        <is>
          <t>points</t>
        </is>
      </c>
      <c r="P28" t="n">
        <v>400</v>
      </c>
      <c r="Q28" t="n">
        <v>1</v>
      </c>
      <c r="R28" t="n">
        <v>1</v>
      </c>
      <c r="S28" t="inlineStr">
        <is>
          <t>hunterMoveSpeed</t>
        </is>
      </c>
      <c r="T28" t="n">
        <v>0.9</v>
      </c>
    </row>
    <row r="29">
      <c r="A29" s="7" t="inlineStr">
        <is>
          <t>Company</t>
        </is>
      </c>
      <c r="B29" s="7" t="inlineStr">
        <is>
          <t>Briar Blade</t>
        </is>
      </c>
      <c r="C29" s="7" t="inlineStr">
        <is>
          <t>gold</t>
        </is>
      </c>
      <c r="D29" s="7" t="n">
        <v>250</v>
      </c>
      <c r="E29" s="7" t="n">
        <v>1.7</v>
      </c>
      <c r="F29" s="7" t="n">
        <v>5</v>
      </c>
      <c r="G29" s="7" t="inlineStr">
        <is>
          <t>+40%/lv Briar dmg</t>
        </is>
      </c>
      <c r="H29" s="7" t="inlineStr">
        <is>
          <t>briarDmg</t>
        </is>
      </c>
      <c r="I29" s="7" t="n">
        <v>0.4</v>
      </c>
      <c r="J29" s="7" t="inlineStr">
        <is>
          <t>Hire Briar</t>
        </is>
      </c>
      <c r="K29" s="7" t="inlineStr">
        <is>
          <t>Was time-gated; now resource cost</t>
        </is>
      </c>
      <c r="N29" t="inlineStr">
        <is>
          <t>Briar Blade</t>
        </is>
      </c>
      <c r="O29" t="inlineStr">
        <is>
          <t>gold</t>
        </is>
      </c>
      <c r="P29" t="n">
        <v>250</v>
      </c>
      <c r="Q29" t="n">
        <v>1.7</v>
      </c>
      <c r="R29" t="n">
        <v>5</v>
      </c>
      <c r="S29" t="inlineStr">
        <is>
          <t>briarDmg</t>
        </is>
      </c>
      <c r="T29" t="n">
        <v>0.4</v>
      </c>
    </row>
    <row r="30">
      <c r="A30" s="7" t="inlineStr">
        <is>
          <t>Company</t>
        </is>
      </c>
      <c r="B30" s="7" t="inlineStr">
        <is>
          <t>Briar Strength</t>
        </is>
      </c>
      <c r="C30" s="7" t="inlineStr">
        <is>
          <t>gold</t>
        </is>
      </c>
      <c r="D30" s="7" t="n">
        <v>300</v>
      </c>
      <c r="E30" s="7" t="n">
        <v>1.75</v>
      </c>
      <c r="F30" s="7" t="n">
        <v>5</v>
      </c>
      <c r="G30" s="7" t="inlineStr">
        <is>
          <t>+35%/lv Briar dmg</t>
        </is>
      </c>
      <c r="H30" s="7" t="inlineStr">
        <is>
          <t>briarDmg</t>
        </is>
      </c>
      <c r="I30" s="7" t="n">
        <v>0.35</v>
      </c>
      <c r="J30" s="7" t="inlineStr">
        <is>
          <t>Hire Briar</t>
        </is>
      </c>
      <c r="K30" s="7" t="inlineStr">
        <is>
          <t>Was time-gated; now resource cost</t>
        </is>
      </c>
      <c r="N30" t="inlineStr">
        <is>
          <t>Briar Strength</t>
        </is>
      </c>
      <c r="O30" t="inlineStr">
        <is>
          <t>gold</t>
        </is>
      </c>
      <c r="P30" t="n">
        <v>300</v>
      </c>
      <c r="Q30" t="n">
        <v>1.75</v>
      </c>
      <c r="R30" t="n">
        <v>5</v>
      </c>
      <c r="S30" t="inlineStr">
        <is>
          <t>briarDmg</t>
        </is>
      </c>
      <c r="T30" t="n">
        <v>0.35</v>
      </c>
    </row>
    <row r="31">
      <c r="A31" s="7" t="inlineStr">
        <is>
          <t>Company</t>
        </is>
      </c>
      <c r="B31" s="7" t="inlineStr">
        <is>
          <t>Quill Focus</t>
        </is>
      </c>
      <c r="C31" s="7" t="inlineStr">
        <is>
          <t>gold</t>
        </is>
      </c>
      <c r="D31" s="7" t="n">
        <v>800</v>
      </c>
      <c r="E31" s="7" t="n">
        <v>1.7</v>
      </c>
      <c r="F31" s="7" t="n">
        <v>12</v>
      </c>
      <c r="G31" s="7" t="inlineStr">
        <is>
          <t>+40%/lv Quill dmg</t>
        </is>
      </c>
      <c r="H31" s="7" t="inlineStr">
        <is>
          <t>quillDmg</t>
        </is>
      </c>
      <c r="I31" s="7" t="n">
        <v>0.4</v>
      </c>
      <c r="J31" s="7" t="inlineStr">
        <is>
          <t>Hire Quill</t>
        </is>
      </c>
      <c r="K31" s="7" t="inlineStr">
        <is>
          <t>Was time-gated; now resource cost</t>
        </is>
      </c>
      <c r="N31" t="inlineStr">
        <is>
          <t>Quill Focus</t>
        </is>
      </c>
      <c r="O31" t="inlineStr">
        <is>
          <t>gold</t>
        </is>
      </c>
      <c r="P31" t="n">
        <v>800</v>
      </c>
      <c r="Q31" t="n">
        <v>1.7</v>
      </c>
      <c r="R31" t="n">
        <v>12</v>
      </c>
      <c r="S31" t="inlineStr">
        <is>
          <t>quillDmg</t>
        </is>
      </c>
      <c r="T31" t="n">
        <v>0.4</v>
      </c>
    </row>
    <row r="32">
      <c r="A32" s="7" t="inlineStr">
        <is>
          <t>Company</t>
        </is>
      </c>
      <c r="B32" s="7" t="inlineStr">
        <is>
          <t>Quill Cadence</t>
        </is>
      </c>
      <c r="C32" s="7" t="inlineStr">
        <is>
          <t>gold</t>
        </is>
      </c>
      <c r="D32" s="7" t="n">
        <v>850</v>
      </c>
      <c r="E32" s="7" t="n">
        <v>1.75</v>
      </c>
      <c r="F32" s="7" t="n">
        <v>10</v>
      </c>
      <c r="G32" s="7" t="inlineStr">
        <is>
          <t>+30%/lv Quill speed</t>
        </is>
      </c>
      <c r="H32" s="7" t="inlineStr">
        <is>
          <t>quillAtkSpeed</t>
        </is>
      </c>
      <c r="I32" s="7" t="n">
        <v>0.3</v>
      </c>
      <c r="J32" s="7" t="inlineStr">
        <is>
          <t>Hire Quill</t>
        </is>
      </c>
      <c r="K32" s="7" t="inlineStr">
        <is>
          <t>Was time-gated; now resource cost</t>
        </is>
      </c>
      <c r="N32" t="inlineStr">
        <is>
          <t>Quill Cadence</t>
        </is>
      </c>
      <c r="O32" t="inlineStr">
        <is>
          <t>gold</t>
        </is>
      </c>
      <c r="P32" t="n">
        <v>850</v>
      </c>
      <c r="Q32" t="n">
        <v>1.75</v>
      </c>
      <c r="R32" t="n">
        <v>10</v>
      </c>
      <c r="S32" t="inlineStr">
        <is>
          <t>quillAtkSpeed</t>
        </is>
      </c>
      <c r="T32" t="n">
        <v>0.3</v>
      </c>
    </row>
    <row r="33">
      <c r="A33" s="7" t="inlineStr">
        <is>
          <t>Company</t>
        </is>
      </c>
      <c r="B33" s="7" t="inlineStr">
        <is>
          <t>Quill Arrow Speed</t>
        </is>
      </c>
      <c r="C33" s="7" t="inlineStr">
        <is>
          <t>gold</t>
        </is>
      </c>
      <c r="D33" s="7" t="n">
        <v>800</v>
      </c>
      <c r="E33" s="7" t="n">
        <v>1.7</v>
      </c>
      <c r="F33" s="7" t="n">
        <v>8</v>
      </c>
      <c r="G33" s="7" t="inlineStr">
        <is>
          <t>+25%/lv Quill flight</t>
        </is>
      </c>
      <c r="H33" s="7" t="inlineStr">
        <is>
          <t>quillProjSpeed</t>
        </is>
      </c>
      <c r="I33" s="7" t="n">
        <v>0.25</v>
      </c>
      <c r="J33" s="7" t="inlineStr">
        <is>
          <t>Hire Quill</t>
        </is>
      </c>
      <c r="K33" s="7" t="inlineStr">
        <is>
          <t>Was time-gated; now resource cost</t>
        </is>
      </c>
      <c r="N33" t="inlineStr">
        <is>
          <t>Quill Arrow Speed</t>
        </is>
      </c>
      <c r="O33" t="inlineStr">
        <is>
          <t>gold</t>
        </is>
      </c>
      <c r="P33" t="n">
        <v>800</v>
      </c>
      <c r="Q33" t="n">
        <v>1.7</v>
      </c>
      <c r="R33" t="n">
        <v>8</v>
      </c>
      <c r="S33" t="inlineStr">
        <is>
          <t>quillProjSpeed</t>
        </is>
      </c>
      <c r="T33" t="n">
        <v>0.25</v>
      </c>
    </row>
    <row r="34">
      <c r="A34" s="7" t="inlineStr">
        <is>
          <t>Company</t>
        </is>
      </c>
      <c r="B34" s="7" t="inlineStr">
        <is>
          <t>Quill Multishot</t>
        </is>
      </c>
      <c r="C34" s="7" t="inlineStr">
        <is>
          <t>points</t>
        </is>
      </c>
      <c r="D34" s="7" t="n">
        <v>900</v>
      </c>
      <c r="E34" s="7" t="n">
        <v>1.85</v>
      </c>
      <c r="F34" s="7" t="n">
        <v>2</v>
      </c>
      <c r="G34" s="7" t="inlineStr">
        <is>
          <t>Extra arrows</t>
        </is>
      </c>
      <c r="H34" s="7" t="inlineStr">
        <is>
          <t>quillMultishot</t>
        </is>
      </c>
      <c r="I34" s="7" t="n">
        <v>1</v>
      </c>
      <c r="J34" s="7" t="inlineStr">
        <is>
          <t>Quill Focus or Cadence</t>
        </is>
      </c>
      <c r="K34" s="7" t="inlineStr">
        <is>
          <t>Was time-gated; now resource cost</t>
        </is>
      </c>
      <c r="N34" t="inlineStr">
        <is>
          <t>Quill Multishot</t>
        </is>
      </c>
      <c r="O34" t="inlineStr">
        <is>
          <t>points</t>
        </is>
      </c>
      <c r="P34" t="n">
        <v>900</v>
      </c>
      <c r="Q34" t="n">
        <v>1.85</v>
      </c>
      <c r="R34" t="n">
        <v>2</v>
      </c>
      <c r="S34" t="inlineStr">
        <is>
          <t>quillMultishot</t>
        </is>
      </c>
      <c r="T34" t="n">
        <v>1</v>
      </c>
    </row>
    <row r="35">
      <c r="A35" s="7" t="inlineStr">
        <is>
          <t>Camp</t>
        </is>
      </c>
      <c r="B35" s="7" t="inlineStr">
        <is>
          <t>Offline Cap</t>
        </is>
      </c>
      <c r="C35" s="7" t="inlineStr">
        <is>
          <t>gold</t>
        </is>
      </c>
      <c r="D35" s="7" t="n">
        <v>80</v>
      </c>
      <c r="E35" s="7" t="n">
        <v>1.7</v>
      </c>
      <c r="F35" s="7" t="n">
        <v>20</v>
      </c>
      <c r="G35" s="7" t="inlineStr">
        <is>
          <t>+30 min offline cap</t>
        </is>
      </c>
      <c r="H35" s="7" t="inlineStr">
        <is>
          <t>offlineCapMin</t>
        </is>
      </c>
      <c r="I35" s="7" t="n">
        <v>30</v>
      </c>
      <c r="J35" s="7" t="inlineStr"/>
      <c r="K35" s="7" t="inlineStr">
        <is>
          <t>Was time-gated; now resource cost</t>
        </is>
      </c>
      <c r="N35" t="inlineStr">
        <is>
          <t>Offline Cap</t>
        </is>
      </c>
      <c r="O35" t="inlineStr">
        <is>
          <t>gold</t>
        </is>
      </c>
      <c r="P35" t="n">
        <v>80</v>
      </c>
      <c r="Q35" t="n">
        <v>1.7</v>
      </c>
      <c r="R35" t="n">
        <v>20</v>
      </c>
      <c r="S35" t="inlineStr">
        <is>
          <t>offlineCapMin</t>
        </is>
      </c>
      <c r="T35" t="n">
        <v>30</v>
      </c>
    </row>
    <row r="36">
      <c r="A36" s="7" t="inlineStr">
        <is>
          <t>Camp</t>
        </is>
      </c>
      <c r="B36" s="7" t="inlineStr">
        <is>
          <t>Food Efficiency</t>
        </is>
      </c>
      <c r="C36" s="7" t="inlineStr">
        <is>
          <t>gold</t>
        </is>
      </c>
      <c r="D36" s="7" t="n">
        <v>50</v>
      </c>
      <c r="E36" s="7" t="n">
        <v>1.6</v>
      </c>
      <c r="F36" s="7" t="n">
        <v>25</v>
      </c>
      <c r="G36" s="7" t="inlineStr">
        <is>
          <t>+8% food efficiency</t>
        </is>
      </c>
      <c r="H36" s="7" t="inlineStr">
        <is>
          <t>foodEff</t>
        </is>
      </c>
      <c r="I36" s="7" t="n">
        <v>0.08</v>
      </c>
      <c r="J36" s="7" t="inlineStr"/>
      <c r="K36" s="7" t="inlineStr">
        <is>
          <t>Was time-gated; now resource cost</t>
        </is>
      </c>
      <c r="N36" t="inlineStr">
        <is>
          <t>Food Efficiency</t>
        </is>
      </c>
      <c r="O36" t="inlineStr">
        <is>
          <t>gold</t>
        </is>
      </c>
      <c r="P36" t="n">
        <v>50</v>
      </c>
      <c r="Q36" t="n">
        <v>1.6</v>
      </c>
      <c r="R36" t="n">
        <v>25</v>
      </c>
      <c r="S36" t="inlineStr">
        <is>
          <t>foodEff</t>
        </is>
      </c>
      <c r="T36" t="n">
        <v>0.08</v>
      </c>
    </row>
    <row r="37">
      <c r="A37" s="7" t="inlineStr">
        <is>
          <t>Camp</t>
        </is>
      </c>
      <c r="B37" s="7" t="inlineStr">
        <is>
          <t>Bigger Food Stock</t>
        </is>
      </c>
      <c r="C37" s="7" t="inlineStr">
        <is>
          <t>gold</t>
        </is>
      </c>
      <c r="D37" s="7" t="n">
        <v>35</v>
      </c>
      <c r="E37" s="7" t="n">
        <v>1.5</v>
      </c>
      <c r="F37" s="7" t="n">
        <v>30</v>
      </c>
      <c r="G37" s="7" t="inlineStr">
        <is>
          <t>+25 food cap &amp; +0.4/min</t>
        </is>
      </c>
      <c r="H37" s="7" t="inlineStr">
        <is>
          <t>foodCap</t>
        </is>
      </c>
      <c r="I37" s="7" t="n">
        <v>25</v>
      </c>
      <c r="J37" s="7" t="inlineStr"/>
      <c r="K37" s="7" t="inlineStr">
        <is>
          <t>Was time-gated; now resource cost</t>
        </is>
      </c>
      <c r="N37" t="inlineStr">
        <is>
          <t>Bigger Food Stock</t>
        </is>
      </c>
      <c r="O37" t="inlineStr">
        <is>
          <t>gold</t>
        </is>
      </c>
      <c r="P37" t="n">
        <v>35</v>
      </c>
      <c r="Q37" t="n">
        <v>1.5</v>
      </c>
      <c r="R37" t="n">
        <v>30</v>
      </c>
      <c r="S37" t="inlineStr">
        <is>
          <t>foodCap</t>
        </is>
      </c>
      <c r="T37" t="n">
        <v>25</v>
      </c>
    </row>
    <row r="38">
      <c r="A38" s="7" t="inlineStr">
        <is>
          <t>Camp</t>
        </is>
      </c>
      <c r="B38" s="7" t="inlineStr">
        <is>
          <t>Auto-Accept</t>
        </is>
      </c>
      <c r="C38" s="7" t="inlineStr">
        <is>
          <t>points</t>
        </is>
      </c>
      <c r="D38" s="7" t="n">
        <v>150</v>
      </c>
      <c r="E38" s="7" t="n">
        <v>1</v>
      </c>
      <c r="F38" s="7" t="n">
        <v>1</v>
      </c>
      <c r="G38" s="7" t="inlineStr">
        <is>
          <t>Auto-pick next Task</t>
        </is>
      </c>
      <c r="H38" s="7" t="inlineStr">
        <is>
          <t>autoAccept</t>
        </is>
      </c>
      <c r="I38" s="7" t="n">
        <v>1</v>
      </c>
      <c r="J38" s="7" t="inlineStr"/>
      <c r="K38" s="7" t="inlineStr">
        <is>
          <t>Was time-gated; now resource cost</t>
        </is>
      </c>
      <c r="N38" t="inlineStr">
        <is>
          <t>Auto-Accept</t>
        </is>
      </c>
      <c r="O38" t="inlineStr">
        <is>
          <t>points</t>
        </is>
      </c>
      <c r="P38" t="n">
        <v>150</v>
      </c>
      <c r="Q38" t="n">
        <v>1</v>
      </c>
      <c r="R38" t="n">
        <v>1</v>
      </c>
      <c r="S38" t="inlineStr">
        <is>
          <t>autoAccept</t>
        </is>
      </c>
      <c r="T38" t="n">
        <v>1</v>
      </c>
    </row>
    <row r="39">
      <c r="A39" s="7" t="inlineStr">
        <is>
          <t>Camp</t>
        </is>
      </c>
      <c r="B39" s="7" t="inlineStr">
        <is>
          <t>Loot Luck</t>
        </is>
      </c>
      <c r="C39" s="7" t="inlineStr">
        <is>
          <t>gold</t>
        </is>
      </c>
      <c r="D39" s="7" t="n">
        <v>70</v>
      </c>
      <c r="E39" s="7" t="n">
        <v>1.65</v>
      </c>
      <c r="F39" s="7" t="n">
        <v>20</v>
      </c>
      <c r="G39" s="7" t="inlineStr">
        <is>
          <t>+10% gold from kills</t>
        </is>
      </c>
      <c r="H39" s="7" t="inlineStr">
        <is>
          <t>lootLuck</t>
        </is>
      </c>
      <c r="I39" s="7" t="n">
        <v>0.1</v>
      </c>
      <c r="J39" s="7" t="inlineStr"/>
      <c r="K39" s="7" t="inlineStr">
        <is>
          <t>Was time-gated; now resource cost</t>
        </is>
      </c>
      <c r="N39" t="inlineStr">
        <is>
          <t>Loot Luck</t>
        </is>
      </c>
      <c r="O39" t="inlineStr">
        <is>
          <t>gold</t>
        </is>
      </c>
      <c r="P39" t="n">
        <v>70</v>
      </c>
      <c r="Q39" t="n">
        <v>1.65</v>
      </c>
      <c r="R39" t="n">
        <v>20</v>
      </c>
      <c r="S39" t="inlineStr">
        <is>
          <t>lootLuck</t>
        </is>
      </c>
      <c r="T39" t="n">
        <v>0.1</v>
      </c>
    </row>
    <row r="40">
      <c r="A40" s="7" t="inlineStr">
        <is>
          <t>Camp</t>
        </is>
      </c>
      <c r="B40" s="7" t="inlineStr">
        <is>
          <t>Boss Meter Focus</t>
        </is>
      </c>
      <c r="C40" s="7" t="inlineStr">
        <is>
          <t>points</t>
        </is>
      </c>
      <c r="D40" s="7" t="n">
        <v>100</v>
      </c>
      <c r="E40" s="7" t="n">
        <v>1.75</v>
      </c>
      <c r="F40" s="7" t="n">
        <v>15</v>
      </c>
      <c r="G40" s="7" t="inlineStr">
        <is>
          <t>+15% meter fill</t>
        </is>
      </c>
      <c r="H40" s="7" t="inlineStr">
        <is>
          <t>preyChip</t>
        </is>
      </c>
      <c r="I40" s="7" t="n">
        <v>0.15</v>
      </c>
      <c r="J40" s="7" t="inlineStr"/>
      <c r="K40" s="7" t="inlineStr">
        <is>
          <t>Was time-gated; now resource cost</t>
        </is>
      </c>
      <c r="N40" t="inlineStr">
        <is>
          <t>Boss Meter Focus</t>
        </is>
      </c>
      <c r="O40" t="inlineStr">
        <is>
          <t>points</t>
        </is>
      </c>
      <c r="P40" t="n">
        <v>100</v>
      </c>
      <c r="Q40" t="n">
        <v>1.75</v>
      </c>
      <c r="R40" t="n">
        <v>15</v>
      </c>
      <c r="S40" t="inlineStr">
        <is>
          <t>preyChip</t>
        </is>
      </c>
      <c r="T40" t="n">
        <v>0.15</v>
      </c>
    </row>
    <row r="41">
      <c r="A41" s="7" t="inlineStr">
        <is>
          <t>Scrapwork</t>
        </is>
      </c>
      <c r="B41" s="7" t="inlineStr">
        <is>
          <t>Scrap Magnet</t>
        </is>
      </c>
      <c r="C41" s="7" t="inlineStr">
        <is>
          <t>scraps</t>
        </is>
      </c>
      <c r="D41" s="7" t="n">
        <v>30</v>
      </c>
      <c r="E41" s="7" t="n">
        <v>1.6</v>
      </c>
      <c r="F41" s="7" t="n">
        <v>10</v>
      </c>
      <c r="G41" s="7" t="inlineStr">
        <is>
          <t>+4% scrap chance</t>
        </is>
      </c>
      <c r="H41" s="7" t="inlineStr">
        <is>
          <t>scrapChance</t>
        </is>
      </c>
      <c r="I41" s="7" t="n">
        <v>0.04</v>
      </c>
      <c r="J41" s="7" t="inlineStr"/>
      <c r="K41" s="7" t="inlineStr">
        <is>
          <t>Was time-gated; now resource cost</t>
        </is>
      </c>
      <c r="N41" t="inlineStr">
        <is>
          <t>Scrap Magnet</t>
        </is>
      </c>
      <c r="O41" t="inlineStr">
        <is>
          <t>scraps</t>
        </is>
      </c>
      <c r="P41" t="n">
        <v>30</v>
      </c>
      <c r="Q41" t="n">
        <v>1.6</v>
      </c>
      <c r="R41" t="n">
        <v>10</v>
      </c>
      <c r="S41" t="inlineStr">
        <is>
          <t>scrapChance</t>
        </is>
      </c>
      <c r="T41" t="n">
        <v>0.04</v>
      </c>
    </row>
    <row r="42">
      <c r="A42" s="7" t="inlineStr">
        <is>
          <t>Scrapwork</t>
        </is>
      </c>
      <c r="B42" s="7" t="inlineStr">
        <is>
          <t>Scrap Larder</t>
        </is>
      </c>
      <c r="C42" s="7" t="inlineStr">
        <is>
          <t>scraps</t>
        </is>
      </c>
      <c r="D42" s="7" t="n">
        <v>25</v>
      </c>
      <c r="E42" s="7" t="n">
        <v>1.55</v>
      </c>
      <c r="F42" s="7" t="n">
        <v>12</v>
      </c>
      <c r="G42" s="7" t="inlineStr">
        <is>
          <t>+20 food cap &amp; +0.2/min</t>
        </is>
      </c>
      <c r="H42" s="7" t="inlineStr">
        <is>
          <t>foodCap</t>
        </is>
      </c>
      <c r="I42" s="7" t="n">
        <v>20</v>
      </c>
      <c r="J42" s="7" t="inlineStr"/>
      <c r="K42" s="7" t="inlineStr">
        <is>
          <t>Was time-gated; now resource cost</t>
        </is>
      </c>
      <c r="N42" t="inlineStr">
        <is>
          <t>Scrap Larder</t>
        </is>
      </c>
      <c r="O42" t="inlineStr">
        <is>
          <t>scraps</t>
        </is>
      </c>
      <c r="P42" t="n">
        <v>25</v>
      </c>
      <c r="Q42" t="n">
        <v>1.55</v>
      </c>
      <c r="R42" t="n">
        <v>12</v>
      </c>
      <c r="S42" t="inlineStr">
        <is>
          <t>foodCap</t>
        </is>
      </c>
      <c r="T42" t="n">
        <v>20</v>
      </c>
    </row>
    <row r="43">
      <c r="A43" s="7" t="inlineStr">
        <is>
          <t>Scrapwork</t>
        </is>
      </c>
      <c r="B43" s="7" t="inlineStr">
        <is>
          <t>Wick Wire</t>
        </is>
      </c>
      <c r="C43" s="7" t="inlineStr">
        <is>
          <t>scraps</t>
        </is>
      </c>
      <c r="D43" s="7" t="n">
        <v>45</v>
      </c>
      <c r="E43" s="7" t="n">
        <v>1.65</v>
      </c>
      <c r="F43" s="7" t="n">
        <v>8</v>
      </c>
      <c r="G43" s="7" t="inlineStr">
        <is>
          <t>+5 min offline cap</t>
        </is>
      </c>
      <c r="H43" s="7" t="inlineStr">
        <is>
          <t>offlineCapMin</t>
        </is>
      </c>
      <c r="I43" s="7" t="n">
        <v>5</v>
      </c>
      <c r="J43" s="7" t="inlineStr"/>
      <c r="K43" s="7" t="inlineStr">
        <is>
          <t>Was time-gated; now resource cost</t>
        </is>
      </c>
      <c r="N43" t="inlineStr">
        <is>
          <t>Wick Wire</t>
        </is>
      </c>
      <c r="O43" t="inlineStr">
        <is>
          <t>scraps</t>
        </is>
      </c>
      <c r="P43" t="n">
        <v>45</v>
      </c>
      <c r="Q43" t="n">
        <v>1.65</v>
      </c>
      <c r="R43" t="n">
        <v>8</v>
      </c>
      <c r="S43" t="inlineStr">
        <is>
          <t>offlineCapMin</t>
        </is>
      </c>
      <c r="T43" t="n">
        <v>5</v>
      </c>
    </row>
    <row r="44">
      <c r="A44" s="7" t="inlineStr">
        <is>
          <t>Scrapwork</t>
        </is>
      </c>
      <c r="B44" s="7" t="inlineStr">
        <is>
          <t>Gild Dust</t>
        </is>
      </c>
      <c r="C44" s="7" t="inlineStr">
        <is>
          <t>scraps</t>
        </is>
      </c>
      <c r="D44" s="7" t="n">
        <v>60</v>
      </c>
      <c r="E44" s="7" t="n">
        <v>1.7</v>
      </c>
      <c r="F44" s="7" t="n">
        <v>6</v>
      </c>
      <c r="G44" s="7" t="inlineStr">
        <is>
          <t>+3% gold loot</t>
        </is>
      </c>
      <c r="H44" s="7" t="inlineStr">
        <is>
          <t>lootLuck</t>
        </is>
      </c>
      <c r="I44" s="7" t="n">
        <v>0.03</v>
      </c>
      <c r="J44" s="7" t="inlineStr"/>
      <c r="K44" s="7" t="inlineStr">
        <is>
          <t>Was time-gated; now resource cost</t>
        </is>
      </c>
      <c r="N44" t="inlineStr">
        <is>
          <t>Gild Dust</t>
        </is>
      </c>
      <c r="O44" t="inlineStr">
        <is>
          <t>scraps</t>
        </is>
      </c>
      <c r="P44" t="n">
        <v>60</v>
      </c>
      <c r="Q44" t="n">
        <v>1.7</v>
      </c>
      <c r="R44" t="n">
        <v>6</v>
      </c>
      <c r="S44" t="inlineStr">
        <is>
          <t>lootLuck</t>
        </is>
      </c>
      <c r="T44" t="n">
        <v>0.03</v>
      </c>
    </row>
    <row r="45">
      <c r="A45" s="7" t="inlineStr">
        <is>
          <t>Forge</t>
        </is>
      </c>
      <c r="B45" s="7" t="inlineStr">
        <is>
          <t>Pelt Guard</t>
        </is>
      </c>
      <c r="C45" s="7" t="inlineStr">
        <is>
          <t>mats</t>
        </is>
      </c>
      <c r="D45" s="7" t="n">
        <v>0</v>
      </c>
      <c r="E45" s="7" t="n">
        <v>1</v>
      </c>
      <c r="F45" s="7" t="n">
        <v>1</v>
      </c>
      <c r="G45" s="7" t="inlineStr">
        <is>
          <t>+6% scrap (10 Pelt Scrap)</t>
        </is>
      </c>
      <c r="H45" s="7" t="inlineStr">
        <is>
          <t>scrapChance</t>
        </is>
      </c>
      <c r="I45" s="7" t="n">
        <v>0.06</v>
      </c>
      <c r="J45" s="7" t="inlineStr">
        <is>
          <t>10 Pelt Scrap</t>
        </is>
      </c>
      <c r="K45" s="7" t="inlineStr">
        <is>
          <t>Starter/mat</t>
        </is>
      </c>
      <c r="N45" t="inlineStr">
        <is>
          <t>Pelt Guard</t>
        </is>
      </c>
      <c r="O45" t="inlineStr">
        <is>
          <t>mats</t>
        </is>
      </c>
      <c r="P45" t="n">
        <v>0</v>
      </c>
      <c r="Q45" t="n">
        <v>1</v>
      </c>
      <c r="R45" t="n">
        <v>1</v>
      </c>
      <c r="S45" t="inlineStr">
        <is>
          <t>scrapChance</t>
        </is>
      </c>
      <c r="T45" t="n">
        <v>0.06</v>
      </c>
    </row>
    <row r="46">
      <c r="A46" s="7" t="inlineStr">
        <is>
          <t>Forge</t>
        </is>
      </c>
      <c r="B46" s="7" t="inlineStr">
        <is>
          <t>Fang Charm</t>
        </is>
      </c>
      <c r="C46" s="7" t="inlineStr">
        <is>
          <t>mats</t>
        </is>
      </c>
      <c r="D46" s="7" t="n">
        <v>0</v>
      </c>
      <c r="E46" s="7" t="n">
        <v>1</v>
      </c>
      <c r="F46" s="7" t="n">
        <v>1</v>
      </c>
      <c r="G46" s="7" t="inlineStr">
        <is>
          <t>+12 min offline (10 Ashfang Fang)</t>
        </is>
      </c>
      <c r="H46" s="7" t="inlineStr">
        <is>
          <t>offlineCapMin</t>
        </is>
      </c>
      <c r="I46" s="7" t="n">
        <v>12</v>
      </c>
      <c r="J46" s="7" t="inlineStr">
        <is>
          <t>10 Ashfang Fang</t>
        </is>
      </c>
      <c r="K46" s="7" t="inlineStr">
        <is>
          <t>Starter/mat</t>
        </is>
      </c>
      <c r="N46" t="inlineStr">
        <is>
          <t>Fang Charm</t>
        </is>
      </c>
      <c r="O46" t="inlineStr">
        <is>
          <t>mats</t>
        </is>
      </c>
      <c r="P46" t="n">
        <v>0</v>
      </c>
      <c r="Q46" t="n">
        <v>1</v>
      </c>
      <c r="R46" t="n">
        <v>1</v>
      </c>
      <c r="S46" t="inlineStr">
        <is>
          <t>offlineCapMin</t>
        </is>
      </c>
      <c r="T46" t="n">
        <v>12</v>
      </c>
    </row>
    <row r="47">
      <c r="A47" s="7" t="inlineStr">
        <is>
          <t>Forge</t>
        </is>
      </c>
      <c r="B47" s="7" t="inlineStr">
        <is>
          <t>Thread Tip</t>
        </is>
      </c>
      <c r="C47" s="7" t="inlineStr">
        <is>
          <t>mats</t>
        </is>
      </c>
      <c r="D47" s="7" t="n">
        <v>0</v>
      </c>
      <c r="E47" s="7" t="n">
        <v>1</v>
      </c>
      <c r="F47" s="7" t="n">
        <v>1</v>
      </c>
      <c r="G47" s="7" t="inlineStr">
        <is>
          <t>+4% bolt power (10 Silk Thread)</t>
        </is>
      </c>
      <c r="H47" s="7" t="inlineStr">
        <is>
          <t>killMult</t>
        </is>
      </c>
      <c r="I47" s="7" t="n">
        <v>0.04</v>
      </c>
      <c r="J47" s="7" t="inlineStr">
        <is>
          <t>10 Silk Thread</t>
        </is>
      </c>
      <c r="K47" s="7" t="inlineStr">
        <is>
          <t>Starter/mat</t>
        </is>
      </c>
      <c r="N47" t="inlineStr">
        <is>
          <t>Thread Tip</t>
        </is>
      </c>
      <c r="O47" t="inlineStr">
        <is>
          <t>mats</t>
        </is>
      </c>
      <c r="P47" t="n">
        <v>0</v>
      </c>
      <c r="Q47" t="n">
        <v>1</v>
      </c>
      <c r="R47" t="n">
        <v>1</v>
      </c>
      <c r="S47" t="inlineStr">
        <is>
          <t>killMult</t>
        </is>
      </c>
      <c r="T4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50" customWidth="1" min="4" max="4"/>
  </cols>
  <sheetData>
    <row r="1">
      <c r="A1" s="1" t="inlineStr">
        <is>
          <t>Rules &amp; Formulas — editable constants (Play tab reads these)</t>
        </is>
      </c>
    </row>
    <row r="3">
      <c r="A3" s="4" t="inlineStr">
        <is>
          <t>Constant</t>
        </is>
      </c>
      <c r="B3" s="4" t="inlineStr">
        <is>
          <t>Value</t>
        </is>
      </c>
      <c r="C3" s="4" t="inlineStr">
        <is>
          <t>Plain English</t>
        </is>
      </c>
      <c r="D3" s="4" t="inlineStr">
        <is>
          <t>Code source</t>
        </is>
      </c>
    </row>
    <row r="4">
      <c r="A4" t="inlineStr">
        <is>
          <t>Base kills per minute</t>
        </is>
      </c>
      <c r="B4" s="6" t="n">
        <v>2.5</v>
      </c>
      <c r="C4" s="2" t="inlineStr">
        <is>
          <t>Base rate before power and labor</t>
        </is>
      </c>
      <c r="D4" t="inlineStr">
        <is>
          <t>state.js killRatePerMin</t>
        </is>
      </c>
    </row>
    <row r="5">
      <c r="A5" t="inlineStr">
        <is>
          <t>Player base labor</t>
        </is>
      </c>
      <c r="B5" s="6" t="n">
        <v>0.75</v>
      </c>
      <c r="C5" s="2" t="inlineStr">
        <is>
          <t>Solo contribution with no hunters</t>
        </is>
      </c>
      <c r="D5" t="inlineStr">
        <is>
          <t>data.js PLAYER_BASE_IDLE</t>
        </is>
      </c>
    </row>
    <row r="6">
      <c r="A6" t="inlineStr">
        <is>
          <t>Active hold multiplier</t>
        </is>
      </c>
      <c r="B6" s="6" t="n">
        <v>1.4</v>
      </c>
      <c r="C6" s="2" t="inlineStr">
        <is>
          <t>Hunt-only kill-rate bonus while holding; NOT used AFK</t>
        </is>
      </c>
      <c r="D6" t="inlineStr">
        <is>
          <t>data.js ACTIVE_MULT</t>
        </is>
      </c>
    </row>
    <row r="7">
      <c r="A7" t="inlineStr">
        <is>
          <t>Monster visual HP base</t>
        </is>
      </c>
      <c r="B7" s="6" t="n">
        <v>150</v>
      </c>
      <c r="C7" s="2" t="inlineStr">
        <is>
          <t>Arena HP = MAX(40, ROUND(base × hpMult))</t>
        </is>
      </c>
      <c r="D7" t="inlineStr">
        <is>
          <t>data.js / arena.js getMonsterVisualHp</t>
        </is>
      </c>
    </row>
    <row r="8">
      <c r="A8" t="inlineStr">
        <is>
          <t>Bolt target TTK (sec)</t>
        </is>
      </c>
      <c r="B8" s="6" t="n">
        <v>12</v>
      </c>
      <c r="C8" s="2" t="inlineStr">
        <is>
          <t>Chip scale target</t>
        </is>
      </c>
      <c r="D8" t="inlineStr">
        <is>
          <t>arena.js BOLT_TTK_SEC</t>
        </is>
      </c>
    </row>
    <row r="9">
      <c r="A9" t="inlineStr">
        <is>
          <t>Bolt raw divisor</t>
        </is>
      </c>
      <c r="B9" s="6" t="n">
        <v>1.25</v>
      </c>
      <c r="C9" s="2" t="inlineStr">
        <is>
          <t>chip uses raw/1.25 (raw=1 → 0.8)</t>
        </is>
      </c>
      <c r="D9" t="inlineStr">
        <is>
          <t>arena.js boltHpChipRaw</t>
        </is>
      </c>
    </row>
    <row r="10">
      <c r="A10" t="inlineStr">
        <is>
          <t>Perfect-aim bolt TTK (sec)</t>
        </is>
      </c>
      <c r="B10" s="6" t="n">
        <v>15</v>
      </c>
      <c r="C10" s="2" t="inlineStr">
        <is>
          <t>15s if every bolt hits the Task-sized chip</t>
        </is>
      </c>
      <c r="D10" t="inlineStr">
        <is>
          <t>derived</t>
        </is>
      </c>
    </row>
    <row r="11">
      <c r="A11" t="inlineStr">
        <is>
          <t>Aim uptime (new player)</t>
        </is>
      </c>
      <c r="B11" s="6" t="n">
        <v>0.25</v>
      </c>
      <c r="C11" s="2" t="inlineStr">
        <is>
          <t>Share of perfect DPS a new player lands — EDIT ME</t>
        </is>
      </c>
      <c r="D11" t="inlineStr">
        <is>
          <t>sheet approx</t>
        </is>
      </c>
    </row>
    <row r="12">
      <c r="A12" t="inlineStr">
        <is>
          <t>Boss patience limit (sec)</t>
        </is>
      </c>
      <c r="B12" s="6" t="n">
        <v>120</v>
      </c>
      <c r="C12" s="2" t="inlineStr">
        <is>
          <t>Soft WIN/LOSE rule; CODE has no hard timer</t>
        </is>
      </c>
      <c r="D12" t="inlineStr">
        <is>
          <t>design polish; arena flee-boss</t>
        </is>
      </c>
    </row>
    <row r="13">
      <c r="A13" t="inlineStr">
        <is>
          <t>Base offline cap (min)</t>
        </is>
      </c>
      <c r="B13" s="6" t="n">
        <v>360</v>
      </c>
      <c r="C13" s="2" t="inlineStr">
        <is>
          <t>Away progress cap before Camp/Scrapwork/Forge</t>
        </is>
      </c>
      <c r="D13" t="inlineStr">
        <is>
          <t>state.js offlineCapMin=360</t>
        </is>
      </c>
    </row>
    <row r="14">
      <c r="A14" t="inlineStr">
        <is>
          <t>Base food regen /min</t>
        </is>
      </c>
      <c r="B14" s="6" t="n">
        <v>1.2</v>
      </c>
      <c r="C14" s="2" t="inlineStr">
        <is>
          <t>Food refill rate</t>
        </is>
      </c>
      <c r="D14" t="inlineStr">
        <is>
          <t>state.js</t>
        </is>
      </c>
    </row>
    <row r="15">
      <c r="A15" t="inlineStr">
        <is>
          <t>Base food cap</t>
        </is>
      </c>
      <c r="B15" s="6" t="n">
        <v>100</v>
      </c>
      <c r="C15" s="2" t="inlineStr">
        <is>
          <t>Max food</t>
        </is>
      </c>
      <c r="D15" t="inlineStr">
        <is>
          <t>state.js</t>
        </is>
      </c>
    </row>
    <row r="16">
      <c r="A16" t="inlineStr">
        <is>
          <t>Start gold</t>
        </is>
      </c>
      <c r="B16" s="6" t="n">
        <v>50</v>
      </c>
      <c r="C16" s="2" t="inlineStr">
        <is>
          <t>New save</t>
        </is>
      </c>
      <c r="D16" t="inlineStr">
        <is>
          <t>state.js defaultState</t>
        </is>
      </c>
    </row>
    <row r="17">
      <c r="A17" t="inlineStr">
        <is>
          <t>Start food</t>
        </is>
      </c>
      <c r="B17" s="6" t="n">
        <v>80</v>
      </c>
      <c r="C17" s="2" t="inlineStr">
        <is>
          <t>New save</t>
        </is>
      </c>
      <c r="D17" t="inlineStr">
        <is>
          <t>state.js defaultState</t>
        </is>
      </c>
    </row>
    <row r="18">
      <c r="A18" t="inlineStr">
        <is>
          <t>Briar base dmg chip</t>
        </is>
      </c>
      <c r="B18" s="6" t="n">
        <v>11</v>
      </c>
      <c r="C18" s="2" t="inlineStr">
        <is>
          <t>HP per Briar hit at hire</t>
        </is>
      </c>
      <c r="D18" t="inlineStr">
        <is>
          <t>data.js HUNTER_COMBAT</t>
        </is>
      </c>
    </row>
    <row r="19">
      <c r="A19" t="inlineStr">
        <is>
          <t>Briar interval ms</t>
        </is>
      </c>
      <c r="B19" s="6" t="n">
        <v>1900</v>
      </c>
      <c r="C19" s="2" t="inlineStr">
        <is>
          <t>Ms between Briar hits</t>
        </is>
      </c>
      <c r="D19" t="inlineStr">
        <is>
          <t>data.js</t>
        </is>
      </c>
    </row>
    <row r="20">
      <c r="A20" t="inlineStr">
        <is>
          <t>Briar chase uptime base</t>
        </is>
      </c>
      <c r="B20" s="6" t="n">
        <v>0.72</v>
      </c>
      <c r="C20" s="2" t="inlineStr">
        <is>
          <t>Melee uptime; ×√moveSpeed capped 0.95</t>
        </is>
      </c>
      <c r="D20" t="inlineStr">
        <is>
          <t>arena.js hunterChaseUptime</t>
        </is>
      </c>
    </row>
    <row r="23">
      <c r="A23" s="3" t="inlineStr">
        <is>
          <t>Formulas in plain English</t>
        </is>
      </c>
    </row>
    <row r="24" ht="28" customHeight="1">
      <c r="A24" s="2" t="inlineStr">
        <is>
          <t>Kill rate AFK/min = BaseRate × IdlePower × (PlayerLabor + HunterLabor) × AreaMult × MonsterMult</t>
        </is>
      </c>
    </row>
    <row r="25" ht="28" customHeight="1">
      <c r="A25" s="2" t="inlineStr">
        <is>
          <t>Kill rate Hunt/min = AFK rate × Active hold multiplier</t>
        </is>
      </c>
    </row>
    <row r="26" ht="28" customHeight="1">
      <c r="A26" s="2" t="inlineStr">
        <is>
          <t>IdlePower starts at 1.00 + Bronze +0.08 + Idle Power/gear bonuses</t>
        </is>
      </c>
    </row>
    <row r="27" ht="28" customHeight="1">
      <c r="A27" s="2" t="inlineStr">
        <is>
          <t>HunterLabor = sum(hired idle × Hunter Power). Briar 1.0, Quill 0.85, Moss 1.15, Ember 1.4</t>
        </is>
      </c>
    </row>
    <row r="28" ht="28" customHeight="1">
      <c r="A28" s="2" t="inlineStr">
        <is>
          <t>Gold/kill ≈ avg(goldMin,goldMax) × LootLuck; Sp/kill = pointsPerKill; meter += Sp × Boss Meter Focus</t>
        </is>
      </c>
    </row>
    <row r="29" ht="28" customHeight="1">
      <c r="A29" s="2" t="inlineStr">
        <is>
          <t>Task finish adds finishBonus Sp to wallet+meter and gold ≈ finishBonus×0.5×LootLuck</t>
        </is>
      </c>
    </row>
    <row r="30" ht="28" customHeight="1">
      <c r="A30" s="2" t="inlineStr">
        <is>
          <t>Arena HP = MAX(40, ROUND(VisualHPBase × hpMult))</t>
        </is>
      </c>
    </row>
    <row r="31" ht="28" customHeight="1">
      <c r="A31" s="2" t="inlineStr">
        <is>
          <t>Player bolt DPS = (CurrentTaskHP / PerfectBoltTTK) × AimUptime — CODE sizes bolts from the Task, not the boss</t>
        </is>
      </c>
    </row>
    <row r="32" ht="28" customHeight="1">
      <c r="A32" s="2" t="inlineStr">
        <is>
          <t>Briar DPS ≈ chip × (1000/interval) × chaseUptime</t>
        </is>
      </c>
    </row>
    <row r="33" ht="28" customHeight="1">
      <c r="A33" s="2" t="inlineStr">
        <is>
          <t>Boss TTK = BossHP / (PlayerDPS + HunterDPS); WIN if TTK ≤ patience (soft rule)</t>
        </is>
      </c>
    </row>
    <row r="34" ht="28" customHeight="1">
      <c r="A34" s="2" t="inlineStr">
        <is>
          <t>Go AFK: counted min = MIN(Hours×60, OfflineCap). Food regenerates for counted window first, then kills spend food; empty food stops kills</t>
        </is>
      </c>
    </row>
    <row r="35" ht="28" customHeight="1">
      <c r="A35" s="2" t="inlineStr">
        <is>
          <t>Sheet AFK assumes continuous hunting of Target (like Auto-Accept). Real code without Auto-Accept stops after the current Task</t>
        </is>
      </c>
    </row>
  </sheetData>
  <mergeCells count="13">
    <mergeCell ref="A1:D1"/>
    <mergeCell ref="A27:D27"/>
    <mergeCell ref="A31:D31"/>
    <mergeCell ref="A34:D34"/>
    <mergeCell ref="A35:D35"/>
    <mergeCell ref="A26:D26"/>
    <mergeCell ref="A30:D30"/>
    <mergeCell ref="A29:D29"/>
    <mergeCell ref="A25:D25"/>
    <mergeCell ref="A24:D24"/>
    <mergeCell ref="A33:D33"/>
    <mergeCell ref="A28:D28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7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Boss Check — can you kill the Level boss?</t>
        </is>
      </c>
    </row>
    <row r="2">
      <c r="A2" s="2" t="inlineStr">
        <is>
          <t>Yellow = inputs. Code has NO hard fight timer; patience is the soft design rule (see Rules).</t>
        </is>
      </c>
    </row>
    <row r="4">
      <c r="A4" s="3" t="inlineStr">
        <is>
          <t>Shared inputs</t>
        </is>
      </c>
    </row>
    <row r="5">
      <c r="A5" t="inlineStr">
        <is>
          <t>Aim uptime</t>
        </is>
      </c>
      <c r="B5" s="6">
        <f>'Rules &amp; Formulas'!B11</f>
        <v/>
      </c>
      <c r="C5" t="inlineStr">
        <is>
          <t>Linked to Rules</t>
        </is>
      </c>
    </row>
    <row r="6">
      <c r="A6" t="inlineStr">
        <is>
          <t>Patience limit (sec)</t>
        </is>
      </c>
      <c r="B6" s="6">
        <f>'Rules &amp; Formulas'!B12</f>
        <v/>
      </c>
      <c r="C6" t="inlineStr"/>
    </row>
    <row r="7">
      <c r="A7" t="inlineStr">
        <is>
          <t>Bolt sized from Task HP (code)</t>
        </is>
      </c>
      <c r="B7" s="6" t="n">
        <v>105</v>
      </c>
      <c r="C7" t="inlineStr">
        <is>
          <t>Bristle Cub HP — bolts use current Task, not boss</t>
        </is>
      </c>
    </row>
    <row r="8">
      <c r="A8" t="inlineStr">
        <is>
          <t>Briar hired? (0/1)</t>
        </is>
      </c>
      <c r="B8" s="6" t="n">
        <v>0</v>
      </c>
      <c r="C8" t="inlineStr">
        <is>
          <t>Example first fight at meter-fill = 0</t>
        </is>
      </c>
    </row>
    <row r="9">
      <c r="A9" t="inlineStr">
        <is>
          <t>Hunter Power lv</t>
        </is>
      </c>
      <c r="B9" s="6" t="n">
        <v>0</v>
      </c>
      <c r="C9" t="inlineStr"/>
    </row>
    <row r="10">
      <c r="A10" t="inlineStr">
        <is>
          <t>Bigger Hits lv</t>
        </is>
      </c>
      <c r="B10" s="6" t="n">
        <v>0</v>
      </c>
      <c r="C10" t="inlineStr"/>
    </row>
    <row r="11">
      <c r="A11" t="inlineStr">
        <is>
          <t>Swift Walk? (0/1)</t>
        </is>
      </c>
      <c r="B11" s="6" t="n">
        <v>0</v>
      </c>
      <c r="C11" t="inlineStr"/>
    </row>
    <row r="13">
      <c r="A13" s="3" t="inlineStr">
        <is>
          <t>Elder Thornpelt (Level 1)</t>
        </is>
      </c>
    </row>
    <row r="14">
      <c r="A14" t="inlineStr">
        <is>
          <t>Assumption</t>
        </is>
      </c>
      <c r="B14" t="inlineStr">
        <is>
          <t>Play example at first Fight: no Briar, bolts sized from Cub Task, aim from Rules.</t>
        </is>
      </c>
    </row>
    <row r="15">
      <c r="A15" t="inlineStr">
        <is>
          <t>Boss HP</t>
        </is>
      </c>
      <c r="B15" s="7" t="n">
        <v>278</v>
      </c>
    </row>
    <row r="16">
      <c r="A16" t="inlineStr">
        <is>
          <t>Meter cost (Sp)</t>
        </is>
      </c>
      <c r="B16" s="7" t="n">
        <v>120</v>
      </c>
    </row>
    <row r="17">
      <c r="A17" t="inlineStr">
        <is>
          <t>Player bolt DPS</t>
        </is>
      </c>
      <c r="B17" s="7">
        <f>$B$7/'Rules &amp; Formulas'!B10*$B$5</f>
        <v/>
      </c>
    </row>
    <row r="18">
      <c r="A18" t="inlineStr">
        <is>
          <t>Briar DPS</t>
        </is>
      </c>
      <c r="B18" s="7">
        <f>IF($B$8&lt;1,0,MAX(1,ROUND(11*(1+0.3*$B$9)*(1+0.4*$B$10),0))*(1000/1900)*MIN(0.95,0.72*SQRT(1+0.55*($B$11&gt;=1))))</f>
        <v/>
      </c>
    </row>
    <row r="19">
      <c r="A19" t="inlineStr">
        <is>
          <t>Total DPS</t>
        </is>
      </c>
      <c r="B19" s="7">
        <f>B17+B18</f>
        <v/>
      </c>
    </row>
    <row r="20">
      <c r="A20" t="inlineStr">
        <is>
          <t>TTK (sec)</t>
        </is>
      </c>
      <c r="B20" s="7">
        <f>IF(B19&lt;=0,9999,B15/B19)</f>
        <v/>
      </c>
    </row>
    <row r="21">
      <c r="A21" t="inlineStr">
        <is>
          <t>Result</t>
        </is>
      </c>
      <c r="B21" s="7">
        <f>IF(B20&lt;=$B$6,"WIN","LOSE")</f>
        <v/>
      </c>
    </row>
    <row r="22">
      <c r="A22" t="inlineStr">
        <is>
          <t>Min DPS to WIN</t>
        </is>
      </c>
      <c r="B22" s="7">
        <f>B15/$B$6</f>
        <v/>
      </c>
    </row>
    <row r="23">
      <c r="A23" t="inlineStr">
        <is>
          <t>DPS shortfall</t>
        </is>
      </c>
      <c r="B23" s="7">
        <f>MAX(0,B22-B19)</f>
        <v/>
      </c>
    </row>
    <row r="26">
      <c r="A26" s="3" t="inlineStr">
        <is>
          <t>Ashfang Alpha (Level 2)</t>
        </is>
      </c>
    </row>
    <row r="27">
      <c r="A27" t="inlineStr">
        <is>
          <t>Assumption</t>
        </is>
      </c>
      <c r="B27" t="inlineStr">
        <is>
          <t>Assumption: set Briar hired=1. Still Cub/Pup-tier bolt sizing.</t>
        </is>
      </c>
    </row>
    <row r="28">
      <c r="A28" t="inlineStr">
        <is>
          <t>Boss HP</t>
        </is>
      </c>
      <c r="B28" s="7" t="n">
        <v>390</v>
      </c>
    </row>
    <row r="29">
      <c r="A29" t="inlineStr">
        <is>
          <t>Meter cost (Sp)</t>
        </is>
      </c>
      <c r="B29" s="7" t="n">
        <v>280</v>
      </c>
    </row>
    <row r="30">
      <c r="A30" t="inlineStr">
        <is>
          <t>Player bolt DPS</t>
        </is>
      </c>
      <c r="B30" s="7">
        <f>$B$7/'Rules &amp; Formulas'!B10*$B$5</f>
        <v/>
      </c>
    </row>
    <row r="31">
      <c r="A31" t="inlineStr">
        <is>
          <t>Briar DPS</t>
        </is>
      </c>
      <c r="B31" s="7">
        <f>IF($B$8&lt;1,0,MAX(1,ROUND(11*(1+0.3*$B$9)*(1+0.4*$B$10),0))*(1000/1900)*MIN(0.95,0.72*SQRT(1+0.55*($B$11&gt;=1))))</f>
        <v/>
      </c>
    </row>
    <row r="32">
      <c r="A32" t="inlineStr">
        <is>
          <t>Total DPS</t>
        </is>
      </c>
      <c r="B32" s="7">
        <f>B30+B31</f>
        <v/>
      </c>
    </row>
    <row r="33">
      <c r="A33" t="inlineStr">
        <is>
          <t>TTK (sec)</t>
        </is>
      </c>
      <c r="B33" s="7">
        <f>IF(B32&lt;=0,9999,B28/B32)</f>
        <v/>
      </c>
    </row>
    <row r="34">
      <c r="A34" t="inlineStr">
        <is>
          <t>Result</t>
        </is>
      </c>
      <c r="B34" s="7">
        <f>IF(B33&lt;=$B$6,"WIN","LOSE")</f>
        <v/>
      </c>
    </row>
    <row r="35">
      <c r="A35" t="inlineStr">
        <is>
          <t>Min DPS to WIN</t>
        </is>
      </c>
      <c r="B35" s="7">
        <f>B28/$B$6</f>
        <v/>
      </c>
    </row>
    <row r="36">
      <c r="A36" t="inlineStr">
        <is>
          <t>DPS shortfall</t>
        </is>
      </c>
      <c r="B36" s="7">
        <f>MAX(0,B35-B32)</f>
        <v/>
      </c>
    </row>
    <row r="39">
      <c r="A39" s="3" t="inlineStr">
        <is>
          <t>Nightweave (Level 3)</t>
        </is>
      </c>
    </row>
    <row r="40">
      <c r="A40" t="inlineStr">
        <is>
          <t>Assumption</t>
        </is>
      </c>
      <c r="B40" t="inlineStr">
        <is>
          <t>Assumption: Briar only in this block — underestimates real late DPS.</t>
        </is>
      </c>
    </row>
    <row r="41">
      <c r="A41" t="inlineStr">
        <is>
          <t>Boss HP</t>
        </is>
      </c>
      <c r="B41" s="7" t="n">
        <v>540</v>
      </c>
    </row>
    <row r="42">
      <c r="A42" t="inlineStr">
        <is>
          <t>Meter cost (Sp)</t>
        </is>
      </c>
      <c r="B42" s="7" t="n">
        <v>600</v>
      </c>
    </row>
    <row r="43">
      <c r="A43" t="inlineStr">
        <is>
          <t>Player bolt DPS</t>
        </is>
      </c>
      <c r="B43" s="7">
        <f>$B$7/'Rules &amp; Formulas'!B10*$B$5</f>
        <v/>
      </c>
    </row>
    <row r="44">
      <c r="A44" t="inlineStr">
        <is>
          <t>Briar DPS</t>
        </is>
      </c>
      <c r="B44" s="7">
        <f>IF($B$8&lt;1,0,MAX(1,ROUND(11*(1+0.3*$B$9)*(1+0.4*$B$10),0))*(1000/1900)*MIN(0.95,0.72*SQRT(1+0.55*($B$11&gt;=1))))</f>
        <v/>
      </c>
    </row>
    <row r="45">
      <c r="A45" t="inlineStr">
        <is>
          <t>Total DPS</t>
        </is>
      </c>
      <c r="B45" s="7">
        <f>B43+B44</f>
        <v/>
      </c>
    </row>
    <row r="46">
      <c r="A46" t="inlineStr">
        <is>
          <t>TTK (sec)</t>
        </is>
      </c>
      <c r="B46" s="7">
        <f>IF(B45&lt;=0,9999,B41/B45)</f>
        <v/>
      </c>
    </row>
    <row r="47">
      <c r="A47" t="inlineStr">
        <is>
          <t>Result</t>
        </is>
      </c>
      <c r="B47" s="7">
        <f>IF(B46&lt;=$B$6,"WIN","LOSE")</f>
        <v/>
      </c>
    </row>
    <row r="48">
      <c r="A48" t="inlineStr">
        <is>
          <t>Min DPS to WIN</t>
        </is>
      </c>
      <c r="B48" s="7">
        <f>B41/$B$6</f>
        <v/>
      </c>
    </row>
    <row r="49">
      <c r="A49" t="inlineStr">
        <is>
          <t>DPS shortfall</t>
        </is>
      </c>
      <c r="B49" s="7">
        <f>MAX(0,B48-B45)</f>
        <v/>
      </c>
    </row>
    <row r="52">
      <c r="A52" s="3" t="inlineStr">
        <is>
          <t>Active 1 hour vs AFK 1 hour (Level 1 Cub, Bronze only)</t>
        </is>
      </c>
    </row>
    <row r="53">
      <c r="A53" t="inlineStr">
        <is>
          <t>IdlePower</t>
        </is>
      </c>
      <c r="B53" s="6" t="n">
        <v>1.08</v>
      </c>
    </row>
    <row r="54">
      <c r="A54" t="inlineStr">
        <is>
          <t>Hunter labor</t>
        </is>
      </c>
      <c r="B54" s="6" t="n">
        <v>0</v>
      </c>
    </row>
    <row r="55">
      <c r="A55" t="inlineStr">
        <is>
          <t>Cub mults</t>
        </is>
      </c>
      <c r="B55" s="6" t="n">
        <v>1</v>
      </c>
    </row>
    <row r="56">
      <c r="A56" t="inlineStr">
        <is>
          <t>AFK kills/min</t>
        </is>
      </c>
      <c r="B56" s="7">
        <f>'Rules &amp; Formulas'!B4*B53*('Rules &amp; Formulas'!B5+B54)*B55</f>
        <v/>
      </c>
    </row>
    <row r="57">
      <c r="A57" t="inlineStr">
        <is>
          <t>Active kills/min</t>
        </is>
      </c>
      <c r="B57" s="7">
        <f>B56*'Rules &amp; Formulas'!B6</f>
        <v/>
      </c>
    </row>
    <row r="58">
      <c r="A58" t="inlineStr">
        <is>
          <t>Gold/kill avg</t>
        </is>
      </c>
      <c r="B58" s="7" t="n">
        <v>1.5</v>
      </c>
    </row>
    <row r="59">
      <c r="A59" t="inlineStr">
        <is>
          <t>Sp/kill</t>
        </is>
      </c>
      <c r="B59" s="7" t="n">
        <v>1.2</v>
      </c>
    </row>
    <row r="60">
      <c r="A60" t="inlineStr">
        <is>
          <t>Active 1h gold</t>
        </is>
      </c>
      <c r="B60" s="7">
        <f>B57*60*B58</f>
        <v/>
      </c>
    </row>
    <row r="61">
      <c r="A61" t="inlineStr">
        <is>
          <t>Active 1h Slayer pts</t>
        </is>
      </c>
      <c r="B61" s="7">
        <f>B57*60*B59</f>
        <v/>
      </c>
    </row>
    <row r="62">
      <c r="A62" t="inlineStr">
        <is>
          <t>AFK 1h gold</t>
        </is>
      </c>
      <c r="B62" s="7">
        <f>B56*60*B58</f>
        <v/>
      </c>
    </row>
    <row r="63">
      <c r="A63" t="inlineStr">
        <is>
          <t>AFK 1h Sp</t>
        </is>
      </c>
      <c r="B63" s="7">
        <f>B56*60*B59</f>
        <v/>
      </c>
    </row>
    <row r="64">
      <c r="A64" t="inlineStr">
        <is>
          <t>Active/AFK gold ratio</t>
        </is>
      </c>
      <c r="B64" s="7">
        <f>B60/B62</f>
        <v/>
      </c>
    </row>
    <row r="66">
      <c r="A66" s="3" t="inlineStr">
        <is>
          <t>Proposed Elder fix (if first fight is mistuned)</t>
        </is>
      </c>
    </row>
    <row r="67" ht="60" customHeight="1">
      <c r="A67" s="2" t="inlineStr">
        <is>
          <t>If LOSE without Briar is unintended: (1) size bolts from boss HP during boss fights (arena.js boltHpChipRaw uses currentContract — mismatch vs boss HP), or (2) lower Elder hpMult 1.85 → ~1.2, or (3) require Briar before Fight boss, or (4) raise early aim assist. If LOSE is an intentional wall, gate Fight behind Hire Briar.</t>
        </is>
      </c>
    </row>
  </sheetData>
  <mergeCells count="5">
    <mergeCell ref="A2:F2"/>
    <mergeCell ref="A67:F67"/>
    <mergeCell ref="B14:F14"/>
    <mergeCell ref="B40:F40"/>
    <mergeCell ref="B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8" customWidth="1" min="3" max="3"/>
    <col width="36" customWidth="1" min="4" max="4"/>
  </cols>
  <sheetData>
    <row r="1">
      <c r="A1" s="1" t="inlineStr">
        <is>
          <t>Notes — code vs docs, simplifications, sources</t>
        </is>
      </c>
    </row>
    <row r="3">
      <c r="A3" s="4" t="inlineStr">
        <is>
          <t>Type</t>
        </is>
      </c>
      <c r="B3" s="4" t="inlineStr">
        <is>
          <t>Topic</t>
        </is>
      </c>
      <c r="C3" s="4" t="inlineStr">
        <is>
          <t>Note</t>
        </is>
      </c>
      <c r="D3" s="4" t="inlineStr">
        <is>
          <t>Source</t>
        </is>
      </c>
    </row>
    <row r="4" ht="34" customHeight="1">
      <c r="A4" t="inlineStr">
        <is>
          <t>Code vs doc</t>
        </is>
      </c>
      <c r="B4" t="inlineStr">
        <is>
          <t>Time gates</t>
        </is>
      </c>
      <c r="C4" s="2" t="inlineStr">
        <is>
          <t>Docs once described minPlayMs unlocks. Live code: no time gates; resource costs only. Sheet follows CODE.</t>
        </is>
      </c>
      <c r="D4" t="inlineStr">
        <is>
          <t>data.js; time-gates-to-costs.md</t>
        </is>
      </c>
    </row>
    <row r="5" ht="34" customHeight="1">
      <c r="A5" t="inlineStr">
        <is>
          <t>Code vs doc</t>
        </is>
      </c>
      <c r="B5" t="inlineStr">
        <is>
          <t>Boss timer</t>
        </is>
      </c>
      <c r="C5" s="2" t="inlineStr">
        <is>
          <t>Design wants 45–90s Elder solo. CODE has no fail timer — leave resets HP. Sheet soft patience 120s.</t>
        </is>
      </c>
      <c r="D5" t="inlineStr">
        <is>
          <t>arena.js; overnight-levels-polish.md</t>
        </is>
      </c>
    </row>
    <row r="6" ht="34" customHeight="1">
      <c r="A6" t="inlineStr">
        <is>
          <t>Code quirk</t>
        </is>
      </c>
      <c r="B6" t="inlineStr">
        <is>
          <t>Bolt chip vs boss</t>
        </is>
      </c>
      <c r="C6" s="2" t="inlineStr">
        <is>
          <t>boltHpChipRaw uses current Task HP, not boss HP. Elder while on Cub = weaker bolts. Sheet models this.</t>
        </is>
      </c>
      <c r="D6" t="inlineStr">
        <is>
          <t>arena.js:2544-2551</t>
        </is>
      </c>
    </row>
    <row r="7" ht="34" customHeight="1">
      <c r="A7" t="inlineStr">
        <is>
          <t>Code vs doc</t>
        </is>
      </c>
      <c r="B7" t="inlineStr">
        <is>
          <t>Area names</t>
        </is>
      </c>
      <c r="C7" s="2" t="inlineStr">
        <is>
          <t>Live chrome is Level 1/2/3 (not Undercroft).</t>
        </is>
      </c>
      <c r="D7" t="inlineStr">
        <is>
          <t>data.js areas</t>
        </is>
      </c>
    </row>
    <row r="8" ht="34" customHeight="1">
      <c r="A8" t="inlineStr">
        <is>
          <t>Simplification</t>
        </is>
      </c>
      <c r="B8" t="inlineStr">
        <is>
          <t>Aiming</t>
        </is>
      </c>
      <c r="C8" s="2" t="inlineStr">
        <is>
          <t>Aim uptime cell approximates hit rate.</t>
        </is>
      </c>
      <c r="D8" t="inlineStr">
        <is>
          <t>Rules tab</t>
        </is>
      </c>
    </row>
    <row r="9" ht="34" customHeight="1">
      <c r="A9" t="inlineStr">
        <is>
          <t>Simplification</t>
        </is>
      </c>
      <c r="B9" t="inlineStr">
        <is>
          <t>AFK multi-Task</t>
        </is>
      </c>
      <c r="C9" s="2" t="inlineStr">
        <is>
          <t>Code without Auto-Accept stops after current Task. Sheet assumes continuous Target hunting.</t>
        </is>
      </c>
      <c r="D9" t="inlineStr">
        <is>
          <t>state.js applyIdle</t>
        </is>
      </c>
    </row>
    <row r="10" ht="34" customHeight="1">
      <c r="A10" t="inlineStr">
        <is>
          <t>Simplification</t>
        </is>
      </c>
      <c r="B10" t="inlineStr">
        <is>
          <t>Active food</t>
        </is>
      </c>
      <c r="C10" s="2" t="inlineStr">
        <is>
          <t>Food enforced on Go AFK only in sheet.</t>
        </is>
      </c>
      <c r="D10" t="inlineStr">
        <is>
          <t>state.js</t>
        </is>
      </c>
    </row>
    <row r="11" ht="34" customHeight="1">
      <c r="A11" t="inlineStr">
        <is>
          <t>Simplification</t>
        </is>
      </c>
      <c r="B11" t="inlineStr">
        <is>
          <t>Points wallet</t>
        </is>
      </c>
      <c r="C11" s="2" t="inlineStr">
        <is>
          <t>Meter ≠ spendable Sp wallet. Points-currency buys show Can’t.</t>
        </is>
      </c>
      <c r="D11" t="inlineStr">
        <is>
          <t>state.js</t>
        </is>
      </c>
    </row>
    <row r="12" ht="34" customHeight="1">
      <c r="A12" t="inlineStr">
        <is>
          <t>Simplification</t>
        </is>
      </c>
      <c r="B12" t="inlineStr">
        <is>
          <t>Crits/specials/chests</t>
        </is>
      </c>
      <c r="C12" s="2" t="inlineStr">
        <is>
          <t>Omitted from DPS/economy.</t>
        </is>
      </c>
      <c r="D12" t="inlineStr">
        <is>
          <t>—</t>
        </is>
      </c>
    </row>
    <row r="13" ht="34" customHeight="1">
      <c r="A13" t="inlineStr">
        <is>
          <t>Economy flag</t>
        </is>
      </c>
      <c r="B13" t="inlineStr">
        <is>
          <t>Hire Quill 3650g</t>
        </is>
      </c>
      <c r="C13" s="2" t="inlineStr">
        <is>
          <t>Former 90m gate → 3650g; long sink vs early gpm.</t>
        </is>
      </c>
      <c r="D13" t="inlineStr">
        <is>
          <t>data.js hunter_quill</t>
        </is>
      </c>
    </row>
    <row r="14" ht="34" customHeight="1">
      <c r="A14" t="inlineStr">
        <is>
          <t>Economy flag</t>
        </is>
      </c>
      <c r="B14" t="inlineStr">
        <is>
          <t>Moss 4850 Sp / Ember 12200 Sp</t>
        </is>
      </c>
      <c r="C14" s="2" t="inlineStr">
        <is>
          <t>Huge vs boss meters 280/600.</t>
        </is>
      </c>
      <c r="D14" t="inlineStr">
        <is>
          <t>data.js</t>
        </is>
      </c>
    </row>
    <row r="15" ht="34" customHeight="1">
      <c r="A15" t="inlineStr">
        <is>
          <t>Economy flag</t>
        </is>
      </c>
      <c r="B15" t="inlineStr">
        <is>
          <t>Crits 250g / Specials 360g</t>
        </is>
      </c>
      <c r="C15" s="2" t="inlineStr">
        <is>
          <t>Compete with Iron/Briar early.</t>
        </is>
      </c>
      <c r="D15" t="inlineStr">
        <is>
          <t>time-gates-to-costs.md</t>
        </is>
      </c>
    </row>
    <row r="16" ht="34" customHeight="1">
      <c r="A16" t="inlineStr">
        <is>
          <t>Source</t>
        </is>
      </c>
      <c r="B16" t="inlineStr">
        <is>
          <t>Kill rate / bonuses / offline</t>
        </is>
      </c>
      <c r="C16" s="2" t="inlineStr">
        <is>
          <t>killRatePerMin, getBonuses, applyIdle</t>
        </is>
      </c>
      <c r="D16" t="inlineStr">
        <is>
          <t>state.js</t>
        </is>
      </c>
    </row>
    <row r="17" ht="34" customHeight="1">
      <c r="A17" t="inlineStr">
        <is>
          <t>Source</t>
        </is>
      </c>
      <c r="B17" t="inlineStr">
        <is>
          <t>Boss access</t>
        </is>
      </c>
      <c r="C17" s="2" t="inlineStr">
        <is>
          <t>bossCost, addBossMeter, startBossFight</t>
        </is>
      </c>
      <c r="D17" t="inlineStr">
        <is>
          <t>data.js / state.js</t>
        </is>
      </c>
    </row>
    <row r="18" ht="34" customHeight="1">
      <c r="A18" t="inlineStr">
        <is>
          <t>Source</t>
        </is>
      </c>
      <c r="B18" t="inlineStr">
        <is>
          <t>Arena HP / bolts / hunters</t>
        </is>
      </c>
      <c r="C18" s="2" t="inlineStr">
        <is>
          <t>getMonsterVisualHp, boltHpChipRaw, hunterSustainedDps</t>
        </is>
      </c>
      <c r="D18" t="inlineStr">
        <is>
          <t>arena.js</t>
        </is>
      </c>
    </row>
    <row r="19" ht="34" customHeight="1">
      <c r="A19" t="inlineStr">
        <is>
          <t>Active vs AFK</t>
        </is>
      </c>
      <c r="B19" t="inlineStr">
        <is>
          <t>1h compare</t>
        </is>
      </c>
      <c r="C19" s="2" t="inlineStr">
        <is>
          <t>Boss Check rows 52–64. Active ≈ AFK × 1.4 when within food/cap.</t>
        </is>
      </c>
      <c r="D19" t="inlineStr">
        <is>
          <t>Rules ACTIVE_MULT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Actions</t>
        </is>
      </c>
      <c r="B1" t="inlineStr">
        <is>
          <t>Targets</t>
        </is>
      </c>
    </row>
    <row r="2">
      <c r="A2" t="inlineStr">
        <is>
          <t>Hunt</t>
        </is>
      </c>
      <c r="B2" t="inlineStr">
        <is>
          <t>Bristle Cub</t>
        </is>
      </c>
    </row>
    <row r="3">
      <c r="A3" t="inlineStr">
        <is>
          <t>Buy upgrade</t>
        </is>
      </c>
      <c r="B3" t="inlineStr">
        <is>
          <t>Thornpelt Bear</t>
        </is>
      </c>
    </row>
    <row r="4">
      <c r="A4" t="inlineStr">
        <is>
          <t>Hire hunter</t>
        </is>
      </c>
      <c r="B4" t="inlineStr">
        <is>
          <t>Dire Thornpelt</t>
        </is>
      </c>
    </row>
    <row r="5">
      <c r="A5" t="inlineStr">
        <is>
          <t>Fight boss</t>
        </is>
      </c>
      <c r="B5" t="inlineStr">
        <is>
          <t>Ashfang Pup</t>
        </is>
      </c>
    </row>
    <row r="6">
      <c r="A6" t="inlineStr">
        <is>
          <t>Forge/Scrapwork buy</t>
        </is>
      </c>
      <c r="B6" t="inlineStr">
        <is>
          <t>Ashfang Wolf</t>
        </is>
      </c>
    </row>
    <row r="7">
      <c r="A7" t="inlineStr">
        <is>
          <t>Go AFK</t>
        </is>
      </c>
      <c r="B7" t="inlineStr">
        <is>
          <t>Dire Ashfang</t>
        </is>
      </c>
    </row>
    <row r="8">
      <c r="B8" t="inlineStr">
        <is>
          <t>Silkling</t>
        </is>
      </c>
    </row>
    <row r="9">
      <c r="B9" t="inlineStr">
        <is>
          <t>Webfen Widow</t>
        </is>
      </c>
    </row>
    <row r="10">
      <c r="B10" t="inlineStr">
        <is>
          <t>Brood Matron</t>
        </is>
      </c>
    </row>
    <row r="11">
      <c r="B11" t="inlineStr">
        <is>
          <t>Elder Thornpelt</t>
        </is>
      </c>
    </row>
    <row r="12">
      <c r="B12" t="inlineStr">
        <is>
          <t>Ashfang Alpha</t>
        </is>
      </c>
    </row>
    <row r="13">
      <c r="B13" t="inlineStr">
        <is>
          <t>Nightweave</t>
        </is>
      </c>
    </row>
    <row r="14">
      <c r="B14" t="inlineStr">
        <is>
          <t>Idle Power</t>
        </is>
      </c>
    </row>
    <row r="15">
      <c r="B15" t="inlineStr">
        <is>
          <t>Unlock Crits</t>
        </is>
      </c>
    </row>
    <row r="16">
      <c r="B16" t="inlineStr">
        <is>
          <t>Unlock Specials</t>
        </is>
      </c>
    </row>
    <row r="17">
      <c r="B17" t="inlineStr">
        <is>
          <t>Bolt Focus</t>
        </is>
      </c>
    </row>
    <row r="18">
      <c r="B18" t="inlineStr">
        <is>
          <t>Crit Power</t>
        </is>
      </c>
    </row>
    <row r="19">
      <c r="B19" t="inlineStr">
        <is>
          <t>Special Cadence</t>
        </is>
      </c>
    </row>
    <row r="20">
      <c r="B20" t="inlineStr">
        <is>
          <t>Bolt Pierce</t>
        </is>
      </c>
    </row>
    <row r="21">
      <c r="B21" t="inlineStr">
        <is>
          <t>Bolt Bounce</t>
        </is>
      </c>
    </row>
    <row r="22">
      <c r="B22" t="inlineStr">
        <is>
          <t>Bronze Blade</t>
        </is>
      </c>
    </row>
    <row r="23">
      <c r="B23" t="inlineStr">
        <is>
          <t>Iron Blade</t>
        </is>
      </c>
    </row>
    <row r="24">
      <c r="B24" t="inlineStr">
        <is>
          <t>Steel Blade</t>
        </is>
      </c>
    </row>
    <row r="25">
      <c r="B25" t="inlineStr">
        <is>
          <t>Mithril Blade</t>
        </is>
      </c>
    </row>
    <row r="26">
      <c r="B26" t="inlineStr">
        <is>
          <t>Adamant Blade</t>
        </is>
      </c>
    </row>
    <row r="27">
      <c r="B27" t="inlineStr">
        <is>
          <t>Rune Blade</t>
        </is>
      </c>
    </row>
    <row r="28">
      <c r="B28" t="inlineStr">
        <is>
          <t>Dragon Blade</t>
        </is>
      </c>
    </row>
    <row r="29">
      <c r="B29" t="inlineStr">
        <is>
          <t>Hire Briar</t>
        </is>
      </c>
    </row>
    <row r="30">
      <c r="B30" t="inlineStr">
        <is>
          <t>Hire Quill</t>
        </is>
      </c>
    </row>
    <row r="31">
      <c r="B31" t="inlineStr">
        <is>
          <t>Hire Moss</t>
        </is>
      </c>
    </row>
    <row r="32">
      <c r="B32" t="inlineStr">
        <is>
          <t>Hire Ember</t>
        </is>
      </c>
    </row>
    <row r="33">
      <c r="B33" t="inlineStr">
        <is>
          <t>Hunter Power</t>
        </is>
      </c>
    </row>
    <row r="34">
      <c r="B34" t="inlineStr">
        <is>
          <t>Bigger Hits</t>
        </is>
      </c>
    </row>
    <row r="35">
      <c r="B35" t="inlineStr">
        <is>
          <t>Faster Attacks</t>
        </is>
      </c>
    </row>
    <row r="36">
      <c r="B36" t="inlineStr">
        <is>
          <t>Swift Walk</t>
        </is>
      </c>
    </row>
    <row r="37">
      <c r="B37" t="inlineStr">
        <is>
          <t>Faster Chase</t>
        </is>
      </c>
    </row>
    <row r="38">
      <c r="B38" t="inlineStr">
        <is>
          <t>Hard Charge</t>
        </is>
      </c>
    </row>
    <row r="39">
      <c r="B39" t="inlineStr">
        <is>
          <t>Briar Blade</t>
        </is>
      </c>
    </row>
    <row r="40">
      <c r="B40" t="inlineStr">
        <is>
          <t>Briar Strength</t>
        </is>
      </c>
    </row>
    <row r="41">
      <c r="B41" t="inlineStr">
        <is>
          <t>Quill Focus</t>
        </is>
      </c>
    </row>
    <row r="42">
      <c r="B42" t="inlineStr">
        <is>
          <t>Quill Cadence</t>
        </is>
      </c>
    </row>
    <row r="43">
      <c r="B43" t="inlineStr">
        <is>
          <t>Quill Arrow Speed</t>
        </is>
      </c>
    </row>
    <row r="44">
      <c r="B44" t="inlineStr">
        <is>
          <t>Quill Multishot</t>
        </is>
      </c>
    </row>
    <row r="45">
      <c r="B45" t="inlineStr">
        <is>
          <t>Offline Cap</t>
        </is>
      </c>
    </row>
    <row r="46">
      <c r="B46" t="inlineStr">
        <is>
          <t>Food Efficiency</t>
        </is>
      </c>
    </row>
    <row r="47">
      <c r="B47" t="inlineStr">
        <is>
          <t>Bigger Food Stock</t>
        </is>
      </c>
    </row>
    <row r="48">
      <c r="B48" t="inlineStr">
        <is>
          <t>Auto-Accept</t>
        </is>
      </c>
    </row>
    <row r="49">
      <c r="B49" t="inlineStr">
        <is>
          <t>Loot Luck</t>
        </is>
      </c>
    </row>
    <row r="50">
      <c r="B50" t="inlineStr">
        <is>
          <t>Boss Meter Focus</t>
        </is>
      </c>
    </row>
    <row r="51">
      <c r="B51" t="inlineStr">
        <is>
          <t>Scrap Magnet</t>
        </is>
      </c>
    </row>
    <row r="52">
      <c r="B52" t="inlineStr">
        <is>
          <t>Scrap Larder</t>
        </is>
      </c>
    </row>
    <row r="53">
      <c r="B53" t="inlineStr">
        <is>
          <t>Wick Wire</t>
        </is>
      </c>
    </row>
    <row r="54">
      <c r="B54" t="inlineStr">
        <is>
          <t>Gild Dust</t>
        </is>
      </c>
    </row>
    <row r="55">
      <c r="B55" t="inlineStr">
        <is>
          <t>Pelt Guard</t>
        </is>
      </c>
    </row>
    <row r="56">
      <c r="B56" t="inlineStr">
        <is>
          <t>Fang Charm</t>
        </is>
      </c>
    </row>
    <row r="57">
      <c r="B57" t="inlineStr">
        <is>
          <t>Thread Tip</t>
        </is>
      </c>
    </row>
    <row r="58">
      <c r="B58" t="inlineStr">
        <is>
          <t>Briar</t>
        </is>
      </c>
    </row>
    <row r="59">
      <c r="B59" t="inlineStr">
        <is>
          <t>Quill</t>
        </is>
      </c>
    </row>
    <row r="60">
      <c r="B60" t="inlineStr">
        <is>
          <t>Moss</t>
        </is>
      </c>
    </row>
    <row r="61">
      <c r="B61" t="inlineStr">
        <is>
          <t>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2026-09-24T13:47:34Z</dcterms:created>
  <dcterms:modified xsi:type="dcterms:W3CDTF">2026-09-24T13:47:34Z</dcterms:modified>
</cp:coreProperties>
</file>