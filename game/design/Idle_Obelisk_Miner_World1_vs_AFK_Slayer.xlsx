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1. Damage &amp; Upgrades" sheetId="2" state="visible" r:id="rId2"/>
    <sheet name="2. Bombs" sheetId="3" state="visible" r:id="rId3"/>
    <sheet name="3. Obelisk &amp; Floors" sheetId="4" state="visible" r:id="rId4"/>
    <sheet name="4. Skill Tree" sheetId="5" state="visible" r:id="rId5"/>
    <sheet name="5. Prestige" sheetId="6" state="visible" r:id="rId6"/>
    <sheet name="6. Early Pacing" sheetId="7" state="visible" r:id="rId7"/>
    <sheet name="7. Side Systems" sheetId="8" state="visible" r:id="rId8"/>
    <sheet name="8. Takeaways" sheetId="9" state="visible" r:id="rId9"/>
    <sheet name="Redesign Overview" sheetId="10" state="visible" r:id="rId10"/>
    <sheet name="System Mapping" sheetId="11" state="visible" r:id="rId11"/>
    <sheet name="Unlock Ladder" sheetId="12" state="visible" r:id="rId12"/>
    <sheet name="Numbers" sheetId="13" state="visible" r:id="rId13"/>
    <sheet name="Pacing Targets" sheetId="14" state="visible" r:id="rId14"/>
    <sheet name="Names" sheetId="15" state="visible" r:id="rId15"/>
    <sheet name="Keep-Change-Cut" sheetId="16" state="visible" r:id="rId16"/>
    <sheet name="Phase 1 Build" sheetId="17" state="visible" r:id="rId17"/>
  </sheets>
  <definedNames>
    <definedName name="_xlnm._FilterDatabase" localSheetId="9" hidden="1">'Redesign Overview'!$A$1:$B$12</definedName>
    <definedName name="_xlnm._FilterDatabase" localSheetId="10" hidden="1">'System Mapping'!$A$1:$D$14</definedName>
    <definedName name="_xlnm._FilterDatabase" localSheetId="11" hidden="1">'Unlock Ladder'!$A$1:$E$21</definedName>
    <definedName name="_xlnm._FilterDatabase" localSheetId="12" hidden="1">'Numbers'!$A$1:$F$87</definedName>
    <definedName name="_xlnm._FilterDatabase" localSheetId="13" hidden="1">'Pacing Targets'!$A$1:$D$7</definedName>
    <definedName name="_xlnm._FilterDatabase" localSheetId="14" hidden="1">'Names'!$A$1:$D$65</definedName>
    <definedName name="_xlnm._FilterDatabase" localSheetId="15" hidden="1">'Keep-Change-Cut'!$A$1:$D$26</definedName>
    <definedName name="_xlnm._FilterDatabase" localSheetId="16" hidden="1">'Phase 1 Build'!$A$1:$D$12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0" pivotButton="0" quotePrefix="0" xfId="0"/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8" customHeight="1">
      <c r="A1" s="1" t="inlineStr">
        <is>
          <t>Idle Obelisk Miner (World 1) vs AFK Slayer</t>
        </is>
      </c>
    </row>
    <row r="2" ht="8" customHeight="1">
      <c r="A2" s="2" t="inlineStr"/>
    </row>
    <row r="3" ht="18" customHeight="1">
      <c r="A3" s="3" t="inlineStr">
        <is>
          <t>Scope (LOCKED per Alex 2026-09-24)</t>
        </is>
      </c>
    </row>
    <row r="4" ht="18" customHeight="1">
      <c r="A4" s="2" t="inlineStr">
        <is>
          <t>Idle Obelisk Miner side is WORLD 1 ONLY — floors 1–42, systems unlocked through Construct (Obelisk 19), ending at the World 2 monument unlock. World 2+ content is out of scope.</t>
        </is>
      </c>
    </row>
    <row r="5" ht="18" customHeight="1">
      <c r="A5" s="2" t="inlineStr">
        <is>
          <t>World 2 unlock marker: Construct monument costs 2,000 Gems + 2k Stone/Magma/Virtual Veins (wiki Construct). Guide recommends ~9 W1 statues + ~39 challenges first.</t>
        </is>
      </c>
    </row>
    <row r="6" ht="18" customHeight="1">
      <c r="A6" s="2" t="inlineStr">
        <is>
          <t>AFK Slayer focus of Takeaways: Level 1 → first boss (Elder) → into Level 2 feel.</t>
        </is>
      </c>
    </row>
    <row r="7" ht="8" customHeight="1">
      <c r="A7" s="2" t="inlineStr"/>
    </row>
    <row r="8" ht="18" customHeight="1">
      <c r="A8" s="3" t="inlineStr">
        <is>
          <t>How to read</t>
        </is>
      </c>
    </row>
    <row r="9" ht="18" customHeight="1">
      <c r="A9" s="2" t="inlineStr">
        <is>
          <t>Columns: System/Item | OM (W1) value | OM Source | OM Confidence | AFK equivalent | AFK value | AFK Source | AFK Confidence | Notes.</t>
        </is>
      </c>
    </row>
    <row r="10" ht="18" customHeight="1">
      <c r="A10" s="2" t="inlineStr">
        <is>
          <t>Confidence: exact = wiki/code verbatim; community calc = published formula arithmetic; estimate/APPROX = community report with source; unknown = not sourced (never invented).</t>
        </is>
      </c>
    </row>
    <row r="11" ht="18" customHeight="1">
      <c r="A11" s="2" t="inlineStr">
        <is>
          <t>Player-facing AFK copy never says 'quarry'.</t>
        </is>
      </c>
    </row>
    <row r="12" ht="8" customHeight="1">
      <c r="A12" s="2" t="inlineStr"/>
    </row>
    <row r="13" ht="18" customHeight="1">
      <c r="A13" s="3" t="inlineStr">
        <is>
          <t>Important corrections</t>
        </is>
      </c>
    </row>
    <row r="14" ht="18" customHeight="1">
      <c r="A14" s="2" t="inlineStr">
        <is>
          <t>OM Skill Tree = named permanent skills, NOT STR/AGI/PER/INT/LCK.</t>
        </is>
      </c>
    </row>
    <row r="15" ht="18" customHeight="1">
      <c r="A15" s="2" t="inlineStr">
        <is>
          <t>AFK Nightweave 720 = displayLevel; HP = 150×3.6 = 540. Elder HP = 150×1.85 ≈ 278.</t>
        </is>
      </c>
    </row>
    <row r="16" ht="18" customHeight="1">
      <c r="A16" s="2" t="inlineStr">
        <is>
          <t>First prestige (min level 20) happens inside World 1 — Prestige tab included.</t>
        </is>
      </c>
    </row>
    <row r="17" ht="8" customHeight="1">
      <c r="A17" s="2" t="inlineStr"/>
    </row>
    <row r="18" ht="18" customHeight="1">
      <c r="A18" s="3" t="inlineStr">
        <is>
          <t>Sources that worked</t>
        </is>
      </c>
    </row>
    <row r="19" ht="18" customHeight="1">
      <c r="A19" s="2" t="inlineStr">
        <is>
          <t>Wiki WebFetch: Upgrades, Bombs, Obelisk, Floors, Skill-Tree, Prestige, Workshop, Drones, Construct, Guides/Progression_Guide, Pets, Cards, External_Resources.</t>
        </is>
      </c>
    </row>
    <row r="20" ht="18" customHeight="1">
      <c r="A20" s="2" t="inlineStr">
        <is>
          <t>Reddit: W1→W2 Construct wall / statue timing threads. ObeliskFarm GitHub README (freebie tools; formulas from wiki).</t>
        </is>
      </c>
    </row>
    <row r="21" ht="18" customHeight="1">
      <c r="A21" s="2" t="inlineStr">
        <is>
          <t>AFK: js/data.js, js/state.js, js/arena.js + design/*.md.</t>
        </is>
      </c>
    </row>
    <row r="23">
      <c r="A23" s="9" t="inlineStr">
        <is>
          <t>Row confidence tallies</t>
        </is>
      </c>
    </row>
    <row r="24">
      <c r="A24" t="inlineStr">
        <is>
          <t>66 data rows. OM Confidence: exact=62; estimate/APPROX=4; community calc=0; unknown=0. AFK Confidence: exact=64; estimate=1; community calc=1; unknown=0.</t>
        </is>
      </c>
    </row>
    <row r="26">
      <c r="A26" s="3" t="inlineStr">
        <is>
          <t>Redesign tabs added 2026-09-24 (LOCKED Phase 1 brief iom-style-redesign.md). Tabs: Redesign Overview, System Mapping, Unlock Ladder, Numbers, Pacing Targets, Names, Keep-Change-Cut, Phase 1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Upgrade Pickaxe (base damage)</t>
        </is>
      </c>
      <c r="B2" s="5" t="inlineStr">
        <is>
          <t>Base damage = (Level+1)×(Level+2)/2. Max 171 (incl. later cap bumps — full max is late-game). Unlock Level 1. Bars/gold cost.</t>
        </is>
      </c>
      <c r="C2" s="5" t="inlineStr">
        <is>
          <t>https://shminer.miraheze.org/wiki/Upgrades</t>
        </is>
      </c>
      <c r="D2" s="6" t="inlineStr">
        <is>
          <t>exact</t>
        </is>
      </c>
      <c r="E2" s="5" t="inlineStr">
        <is>
          <t>Bolt damage (boltHpChip)</t>
        </is>
      </c>
      <c r="F2" s="5" t="inlineStr">
        <is>
          <t>Chip sized for early-mob TTK≈BOLT_TTK_SEC=12s: baseChip=(hp/12)×(interval/1000)×rawN×(GLOBAL_DMG_MULT/0.12)×(BEAM_POWER_MULT/0.015)×liveKillMult. Round ≥1.</t>
        </is>
      </c>
      <c r="G2" s="5" t="inlineStr">
        <is>
          <t>js/arena.js boltHpChipRaw; BOLT_TTK_SEC; GLOBAL_DMG_MULT 0.12</t>
        </is>
      </c>
      <c r="H2" s="6" t="inlineStr">
        <is>
          <t>exact</t>
        </is>
      </c>
      <c r="I2" s="5" t="inlineStr">
        <is>
          <t>W1 core: pickaxe is only Obelisk damage. AFK bolts auto-scale to target HP.</t>
        </is>
      </c>
    </row>
    <row r="3" ht="58" customHeight="1">
      <c r="A3" s="7" t="inlineStr">
        <is>
          <t>World Upgrade cost curve</t>
        </is>
      </c>
      <c r="B3" s="7" t="inlineStr">
        <is>
          <t>Lv1–10: Cost=Base×N. Lv11+: Cost=Base×1.3^(N-10)×N</t>
        </is>
      </c>
      <c r="C3" s="7" t="inlineStr">
        <is>
          <t>https://shminer.miraheze.org/wiki/Upgrades</t>
        </is>
      </c>
      <c r="D3" s="6" t="inlineStr">
        <is>
          <t>exact</t>
        </is>
      </c>
      <c r="E3" s="7" t="inlineStr">
        <is>
          <t>Per-upgrade baseCost × costMult^level</t>
        </is>
      </c>
      <c r="F3" s="7" t="inlineStr">
        <is>
          <t>Each upgrade lists own baseCost/costMult/maxLevel in data.js (no shared 1.3^ curve).</t>
        </is>
      </c>
      <c r="G3" s="7" t="inlineStr">
        <is>
          <t>js/data.js upgrades[]</t>
        </is>
      </c>
      <c r="H3" s="6" t="inlineStr">
        <is>
          <t>exact</t>
        </is>
      </c>
      <c r="I3" s="7" t="inlineStr"/>
    </row>
    <row r="4" ht="58" customHeight="1">
      <c r="A4" s="5" t="inlineStr">
        <is>
          <t>Early W1 Pickaxe Crit Chance</t>
        </is>
      </c>
      <c r="B4" s="5" t="inlineStr">
        <is>
          <t>+2%/lv max16 unlock player Level 8 (also later +2% ladders at Lv44/85 — still reachable as level cap rises with OBs inside W1).</t>
        </is>
      </c>
      <c r="C4" s="5" t="inlineStr">
        <is>
          <t>https://shminer.miraheze.org/wiki/Upgrades</t>
        </is>
      </c>
      <c r="D4" s="6" t="inlineStr">
        <is>
          <t>exact</t>
        </is>
      </c>
      <c r="E4" s="5" t="inlineStr">
        <is>
          <t>Unlock Crits + Crit Power</t>
        </is>
      </c>
      <c r="F4" s="5" t="inlineStr">
        <is>
          <t>Unlock Crits 250g → base 8% crits. Crit Power +4%/lv max10, baseCost 300, costMult 1.7 gold.</t>
        </is>
      </c>
      <c r="G4" s="5" t="inlineStr">
        <is>
          <t>js/data.js unlock_crits, crit_power; js/state.js critChance base 0.08</t>
        </is>
      </c>
      <c r="H4" s="6" t="inlineStr">
        <is>
          <t>exact</t>
        </is>
      </c>
      <c r="I4" s="5" t="inlineStr">
        <is>
          <t>OM multi-tier crits (super/ultra) appear mid W1 via upgrades/skills; AFK is single-tier.</t>
        </is>
      </c>
    </row>
    <row r="5" ht="58" customHeight="1">
      <c r="A5" s="7" t="inlineStr">
        <is>
          <t>Early W1 Pickaxe Damage %</t>
        </is>
      </c>
      <c r="B5" s="7" t="inlineStr">
        <is>
          <t>Within early/mid W1 unlock band: +10% @Lv32; +15% @Lv48; +20% @Lv62 (max 16 each). Higher ×0.02+ ladders need much higher levels — treat as late W1/out of early pacing.</t>
        </is>
      </c>
      <c r="C5" s="7" t="inlineStr">
        <is>
          <t>https://shminer.miraheze.org/wiki/Upgrades</t>
        </is>
      </c>
      <c r="D5" s="6" t="inlineStr">
        <is>
          <t>exact</t>
        </is>
      </c>
      <c r="E5" s="7" t="inlineStr">
        <is>
          <t>Idle Power + metal gear</t>
        </is>
      </c>
      <c r="F5" s="7" t="inlineStr">
        <is>
          <t>Idle Power +12%/lv max40 (40g×1.55). Gear: Bronze +8% free → Iron +12% 180g → Steel +16% 450g → Mithril +22% 320 Sp → Adamant +28% 700 Sp → Rune +35% 1500 Sp → Dragon +50% 3500 Sp.</t>
        </is>
      </c>
      <c r="G5" s="7" t="inlineStr">
        <is>
          <t>js/data.js idle_power, gear_bronze…gear_dragon</t>
        </is>
      </c>
      <c r="H5" s="6" t="inlineStr">
        <is>
          <t>exact</t>
        </is>
      </c>
      <c r="I5" s="7" t="inlineStr">
        <is>
          <t>AFK damage feel is mostly kill-rate (idlePower), not raw bolt %.</t>
        </is>
      </c>
    </row>
    <row r="6" ht="58" customHeight="1">
      <c r="A6" s="5" t="inlineStr">
        <is>
          <t>Pickaxe Radius / Attack Speed (W1)</t>
        </is>
      </c>
      <c r="B6" s="5" t="inlineStr">
        <is>
          <t>Radius +8%/lv max16 unlock Lv4. Attack Speed +2%/lv max16 unlock Lv52.</t>
        </is>
      </c>
      <c r="C6" s="5" t="inlineStr">
        <is>
          <t>https://shminer.miraheze.org/wiki/Upgrades</t>
        </is>
      </c>
      <c r="D6" s="6" t="inlineStr">
        <is>
          <t>exact</t>
        </is>
      </c>
      <c r="E6" s="5" t="inlineStr">
        <is>
          <t>Fixed bolt aim / interval</t>
        </is>
      </c>
      <c r="F6" s="5" t="inlineStr">
        <is>
          <t>BOLT_HIT_WIDTH=10.2%; BOLT_AIM_ASSIST_DEG=16. Fire rate via boltIntervalMs() — not a purchased ladder.</t>
        </is>
      </c>
      <c r="G6" s="5" t="inlineStr">
        <is>
          <t>js/arena.js BOLT_HIT_WIDTH, boltIntervalMs</t>
        </is>
      </c>
      <c r="H6" s="6" t="inlineStr">
        <is>
          <t>exact</t>
        </is>
      </c>
      <c r="I6" s="5" t="inlineStr"/>
    </row>
    <row r="7" ht="58" customHeight="1">
      <c r="A7" s="7" t="inlineStr">
        <is>
          <t>Workshop Pickaxe Damage (permanent)</t>
        </is>
      </c>
      <c r="B7" s="7" t="inlineStr">
        <is>
          <t>+3%/lv max42, unlock Obelisk 6. Persists through prestige.</t>
        </is>
      </c>
      <c r="C7" s="7" t="inlineStr">
        <is>
          <t>https://shminer.miraheze.org/wiki/Workshop</t>
        </is>
      </c>
      <c r="D7" s="6" t="inlineStr">
        <is>
          <t>exact</t>
        </is>
      </c>
      <c r="E7" s="7" t="inlineStr">
        <is>
          <t>Forge / Scrapwork keep</t>
        </is>
      </c>
      <c r="F7" s="7" t="inlineStr">
        <is>
          <t>prestigeKeep: scrap_*, forge_knuckle (+6% scrap), forge_echo (+12 min offline), forge_cinder (+4% killMult).</t>
        </is>
      </c>
      <c r="G7" s="7" t="inlineStr">
        <is>
          <t>js/data.js prestigeKeep forge_* scrap_*</t>
        </is>
      </c>
      <c r="H7" s="6" t="inlineStr">
        <is>
          <t>exact</t>
        </is>
      </c>
      <c r="I7" s="7" t="inlineStr">
        <is>
          <t>W1 Workshop is the permanent damage sink twin.</t>
        </is>
      </c>
    </row>
    <row r="8" ht="58" customHeight="1">
      <c r="A8" s="5" t="inlineStr">
        <is>
          <t>Artifact T1 Pickaxe Damage</t>
        </is>
      </c>
      <c r="B8" s="5" t="inlineStr">
        <is>
          <t>+10%/lv max32; first artifact in T1 (tutorial). Bought with Prestige Points. T2@OB8, T3@OB14, T4@OB19 — all still W1.</t>
        </is>
      </c>
      <c r="C8" s="5" t="inlineStr">
        <is>
          <t>https://shminer.miraheze.org/wiki/Prestige</t>
        </is>
      </c>
      <c r="D8" s="6" t="inlineStr">
        <is>
          <t>exact</t>
        </is>
      </c>
      <c r="E8" s="5" t="inlineStr">
        <is>
          <t>Sigil Charter: Idle</t>
        </is>
      </c>
      <c r="F8" s="5" t="inlineStr">
        <is>
          <t>+5% permanent idle power for 1 Sigil (scaffolding; L4+ loop not shipped).</t>
        </is>
      </c>
      <c r="G8" s="5" t="inlineStr">
        <is>
          <t>js/data.js sigilShop; js/state.js doPrestige</t>
        </is>
      </c>
      <c r="H8" s="6" t="inlineStr">
        <is>
          <t>exact</t>
        </is>
      </c>
      <c r="I8" s="5" t="inlineStr">
        <is>
          <t>W1 prestige artifacts are the main permanent pickaxe ladder.</t>
        </is>
      </c>
    </row>
    <row r="9" ht="58" customHeight="1">
      <c r="A9" s="7" t="inlineStr">
        <is>
          <t>Drones as labor DPS</t>
        </is>
      </c>
      <c r="B9" s="7" t="inlineStr">
        <is>
          <t>Unlock OB2 menu. Drone Damage = % of Pickaxe (+20%/lv max10). Disabled during Obelisk. Suits in W1: Bear@2, Chain@4, Midas@6, Frogger@8.</t>
        </is>
      </c>
      <c r="C9" s="7" t="inlineStr">
        <is>
          <t>https://shminer.miraheze.org/wiki/Drones</t>
        </is>
      </c>
      <c r="D9" s="6" t="inlineStr">
        <is>
          <t>exact</t>
        </is>
      </c>
      <c r="E9" s="7" t="inlineStr">
        <is>
          <t>Company hunters</t>
        </is>
      </c>
      <c r="F9" s="7" t="inlineStr">
        <is>
          <t>Independent track. Bases: Briar 11dmg/1900ms; Quill 4/1200; Moss 13/2100; Ember 5/1300. Hires: Briar 140g, Quill 900g, Moss 2000g, Ember 4200g. Hunter Power +30%/lv max20; Bigger Hits +40%/lv max15; Faster Attacks +30%/lv max12.</t>
        </is>
      </c>
      <c r="G9" s="7" t="inlineStr">
        <is>
          <t>js/data.js HUNTER_COMBAT; hunter_*</t>
        </is>
      </c>
      <c r="H9" s="6" t="inlineStr">
        <is>
          <t>exact</t>
        </is>
      </c>
      <c r="I9" s="7" t="inlineStr">
        <is>
          <t>Early Briar (~140g) is the AFK twin of early drones.</t>
        </is>
      </c>
    </row>
    <row r="10" ht="58" customHeight="1">
      <c r="A10" s="5" t="inlineStr">
        <is>
          <t>Bolt Pierce / Bounce</t>
        </is>
      </c>
      <c r="B10" s="5" t="inlineStr">
        <is>
          <t>no W1 pickaxe twin (OM uses radius/crit)</t>
        </is>
      </c>
      <c r="C10" s="5" t="inlineStr">
        <is>
          <t>https://shminer.miraheze.org/wiki/Upgrades</t>
        </is>
      </c>
      <c r="D10" s="6" t="inlineStr">
        <is>
          <t>exact</t>
        </is>
      </c>
      <c r="E10" s="5" t="inlineStr">
        <is>
          <t>Bolt Pierce / Bounce</t>
        </is>
      </c>
      <c r="F10" s="5" t="inlineStr">
        <is>
          <t>Pierce max2, 180g×2.2; Bounce max2, 250g×2.2.</t>
        </is>
      </c>
      <c r="G10" s="5" t="inlineStr">
        <is>
          <t>js/data.js bolt_pierce, bolt_bounce</t>
        </is>
      </c>
      <c r="H10" s="6" t="inlineStr">
        <is>
          <t>exact</t>
        </is>
      </c>
      <c r="I10" s="5" t="inlineStr"/>
    </row>
    <row r="11" ht="58" customHeight="1">
      <c r="A11" s="7" t="inlineStr">
        <is>
          <t>ACTIVE holding</t>
        </is>
      </c>
      <c r="B11" s="7" t="inlineStr">
        <is>
          <t>Hold-to-mine; attack speed upgrades apply</t>
        </is>
      </c>
      <c r="C11" s="7" t="inlineStr">
        <is>
          <t>https://shminer.miraheze.org/wiki/Stats</t>
        </is>
      </c>
      <c r="D11" s="6" t="inlineStr">
        <is>
          <t>exact</t>
        </is>
      </c>
      <c r="E11" s="7" t="inlineStr">
        <is>
          <t>ACTIVE_MULT</t>
        </is>
      </c>
      <c r="F11" s="7" t="inlineStr">
        <is>
          <t>ACTIVE_MULT=1.4 on kill-rate while holding; PLAYER_BASE_IDLE=0.75 solo.</t>
        </is>
      </c>
      <c r="G11" s="7" t="inlineStr">
        <is>
          <t>js/data.js ACTIVE_MULT, PLAYER_BASE_IDLE</t>
        </is>
      </c>
      <c r="H11" s="6" t="inlineStr">
        <is>
          <t>exact</t>
        </is>
      </c>
      <c r="I11" s="7" t="inlineStr"/>
    </row>
    <row r="12" ht="58" customHeight="1">
      <c r="A12" s="5" t="inlineStr">
        <is>
          <t>W2+ damage upgrades</t>
        </is>
      </c>
      <c r="B12" s="5" t="inlineStr">
        <is>
          <t>OUT OF SCOPE — high-level World Upgrades (Lv100+), W2–W4 Workshop damage, Minotaur suit, etc.</t>
        </is>
      </c>
      <c r="C12" s="5" t="inlineStr">
        <is>
          <t>https://shminer.miraheze.org/wiki/Upgrades</t>
        </is>
      </c>
      <c r="D12" s="6" t="inlineStr">
        <is>
          <t>exact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6" t="inlineStr">
        <is>
          <t>exact</t>
        </is>
      </c>
      <c r="I12" s="5" t="inlineStr">
        <is>
          <t>Explicitly excluded per World 1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Bombs vs Obelisk</t>
        </is>
      </c>
      <c r="B2" s="5" t="inlineStr">
        <is>
          <t>Bombs deal 0 damage to Obelisk; drones disabled in fight</t>
        </is>
      </c>
      <c r="C2" s="5" t="inlineStr">
        <is>
          <t>https://shminer.miraheze.org/wiki/Bombs</t>
        </is>
      </c>
      <c r="D2" s="6" t="inlineStr">
        <is>
          <t>exact</t>
        </is>
      </c>
      <c r="E2" s="5" t="inlineStr">
        <is>
          <t>Full kit in boss fight</t>
        </is>
      </c>
      <c r="F2" s="5" t="inlineStr">
        <is>
          <t>Boss uses same bolts; hunters help; Specials = heavy pulse ×2.2 chip if unlocked</t>
        </is>
      </c>
      <c r="G2" s="5" t="inlineStr">
        <is>
          <t>js/arena.js specials; elder-thornpelt-tuning.md</t>
        </is>
      </c>
      <c r="H2" s="6" t="inlineStr">
        <is>
          <t>exact</t>
        </is>
      </c>
      <c r="I2" s="5" t="inlineStr">
        <is>
          <t>OM forces pickaxe-only bosses — different from AFK.</t>
        </is>
      </c>
    </row>
    <row r="3" ht="58" customHeight="1">
      <c r="A3" s="7" t="inlineStr">
        <is>
          <t>Basic / Chain Bomb</t>
        </is>
      </c>
      <c r="B3" s="7" t="inlineStr">
        <is>
          <t>Default. Basic CD 30s; Chain CD 60s (fires 1.25s apart). Core early clear tools.</t>
        </is>
      </c>
      <c r="C3" s="7" t="inlineStr">
        <is>
          <t>https://shminer.miraheze.org/wiki/Bombs</t>
        </is>
      </c>
      <c r="D3" s="6" t="inlineStr">
        <is>
          <t>exact</t>
        </is>
      </c>
      <c r="E3" s="7" t="inlineStr">
        <is>
          <t>no bomb inventory</t>
        </is>
      </c>
      <c r="F3" s="7" t="inlineStr">
        <is>
          <t>Closest: hunter auto-chips + specials</t>
        </is>
      </c>
      <c r="G3" s="7" t="inlineStr">
        <is>
          <t>js/data.js HUNTER_COMBAT; unlock_specials</t>
        </is>
      </c>
      <c r="H3" s="6" t="inlineStr">
        <is>
          <t>exact</t>
        </is>
      </c>
      <c r="I3" s="7" t="inlineStr"/>
    </row>
    <row r="4" ht="58" customHeight="1">
      <c r="A4" s="5" t="inlineStr">
        <is>
          <t>W1 Workshop bomb unlocks</t>
        </is>
      </c>
      <c r="B4" s="5" t="inlineStr">
        <is>
          <t>OB1 Bomb of Plenty; OB2 Exp Bomb + Chain amount; OB3 Infinity + Plenty multi; OB5 Cherry; OB7 D20; OB8 Exp bonus; OB9 Megabomb dmg; OB10 D20 max charges; OB12 Cherry 3× chance; OB14 Infinity scaling; OB18 Transmuter multi</t>
        </is>
      </c>
      <c r="C4" s="5" t="inlineStr">
        <is>
          <t>https://shminer.miraheze.org/wiki/Workshop</t>
        </is>
      </c>
      <c r="D4" s="6" t="inlineStr">
        <is>
          <t>exact</t>
        </is>
      </c>
      <c r="E4" s="5" t="inlineStr">
        <is>
          <t>Unlock Specials / Crits</t>
        </is>
      </c>
      <c r="F4" s="5" t="inlineStr">
        <is>
          <t>Specials 360g; Cadence +0.12/lv max5 (220 Sp); Crits 250g</t>
        </is>
      </c>
      <c r="G4" s="5" t="inlineStr">
        <is>
          <t>js/data.js unlock_specials, special_cadence, unlock_crits</t>
        </is>
      </c>
      <c r="H4" s="6" t="inlineStr">
        <is>
          <t>exact</t>
        </is>
      </c>
      <c r="I4" s="5" t="inlineStr">
        <is>
          <t>W1 bombs are a whole economy; AFK has one pulse unlock.</t>
        </is>
      </c>
    </row>
    <row r="5" ht="58" customHeight="1">
      <c r="A5" s="7" t="inlineStr">
        <is>
          <t>Store / Skill bombs (W1)</t>
        </is>
      </c>
      <c r="B5" s="7" t="inlineStr">
        <is>
          <t>MEGABOMB, Transmuter, Battery (Store). Gem Bomb + Veinmorpher via Skill-Tree (Veinmorpher needs OB19).</t>
        </is>
      </c>
      <c r="C5" s="7" t="inlineStr">
        <is>
          <t>https://shminer.miraheze.org/wiki/Bombs</t>
        </is>
      </c>
      <c r="D5" s="6" t="inlineStr">
        <is>
          <t>exact</t>
        </is>
      </c>
      <c r="E5" s="7" t="inlineStr">
        <is>
          <t>no equivalent</t>
        </is>
      </c>
      <c r="F5" s="7" t="inlineStr">
        <is>
          <t>no equivalent</t>
        </is>
      </c>
      <c r="G5" s="7" t="inlineStr">
        <is>
          <t>—</t>
        </is>
      </c>
      <c r="H5" s="6" t="inlineStr">
        <is>
          <t>exact</t>
        </is>
      </c>
      <c r="I5" s="7" t="inlineStr">
        <is>
          <t>Battery/Cherry loop is the W1 bomb skill ceiling.</t>
        </is>
      </c>
    </row>
    <row r="6" ht="58" customHeight="1">
      <c r="A6" s="5" t="inlineStr">
        <is>
          <t>Bomb Damage / Recharge (W1 world ups)</t>
        </is>
      </c>
      <c r="B6" s="5" t="inlineStr">
        <is>
          <t>Bomb Damage +20% unlock Lv20; Recharge +1%/lv unlock Lv60. Later huge bomb ladders are post-W1 pacing.</t>
        </is>
      </c>
      <c r="C6" s="5" t="inlineStr">
        <is>
          <t>https://shminer.miraheze.org/wiki/Upgrades</t>
        </is>
      </c>
      <c r="D6" s="6" t="inlineStr">
        <is>
          <t>exact</t>
        </is>
      </c>
      <c r="E6" s="5" t="inlineStr">
        <is>
          <t>Special Cadence</t>
        </is>
      </c>
      <c r="F6" s="5" t="inlineStr">
        <is>
          <t>+12% fire rate/lv max5</t>
        </is>
      </c>
      <c r="G6" s="5" t="inlineStr">
        <is>
          <t>js/data.js special_cadence</t>
        </is>
      </c>
      <c r="H6" s="6" t="inlineStr">
        <is>
          <t>exact</t>
        </is>
      </c>
      <c r="I6" s="5" t="inlineStr"/>
    </row>
    <row r="7" ht="58" customHeight="1">
      <c r="A7" s="7" t="inlineStr">
        <is>
          <t>Auto-Bomber</t>
        </is>
      </c>
      <c r="B7" s="7" t="inlineStr">
        <is>
          <t>Skill-Tree: auto-fire selected bomb every 1.25s; 10 SP. Early priority skill.</t>
        </is>
      </c>
      <c r="C7" s="7" t="inlineStr">
        <is>
          <t>https://shminer.miraheze.org/wiki/Skill-Tree</t>
        </is>
      </c>
      <c r="D7" s="6" t="inlineStr">
        <is>
          <t>exact</t>
        </is>
      </c>
      <c r="E7" s="7" t="inlineStr">
        <is>
          <t>Hire Briar (auto DPS)</t>
        </is>
      </c>
      <c r="F7" s="7" t="inlineStr">
        <is>
          <t>Hunters attack on interval once hired</t>
        </is>
      </c>
      <c r="G7" s="7" t="inlineStr">
        <is>
          <t>js/data.js hunter_briar; HUNTER_COMBAT</t>
        </is>
      </c>
      <c r="H7" s="6" t="inlineStr">
        <is>
          <t>exact</t>
        </is>
      </c>
      <c r="I7" s="7" t="inlineStr">
        <is>
          <t>Both = AFK damage after a cheap early unlock.</t>
        </is>
      </c>
    </row>
    <row r="8" ht="58" customHeight="1">
      <c r="A8" s="5" t="inlineStr">
        <is>
          <t>Golden bombs / W2+ bomb ups</t>
        </is>
      </c>
      <c r="B8" s="5" t="inlineStr">
        <is>
          <t>OUT OF SCOPE (Fishing tributes, W2 Workshop bomb damage, etc.)</t>
        </is>
      </c>
      <c r="C8" s="5" t="inlineStr">
        <is>
          <t>https://shminer.miraheze.org/wiki/Bombs</t>
        </is>
      </c>
      <c r="D8" s="6" t="inlineStr">
        <is>
          <t>exact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6" t="inlineStr">
        <is>
          <t>exact</t>
        </is>
      </c>
      <c r="I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W1 floor range</t>
        </is>
      </c>
      <c r="B2" s="5" t="inlineStr">
        <is>
          <t>Floors 1–42 across Stone/Magma/Virtual/Space/Cloud/Atomic zones. Clear req W1 = floor×5 (F1→2 needs 5 clears).</t>
        </is>
      </c>
      <c r="C2" s="5" t="inlineStr">
        <is>
          <t>https://shminer.miraheze.org/wiki/Floors</t>
        </is>
      </c>
      <c r="D2" s="6" t="inlineStr">
        <is>
          <t>exact</t>
        </is>
      </c>
      <c r="E2" s="5" t="inlineStr">
        <is>
          <t>Level 1–3 hunt ladders</t>
        </is>
      </c>
      <c r="F2" s="5" t="inlineStr">
        <is>
          <t>3 Levels (L4 hidden). Kill quotas: Cub25 → Matron220. Area mult 1.0 / 1.35 / 1.8</t>
        </is>
      </c>
      <c r="G2" s="5" t="inlineStr">
        <is>
          <t>js/data.js areas[]; contracts[].killQuota</t>
        </is>
      </c>
      <c r="H2" s="6" t="inlineStr">
        <is>
          <t>exact</t>
        </is>
      </c>
      <c r="I2" s="5" t="inlineStr">
        <is>
          <t>W2 floors 43+ OUT OF SCOPE.</t>
        </is>
      </c>
    </row>
    <row r="3" ht="58" customHeight="1">
      <c r="A3" s="7" t="inlineStr">
        <is>
          <t>Obelisk HP (≤OB60 formula)</t>
        </is>
      </c>
      <c r="B3" s="7" t="inlineStr">
        <is>
          <t>HP = round(100k × 2.8^(L-1)). OB1=100k; OB10=1.05b; OB19≈11.1t. Armor = round(10×2.8^(L-1)); must beat armor with base pickaxe.</t>
        </is>
      </c>
      <c r="C3" s="7" t="inlineStr">
        <is>
          <t>https://shminer.miraheze.org/wiki/Obelisk</t>
        </is>
      </c>
      <c r="D3" s="6" t="inlineStr">
        <is>
          <t>exact</t>
        </is>
      </c>
      <c r="E3" s="7" t="inlineStr">
        <is>
          <t>Monster/boss HP = 150 × hpMult</t>
        </is>
      </c>
      <c r="F3" s="7" t="inlineStr">
        <is>
          <t>Cub105; Thornpelt225; Elder≈278; Alpha390; Nightweave540</t>
        </is>
      </c>
      <c r="G3" s="7" t="inlineStr">
        <is>
          <t>js/data.js MONSTER_VISUAL_HP; combat.hpMult; markedPrey</t>
        </is>
      </c>
      <c r="H3" s="6" t="inlineStr">
        <is>
          <t>exact</t>
        </is>
      </c>
      <c r="I3" s="7" t="inlineStr">
        <is>
          <t>OM armor can zero damage — AFK has no armor gate.</t>
        </is>
      </c>
    </row>
    <row r="4" ht="58" customHeight="1">
      <c r="A4" s="5" t="inlineStr">
        <is>
          <t>Obelisk fight rules</t>
        </is>
      </c>
      <c r="B4" s="5" t="inlineStr">
        <is>
          <t>30s fight window; damage banks across attempts; 20 min cooldown base (T1 artifact −3%/lv). Pickaxe only.</t>
        </is>
      </c>
      <c r="C4" s="5" t="inlineStr">
        <is>
          <t>https://shminer.miraheze.org/wiki/Obelisk</t>
        </is>
      </c>
      <c r="D4" s="6" t="inlineStr">
        <is>
          <t>exact</t>
        </is>
      </c>
      <c r="E4" s="5" t="inlineStr">
        <is>
          <t>Fight boss (live arena)</t>
        </is>
      </c>
      <c r="F4" s="5" t="inlineStr">
        <is>
          <t>Leave resets HP; access stays paid. Design Elder solo TTK 45–90s (post-fix ~60s).</t>
        </is>
      </c>
      <c r="G4" s="5" t="inlineStr">
        <is>
          <t>design/level-boss-progression.md; elder-thornpelt-tuning.md</t>
        </is>
      </c>
      <c r="H4" s="6" t="inlineStr">
        <is>
          <t>exact</t>
        </is>
      </c>
      <c r="I4" s="5" t="inlineStr"/>
    </row>
    <row r="5" ht="58" customHeight="1">
      <c r="A5" s="7" t="inlineStr">
        <is>
          <t>W1 unlock milestones by OB</t>
        </is>
      </c>
      <c r="B5" s="7" t="inlineStr">
        <is>
          <t>OB1 Workshop; OB2 Drones; OB4 Skill-Tree; OB8 T2 Artifacts; OB10 Challenges; OB12 Contracts; OB14 T3 Artifacts; OB15 Cards; OB17 Pets; OB18 Drone Fuel; OB19 Construct + T4 Artifacts</t>
        </is>
      </c>
      <c r="C5" s="7" t="inlineStr">
        <is>
          <t>https://shminer.miraheze.org/wiki/Obelisk</t>
        </is>
      </c>
      <c r="D5" s="6" t="inlineStr">
        <is>
          <t>exact</t>
        </is>
      </c>
      <c r="E5" s="7" t="inlineStr">
        <is>
          <t>Level bosses unlock next Level</t>
        </is>
      </c>
      <c r="F5" s="7" t="inlineStr">
        <is>
          <t>Elder→L2; Alpha→L3; Nightweave→end card. Features via gold/Sp costs (no time gates).</t>
        </is>
      </c>
      <c r="G5" s="7" t="inlineStr">
        <is>
          <t>js/data.js markedPrey; design/time-gates-to-costs.md</t>
        </is>
      </c>
      <c r="H5" s="6" t="inlineStr">
        <is>
          <t>exact</t>
        </is>
      </c>
      <c r="I5" s="7" t="inlineStr">
        <is>
          <t>OB gates are OM's content schedule inside W1.</t>
        </is>
      </c>
    </row>
    <row r="6" ht="58" customHeight="1">
      <c r="A6" s="5" t="inlineStr">
        <is>
          <t>World 2 unlock (END MARKER)</t>
        </is>
      </c>
      <c r="B6" s="5" t="inlineStr">
        <is>
          <t>Build World 2 monument: 2,000 Gems + 2k Stone + 2k Magma + 2k Virtual Veins. Unlocks floors 43–72. Guide: ideally after 9 W1 statues + ~39 challenges.</t>
        </is>
      </c>
      <c r="C6" s="5" t="inlineStr">
        <is>
          <t>https://shminer.miraheze.org/wiki/Construct</t>
        </is>
      </c>
      <c r="D6" s="6" t="inlineStr">
        <is>
          <t>exact</t>
        </is>
      </c>
      <c r="E6" s="5" t="inlineStr">
        <is>
          <t>n/a (AFK has no W2)</t>
        </is>
      </c>
      <c r="F6" s="5" t="inlineStr">
        <is>
          <t>Comparison end = AFK L1 boss cleared + L2 opened</t>
        </is>
      </c>
      <c r="G6" s="5" t="inlineStr">
        <is>
          <t>design/level-boss-progression.md</t>
        </is>
      </c>
      <c r="H6" s="6" t="inlineStr">
        <is>
          <t>exact</t>
        </is>
      </c>
      <c r="I6" s="5" t="inlineStr">
        <is>
          <t>Everything past this monument is OUT OF SCOPE.</t>
        </is>
      </c>
    </row>
    <row r="7" ht="58" customHeight="1">
      <c r="A7" s="7" t="inlineStr">
        <is>
          <t>AFK L1 boss Elder</t>
        </is>
      </c>
      <c r="B7" s="7" t="inlineStr">
        <is>
          <t>n/a (OM bosses are Obelisks)</t>
        </is>
      </c>
      <c r="C7" s="7" t="inlineStr">
        <is>
          <t>https://shminer.miraheze.org/wiki/Obelisk</t>
        </is>
      </c>
      <c r="D7" s="6" t="inlineStr">
        <is>
          <t>exact</t>
        </is>
      </c>
      <c r="E7" s="7" t="inlineStr">
        <is>
          <t>Elder Thornpelt</t>
        </is>
      </c>
      <c r="F7" s="7" t="inlineStr">
        <is>
          <t>displayLv30; bossCost 120 Sp; hpMult 1.85 → HP≈278; rewards 100 Sp + 200g + Rat Tooth (+8% idle)</t>
        </is>
      </c>
      <c r="G7" s="7" t="inlineStr">
        <is>
          <t>js/data.js markedPrey sewer_king</t>
        </is>
      </c>
      <c r="H7" s="6" t="inlineStr">
        <is>
          <t>exact</t>
        </is>
      </c>
      <c r="I7" s="7" t="inlineStr"/>
    </row>
    <row r="8" ht="58" customHeight="1">
      <c r="A8" s="5" t="inlineStr">
        <is>
          <t>AFK L2 boss (into L2)</t>
        </is>
      </c>
      <c r="B8" s="5" t="inlineStr">
        <is>
          <t>n/a</t>
        </is>
      </c>
      <c r="C8" s="5" t="inlineStr">
        <is>
          <t>—</t>
        </is>
      </c>
      <c r="D8" s="6" t="inlineStr">
        <is>
          <t>exact</t>
        </is>
      </c>
      <c r="E8" s="5" t="inlineStr">
        <is>
          <t>Ashfang Alpha</t>
        </is>
      </c>
      <c r="F8" s="5" t="inlineStr">
        <is>
          <t>displayLv69; bossCost 280 Sp; hpMult 2.6 → HP=390</t>
        </is>
      </c>
      <c r="G8" s="5" t="inlineStr">
        <is>
          <t>js/data.js markedPrey mist_wraith</t>
        </is>
      </c>
      <c r="H8" s="6" t="inlineStr">
        <is>
          <t>exact</t>
        </is>
      </c>
      <c r="I8" s="5" t="inlineStr">
        <is>
          <t>Takeaways care about entering L2, not finishing Nightweave.</t>
        </is>
      </c>
    </row>
    <row r="9" ht="58" customHeight="1">
      <c r="A9" s="7" t="inlineStr">
        <is>
          <t>Boss bolt sizing</t>
        </is>
      </c>
      <c r="B9" s="7" t="inlineStr">
        <is>
          <t>n/a</t>
        </is>
      </c>
      <c r="C9" s="7" t="inlineStr">
        <is>
          <t>—</t>
        </is>
      </c>
      <c r="D9" s="6" t="inlineStr">
        <is>
          <t>exact</t>
        </is>
      </c>
      <c r="E9" s="7" t="inlineStr">
        <is>
          <t>boltHpChipRaw uses boss HP in boss fights</t>
        </is>
      </c>
      <c r="F9" s="7" t="inlineStr">
        <is>
          <t>Fix applied (was Task/Cub HP → ~159s Elder TTK). Post-fix ~60s solo.</t>
        </is>
      </c>
      <c r="G9" s="7" t="inlineStr">
        <is>
          <t>js/arena.js boltHpChipRaw; elder-thornpelt-tuning.md</t>
        </is>
      </c>
      <c r="H9" s="6" t="inlineStr">
        <is>
          <t>exact</t>
        </is>
      </c>
      <c r="I9" s="7" t="inlineStr">
        <is>
          <t>Critical for L1 boss feel.</t>
        </is>
      </c>
    </row>
    <row r="10" ht="58" customHeight="1">
      <c r="A10" s="5" t="inlineStr">
        <is>
          <t>OB61+ / W2+ floors</t>
        </is>
      </c>
      <c r="B10" s="5" t="inlineStr">
        <is>
          <t>OUT OF SCOPE</t>
        </is>
      </c>
      <c r="C10" s="5" t="inlineStr">
        <is>
          <t>https://shminer.miraheze.org/wiki/Floors</t>
        </is>
      </c>
      <c r="D10" s="6" t="inlineStr">
        <is>
          <t>exact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6" t="inlineStr">
        <is>
          <t>exact</t>
        </is>
      </c>
      <c r="I1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Unlock / currency</t>
        </is>
      </c>
      <c r="B2" s="5" t="inlineStr">
        <is>
          <t>Skill-Tree unlocks Obelisk 4. Permanent. Skill Points from 10 bits, 125 gems, codes/events.</t>
        </is>
      </c>
      <c r="C2" s="5" t="inlineStr">
        <is>
          <t>https://shminer.miraheze.org/wiki/Skill-Tree</t>
        </is>
      </c>
      <c r="D2" s="6" t="inlineStr">
        <is>
          <t>exact</t>
        </is>
      </c>
      <c r="E2" s="5" t="inlineStr">
        <is>
          <t>Upgrade purchases + progressionMaps</t>
        </is>
      </c>
      <c r="F2" s="5" t="inlineStr">
        <is>
          <t>No SP tree — gold/Sp unlocks</t>
        </is>
      </c>
      <c r="G2" s="5" t="inlineStr">
        <is>
          <t>js/data.js upgrades; progressionMaps</t>
        </is>
      </c>
      <c r="H2" s="6" t="inlineStr">
        <is>
          <t>exact</t>
        </is>
      </c>
      <c r="I2" s="5" t="inlineStr"/>
    </row>
    <row r="3" ht="58" customHeight="1">
      <c r="A3" s="7" t="inlineStr">
        <is>
          <t>No STR/AGI/PER/INT/LCK</t>
        </is>
      </c>
      <c r="B3" s="7" t="inlineStr">
        <is>
          <t>NOT PRESENT. Named skills only. Stats page = bonus breakdown UI.</t>
        </is>
      </c>
      <c r="C3" s="7" t="inlineStr">
        <is>
          <t>https://shminer.miraheze.org/wiki/Skill-Tree</t>
        </is>
      </c>
      <c r="D3" s="6" t="inlineStr">
        <is>
          <t>exact</t>
        </is>
      </c>
      <c r="E3" s="7" t="inlineStr">
        <is>
          <t>no attribute sheet</t>
        </is>
      </c>
      <c r="F3" s="7" t="inlineStr">
        <is>
          <t>Bonuses from upgrades, relics, mastery, sigils</t>
        </is>
      </c>
      <c r="G3" s="7" t="inlineStr">
        <is>
          <t>js/state.js getBonuses</t>
        </is>
      </c>
      <c r="H3" s="6" t="inlineStr">
        <is>
          <t>exact</t>
        </is>
      </c>
      <c r="I3" s="7" t="inlineStr">
        <is>
          <t>Do not cargo-cult RPG attributes for AFK early game.</t>
        </is>
      </c>
    </row>
    <row r="4" ht="58" customHeight="1">
      <c r="A4" s="5" t="inlineStr">
        <is>
          <t>Early W1 recommended skills</t>
        </is>
      </c>
      <c r="B4" s="5" t="inlineStr">
        <is>
          <t>Gems &amp; Chests (2 SP); Easy Progressor (3); Just Wait Faster (4); Chronokeeper (5); Auto-Bomber (10); Free? That's a great price (12); Gem Bomb (5); Stonks (22, needs OB17)</t>
        </is>
      </c>
      <c r="C4" s="5" t="inlineStr">
        <is>
          <t>https://shminer.miraheze.org/wiki/Skill-Tree</t>
        </is>
      </c>
      <c r="D4" s="6" t="inlineStr">
        <is>
          <t>exact</t>
        </is>
      </c>
      <c r="E4" s="5" t="inlineStr">
        <is>
          <t>Early AFK buys</t>
        </is>
      </c>
      <c r="F4" s="5" t="inlineStr">
        <is>
          <t>Idle Power; Iron 180g; Briar 140g; Bolt Focus 90g; Offline Cap; Crits 250g / Specials 360g</t>
        </is>
      </c>
      <c r="G4" s="5" t="inlineStr">
        <is>
          <t>js/data.js; time-gates-to-costs.md</t>
        </is>
      </c>
      <c r="H4" s="6" t="inlineStr">
        <is>
          <t>exact</t>
        </is>
      </c>
      <c r="I4" s="5" t="inlineStr"/>
    </row>
    <row r="5" ht="58" customHeight="1">
      <c r="A5" s="7" t="inlineStr">
        <is>
          <t>Damage skills (W1-relevant)</t>
        </is>
      </c>
      <c r="B5" s="7" t="inlineStr">
        <is>
          <t>Lucky Strikes (1 SP): +5% crit / +15% crit dmg. Swing Harder (1): +20% pickaxe. Super Damage (4): +40% dmg / +20% crit dmg / +15% radius.</t>
        </is>
      </c>
      <c r="C5" s="7" t="inlineStr">
        <is>
          <t>https://shminer.miraheze.org/wiki/Skill-Tree</t>
        </is>
      </c>
      <c r="D5" s="6" t="inlineStr">
        <is>
          <t>exact</t>
        </is>
      </c>
      <c r="E5" s="7" t="inlineStr">
        <is>
          <t>Idle Power / gear / crits</t>
        </is>
      </c>
      <c r="F5" s="7" t="inlineStr">
        <is>
          <t>Idle Power +12%/lv; gear ladder; Unlock Crits</t>
        </is>
      </c>
      <c r="G5" s="7" t="inlineStr">
        <is>
          <t>js/data.js idle_power, gear_*, unlock_crits</t>
        </is>
      </c>
      <c r="H5" s="6" t="inlineStr">
        <is>
          <t>exact</t>
        </is>
      </c>
      <c r="I5" s="7" t="inlineStr">
        <is>
          <t>Tons of Damage (OB23) is past W2 unlock typically — out of early W1 focus.</t>
        </is>
      </c>
    </row>
    <row r="6" ht="58" customHeight="1">
      <c r="A6" s="5" t="inlineStr">
        <is>
          <t>Chronokeeper / Easy Progressor</t>
        </is>
      </c>
      <c r="B6" s="5" t="inlineStr">
        <is>
          <t>Chronokeeper (5 SP): offline items+relics doubled, freebie bank +1, bomb cap +10. Easy Progressor (3): floor clear −10%, PP 1.2×, ore sell 1.2×.</t>
        </is>
      </c>
      <c r="C6" s="5" t="inlineStr">
        <is>
          <t>https://shminer.miraheze.org/wiki/Skill-Tree</t>
        </is>
      </c>
      <c r="D6" s="6" t="inlineStr">
        <is>
          <t>exact</t>
        </is>
      </c>
      <c r="E6" s="5" t="inlineStr">
        <is>
          <t>Offline Cap / Boss Meter Focus</t>
        </is>
      </c>
      <c r="F6" s="5" t="inlineStr">
        <is>
          <t>Base offline 360 min; Offline Cap +30 min/lv max20. prey_chip +15%/lv meter fill max15.</t>
        </is>
      </c>
      <c r="G6" s="5" t="inlineStr">
        <is>
          <t>js/state.js offlineCapMin=360; js/data.js offline_cap, prey_chip</t>
        </is>
      </c>
      <c r="H6" s="6" t="inlineStr">
        <is>
          <t>exact</t>
        </is>
      </c>
      <c r="I6" s="5" t="inlineStr"/>
    </row>
    <row r="7" ht="58" customHeight="1">
      <c r="A7" s="7" t="inlineStr">
        <is>
          <t>Mastery (AFK)</t>
        </is>
      </c>
      <c r="B7" s="7" t="inlineStr">
        <is>
          <t>no Skill-Tree twin</t>
        </is>
      </c>
      <c r="C7" s="7" t="inlineStr">
        <is>
          <t>—</t>
        </is>
      </c>
      <c r="D7" s="6" t="inlineStr">
        <is>
          <t>exact</t>
        </is>
      </c>
      <c r="E7" s="7" t="inlineStr">
        <is>
          <t>Per-monster mastery 0–10</t>
        </is>
      </c>
      <c r="F7" s="7" t="inlineStr">
        <is>
          <t>Gold mult 1+0.05×m; chest chance; auto +1 / 3 completions</t>
        </is>
      </c>
      <c r="G7" s="7" t="inlineStr">
        <is>
          <t>js/state.js masteryGoldMult, masteryChestChance</t>
        </is>
      </c>
      <c r="H7" s="6" t="inlineStr">
        <is>
          <t>exact</t>
        </is>
      </c>
      <c r="I7" s="7" t="inlineStr">
        <is>
          <t>Best AFK long-tail per-target invest without attributes.</t>
        </is>
      </c>
    </row>
    <row r="8" ht="58" customHeight="1">
      <c r="A8" s="5" t="inlineStr">
        <is>
          <t>Late Skill-Tree (OB23+)</t>
        </is>
      </c>
      <c r="B8" s="5" t="inlineStr">
        <is>
          <t>OUT OF SCOPE for W1 sheet detail (Tons of Damage OB23, fishing skills OB37, void skills OB60+, etc.)</t>
        </is>
      </c>
      <c r="C8" s="5" t="inlineStr">
        <is>
          <t>https://shminer.miraheze.org/wiki/Skill-Tree</t>
        </is>
      </c>
      <c r="D8" s="6" t="inlineStr">
        <is>
          <t>exact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6" t="inlineStr">
        <is>
          <t>exact</t>
        </is>
      </c>
      <c r="I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First prestige is IN World 1</t>
        </is>
      </c>
      <c r="B2" s="5" t="inlineStr">
        <is>
          <t>Min level 20. Level cap starts 30 (+5 per OB). Happens well before World 2 monument — core W1 loop for buying Artifacts.</t>
        </is>
      </c>
      <c r="C2" s="5" t="inlineStr">
        <is>
          <t>https://shminer.miraheze.org/wiki/Prestige</t>
        </is>
      </c>
      <c r="D2" s="6" t="inlineStr">
        <is>
          <t>exact</t>
        </is>
      </c>
      <c r="E2" s="5" t="inlineStr">
        <is>
          <t>Prestige / L4+</t>
        </is>
      </c>
      <c r="F2" s="5" t="inlineStr">
        <is>
          <t>none yet (planned L4+). Code has doPrestige + Sigils but not the shipped L1–3 goal.</t>
        </is>
      </c>
      <c r="G2" s="5" t="inlineStr">
        <is>
          <t>design/level-boss-progression.md; js/state.js doPrestige</t>
        </is>
      </c>
      <c r="H2" s="6" t="inlineStr">
        <is>
          <t>exact</t>
        </is>
      </c>
      <c r="I2" s="5" t="inlineStr">
        <is>
          <t>Included because first prestige is a W1 system.</t>
        </is>
      </c>
    </row>
    <row r="3" ht="58" customHeight="1">
      <c r="A3" s="7" t="inlineStr">
        <is>
          <t>What resets / persists (OM)</t>
        </is>
      </c>
      <c r="B3" s="7" t="inlineStr">
        <is>
          <t>Resets: level, gold, ores, bars, contracts, World Upgrades. Persists: relics, artifacts, Skill-Tree, Workshop, drones points, challenges, cards, items, veins…</t>
        </is>
      </c>
      <c r="C3" s="7" t="inlineStr">
        <is>
          <t>https://shminer.miraheze.org/wiki/Prestige</t>
        </is>
      </c>
      <c r="D3" s="6" t="inlineStr">
        <is>
          <t>exact</t>
        </is>
      </c>
      <c r="E3" s="7" t="inlineStr">
        <is>
          <t>doPrestige keep set (future)</t>
        </is>
      </c>
      <c r="F3" s="7" t="inlineStr">
        <is>
          <t>Keeps relics, bestiary, hunters, prestigeKeep scrap/forge, scraps, mats, areas, prey, sigils, 25% guild XP, features</t>
        </is>
      </c>
      <c r="G3" s="7" t="inlineStr">
        <is>
          <t>js/state.js doPrestige</t>
        </is>
      </c>
      <c r="H3" s="6" t="inlineStr">
        <is>
          <t>exact</t>
        </is>
      </c>
      <c r="I3" s="7" t="inlineStr"/>
    </row>
    <row r="4" ht="58" customHeight="1">
      <c r="A4" s="5" t="inlineStr">
        <is>
          <t>PP formula (W1 levels)</t>
        </is>
      </c>
      <c r="B4" s="5" t="inlineStr">
        <is>
          <t>Below Lv200: PP = 12 × 1.084^(level−10) × PP Gain Multi. Artifacts T1–T4 all unlockable by OB19 (still W1).</t>
        </is>
      </c>
      <c r="C4" s="5" t="inlineStr">
        <is>
          <t>https://shminer.miraheze.org/wiki/Prestige</t>
        </is>
      </c>
      <c r="D4" s="6" t="inlineStr">
        <is>
          <t>exact</t>
        </is>
      </c>
      <c r="E4" s="5" t="inlineStr">
        <is>
          <t>Sigils</t>
        </is>
      </c>
      <c r="F4" s="5" t="inlineStr">
        <is>
          <t>sigilsEarned = 1 + floor(prestigeCount×0.5) + (prey finished?1:0)</t>
        </is>
      </c>
      <c r="G4" s="5" t="inlineStr">
        <is>
          <t>js/state.js doPrestige; js/data.js sigilShop</t>
        </is>
      </c>
      <c r="H4" s="6" t="inlineStr">
        <is>
          <t>exact</t>
        </is>
      </c>
      <c r="I4" s="5" t="inlineStr"/>
    </row>
    <row r="5" ht="58" customHeight="1">
      <c r="A5" s="7" t="inlineStr">
        <is>
          <t>Community when-to-prestige (W1)</t>
        </is>
      </c>
      <c r="B5" s="7" t="inlineStr">
        <is>
          <t>APPROX: prestige when pickaxe damage stalls / need PP for artifacts; early OBs often short runs. Reddit: push toward ~OB15 then prestige more; no single hour figure.</t>
        </is>
      </c>
      <c r="C5" s="7" t="inlineStr">
        <is>
          <t>https://www.reddit.com/r/IdleObeliskMiner/comments/1scbw3h/new_player_question/</t>
        </is>
      </c>
      <c r="D5" s="8" t="inlineStr">
        <is>
          <t>estimate</t>
        </is>
      </c>
      <c r="E5" s="7" t="inlineStr">
        <is>
          <t>n/a yet</t>
        </is>
      </c>
      <c r="F5" s="7" t="inlineStr">
        <is>
          <t>none yet</t>
        </is>
      </c>
      <c r="G5" s="7" t="inlineStr">
        <is>
          <t>user brief / design docs</t>
        </is>
      </c>
      <c r="H5" s="6" t="inlineStr">
        <is>
          <t>exact</t>
        </is>
      </c>
      <c r="I5" s="7" t="inlineStr"/>
    </row>
    <row r="6" ht="58" customHeight="1">
      <c r="A6" s="5" t="inlineStr">
        <is>
          <t>Auto-Prestige skill</t>
        </is>
      </c>
      <c r="B6" s="5" t="inlineStr">
        <is>
          <t>Needs OB30 skill — typically after W2 unlock path; treat as OUT OF SCOPE detail</t>
        </is>
      </c>
      <c r="C6" s="5" t="inlineStr">
        <is>
          <t>https://shminer.miraheze.org/wiki/Prestige</t>
        </is>
      </c>
      <c r="D6" s="6" t="inlineStr">
        <is>
          <t>exact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6" t="inlineStr">
        <is>
          <t>exact</t>
        </is>
      </c>
      <c r="I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KEY: Time to World 2 unlock (APPROX)</t>
        </is>
      </c>
      <c r="B2" s="5" t="inlineStr">
        <is>
          <t>APPROX: Construct unlocks at OB19 (exact). World 2 monument is optional after that. Guide: don't rush — build 9 W1 statues first. Reddit: players hit Construct and need 'a few days' of bar/vein grind; some reach OB27 before building W2; rule of thumb ≤1–2 days per statue when ready (else improve other tabs). No authoritative total-hours-from-install figure found.</t>
        </is>
      </c>
      <c r="C2" s="5" t="inlineStr">
        <is>
          <t>https://shminer.miraheze.org/wiki/Guides/Progression_Guide</t>
        </is>
      </c>
      <c r="D2" s="8" t="inlineStr">
        <is>
          <t>estimate</t>
        </is>
      </c>
      <c r="E2" s="5" t="inlineStr">
        <is>
          <t>Time to L1 boss access + enter L2</t>
        </is>
      </c>
      <c r="F2" s="5" t="inlineStr">
        <is>
          <t>Design: fill 120 Sp meter ≈20–40 min engaged → Fight Elder → L2 unlocks on kill</t>
        </is>
      </c>
      <c r="G2" s="5" t="inlineStr">
        <is>
          <t>design/level-boss-progression.md</t>
        </is>
      </c>
      <c r="H2" s="6" t="inlineStr">
        <is>
          <t>exact</t>
        </is>
      </c>
      <c r="I2" s="5" t="inlineStr">
        <is>
          <t>Primary OM pacing end-marker for this sheet.</t>
        </is>
      </c>
    </row>
    <row r="3" ht="58" customHeight="1">
      <c r="A3" s="7" t="inlineStr">
        <is>
          <t>World 2 monument cost (exact gate)</t>
        </is>
      </c>
      <c r="B3" s="7" t="inlineStr">
        <is>
          <t>2,000 Gems + 2,000 Stone Veins + 2,000 Magma Veins + 2,000 Virtual Veins</t>
        </is>
      </c>
      <c r="C3" s="7" t="inlineStr">
        <is>
          <t>https://shminer.miraheze.org/wiki/Construct</t>
        </is>
      </c>
      <c r="D3" s="6" t="inlineStr">
        <is>
          <t>exact</t>
        </is>
      </c>
      <c r="E3" s="7" t="inlineStr">
        <is>
          <t>Elder bossCost</t>
        </is>
      </c>
      <c r="F3" s="7" t="inlineStr">
        <is>
          <t>120 Slayer points to open Fight boss</t>
        </is>
      </c>
      <c r="G3" s="7" t="inlineStr">
        <is>
          <t>js/data.js markedPrey.bossCost</t>
        </is>
      </c>
      <c r="H3" s="6" t="inlineStr">
        <is>
          <t>exact</t>
        </is>
      </c>
      <c r="I3" s="7" t="inlineStr"/>
    </row>
    <row r="4" ht="58" customHeight="1">
      <c r="A4" s="5" t="inlineStr">
        <is>
          <t>Time to OB10 (APPROX)</t>
        </is>
      </c>
      <c r="B4" s="5" t="inlineStr">
        <is>
          <t>APPROX: early OBs feel fast; OB10 unlocks Challenges and is a known armor choke. No wiki hour count. Community: idle pace, later OBs measured in days.</t>
        </is>
      </c>
      <c r="C4" s="5" t="inlineStr">
        <is>
          <t>https://shminer.miraheze.org/wiki/Guides/Progression_Guide</t>
        </is>
      </c>
      <c r="D4" s="8" t="inlineStr">
        <is>
          <t>estimate</t>
        </is>
      </c>
      <c r="E4" s="5" t="inlineStr">
        <is>
          <t>L1 meter fill</t>
        </is>
      </c>
      <c r="F4" s="5" t="inlineStr">
        <is>
          <t>120 Sp @ design rates ~3 Sp/min ≈40 min; ~6.5 Sp/min ≈18 min → brackets 20–40 min target</t>
        </is>
      </c>
      <c r="G4" s="5" t="inlineStr">
        <is>
          <t>bossCost 120; time-gates-to-costs.md earn table</t>
        </is>
      </c>
      <c r="H4" s="5" t="inlineStr">
        <is>
          <t>community calc</t>
        </is>
      </c>
      <c r="I4" s="5" t="inlineStr"/>
    </row>
    <row r="5" ht="58" customHeight="1">
      <c r="A5" s="7" t="inlineStr">
        <is>
          <t>Construct wall @ OB19</t>
        </is>
      </c>
      <c r="B5" s="7" t="inlineStr">
        <is>
          <t>Exact unlock OB19. Guide calls it first major wall — shift from beating OBs to filling menus (veins, statues, prestige, pets, challenges).</t>
        </is>
      </c>
      <c r="C5" s="7" t="inlineStr">
        <is>
          <t>https://shminer.miraheze.org/wiki/Guides/Progression_Guide</t>
        </is>
      </c>
      <c r="D5" s="6" t="inlineStr">
        <is>
          <t>exact</t>
        </is>
      </c>
      <c r="E5" s="7" t="inlineStr">
        <is>
          <t>L1→L2 transition</t>
        </is>
      </c>
      <c r="F5" s="7" t="inlineStr">
        <is>
          <t>Should feel like a new creature family + higher meter (280 Sp), not a multi-day softlock</t>
        </is>
      </c>
      <c r="G5" s="7" t="inlineStr">
        <is>
          <t>design/level-boss-progression.md; creature-boss-families.md</t>
        </is>
      </c>
      <c r="H5" s="6" t="inlineStr">
        <is>
          <t>exact</t>
        </is>
      </c>
      <c r="I5" s="7" t="inlineStr">
        <is>
          <t>AFK should NOT copy Construct-length walls for first portion.</t>
        </is>
      </c>
    </row>
    <row r="6" ht="58" customHeight="1">
      <c r="A6" s="5" t="inlineStr">
        <is>
          <t>Elder fight sit time</t>
        </is>
      </c>
      <c r="B6" s="5" t="inlineStr">
        <is>
          <t>OM: many 30s attempts, damage banks, 20 min CD</t>
        </is>
      </c>
      <c r="C6" s="5" t="inlineStr">
        <is>
          <t>https://shminer.miraheze.org/wiki/Obelisk</t>
        </is>
      </c>
      <c r="D6" s="6" t="inlineStr">
        <is>
          <t>exact</t>
        </is>
      </c>
      <c r="E6" s="5" t="inlineStr">
        <is>
          <t>Elder TTK target</t>
        </is>
      </c>
      <c r="F6" s="5" t="inlineStr">
        <is>
          <t>45–90s design; code post-fix ~60s solo; Briar+Swift ~40s (tuning doc)</t>
        </is>
      </c>
      <c r="G6" s="5" t="inlineStr">
        <is>
          <t>elder-thornpelt-tuning.md</t>
        </is>
      </c>
      <c r="H6" s="6" t="inlineStr">
        <is>
          <t>exact</t>
        </is>
      </c>
      <c r="I6" s="5" t="inlineStr">
        <is>
          <t>One short fight &gt; many banked attempts for AFK L1.</t>
        </is>
      </c>
    </row>
    <row r="7" ht="58" customHeight="1">
      <c r="A7" s="7" t="inlineStr">
        <is>
          <t>Offline early W1</t>
        </is>
      </c>
      <c r="B7" s="7" t="inlineStr">
        <is>
          <t>Offline is core; Chronokeeper doubles offline items/relics (5 SP)</t>
        </is>
      </c>
      <c r="C7" s="7" t="inlineStr">
        <is>
          <t>https://shminer.miraheze.org/wiki/Skill-Tree</t>
        </is>
      </c>
      <c r="D7" s="8" t="inlineStr">
        <is>
          <t>estimate</t>
        </is>
      </c>
      <c r="E7" s="7" t="inlineStr">
        <is>
          <t>Offline cap base 360 min</t>
        </is>
      </c>
      <c r="F7" s="7" t="inlineStr">
        <is>
          <t>getBonuses offlineCapMin=360; +30 min/lv Offline Cap max20</t>
        </is>
      </c>
      <c r="G7" s="7" t="inlineStr">
        <is>
          <t>js/state.js offlineCapMin; js/data.js offline_cap</t>
        </is>
      </c>
      <c r="H7" s="6" t="inlineStr">
        <is>
          <t>exact</t>
        </is>
      </c>
      <c r="I7" s="7" t="inlineStr">
        <is>
          <t>360 min ≈ overnight — good L1 product lever.</t>
        </is>
      </c>
    </row>
    <row r="8" ht="58" customHeight="1">
      <c r="A8" s="5" t="inlineStr">
        <is>
          <t>AFK L1 earn calibration</t>
        </is>
      </c>
      <c r="B8" s="5" t="inlineStr">
        <is>
          <t>n/a</t>
        </is>
      </c>
      <c r="C8" s="5" t="inlineStr">
        <is>
          <t>—</t>
        </is>
      </c>
      <c r="D8" s="6" t="inlineStr">
        <is>
          <t>exact</t>
        </is>
      </c>
      <c r="E8" s="5" t="inlineStr">
        <is>
          <t>Staged rates (design)</t>
        </is>
      </c>
      <c r="F8" s="5" t="inlineStr">
        <is>
          <t>~8–10m solo: 7–8g/min, ~3 Sp/min; +Briar 15–25m: 10–16g, 4–6.5 Sp</t>
        </is>
      </c>
      <c r="G8" s="5" t="inlineStr">
        <is>
          <t>design/time-gates-to-costs.md</t>
        </is>
      </c>
      <c r="H8" s="8" t="inlineStr">
        <is>
          <t>estimate</t>
        </is>
      </c>
      <c r="I8" s="5" t="inlineStr">
        <is>
          <t>Used to price Iron/Briar/Crits — not live telemetry.</t>
        </is>
      </c>
    </row>
    <row r="9" ht="58" customHeight="1">
      <c r="A9" s="7" t="inlineStr">
        <is>
          <t>OB50 / W3 / Fishing times</t>
        </is>
      </c>
      <c r="B9" s="7" t="inlineStr">
        <is>
          <t>OUT OF SCOPE</t>
        </is>
      </c>
      <c r="C9" s="7" t="inlineStr">
        <is>
          <t>—</t>
        </is>
      </c>
      <c r="D9" s="6" t="inlineStr">
        <is>
          <t>exact</t>
        </is>
      </c>
      <c r="E9" s="7" t="inlineStr">
        <is>
          <t>Nightweave deep endgame</t>
        </is>
      </c>
      <c r="F9" s="7" t="inlineStr">
        <is>
          <t>Out of Takeaways focus (first portion only)</t>
        </is>
      </c>
      <c r="G9" s="7" t="inlineStr">
        <is>
          <t>—</t>
        </is>
      </c>
      <c r="H9" s="6" t="inlineStr">
        <is>
          <t>exact</t>
        </is>
      </c>
      <c r="I9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Drones (W1)</t>
        </is>
      </c>
      <c r="B2" s="5" t="inlineStr">
        <is>
          <t>OB2+. Auto-mine off pickaxe %. W1 suits: Bear/Chain/Midas/Frogger. Fuel @OB18.</t>
        </is>
      </c>
      <c r="C2" s="5" t="inlineStr">
        <is>
          <t>https://shminer.miraheze.org/wiki/Drones</t>
        </is>
      </c>
      <c r="D2" s="6" t="inlineStr">
        <is>
          <t>exact</t>
        </is>
      </c>
      <c r="E2" s="5" t="inlineStr">
        <is>
          <t>Company hunters</t>
        </is>
      </c>
      <c r="F2" s="5" t="inlineStr">
        <is>
          <t>Briar→Ember hires + upgrades; food economy</t>
        </is>
      </c>
      <c r="G2" s="5" t="inlineStr">
        <is>
          <t>js/data.js hunters, hunter_*</t>
        </is>
      </c>
      <c r="H2" s="6" t="inlineStr">
        <is>
          <t>exact</t>
        </is>
      </c>
      <c r="I2" s="5" t="inlineStr"/>
    </row>
    <row r="3" ht="58" customHeight="1">
      <c r="A3" s="7" t="inlineStr">
        <is>
          <t>Workshop (W1)</t>
        </is>
      </c>
      <c r="B3" s="7" t="inlineStr">
        <is>
          <t>OB1. Permanent bomb unlocks + pickaxe/bomb multis through OB18 Transmuter</t>
        </is>
      </c>
      <c r="C3" s="7" t="inlineStr">
        <is>
          <t>https://shminer.miraheze.org/wiki/Workshop</t>
        </is>
      </c>
      <c r="D3" s="6" t="inlineStr">
        <is>
          <t>exact</t>
        </is>
      </c>
      <c r="E3" s="7" t="inlineStr">
        <is>
          <t>Forge / Scrapwork</t>
        </is>
      </c>
      <c r="F3" s="7" t="inlineStr">
        <is>
          <t>Mat crafts + scrap upgrades (prestigeKeep)</t>
        </is>
      </c>
      <c r="G3" s="7" t="inlineStr">
        <is>
          <t>js/data.js forge_*; scrap_*</t>
        </is>
      </c>
      <c r="H3" s="6" t="inlineStr">
        <is>
          <t>exact</t>
        </is>
      </c>
      <c r="I3" s="7" t="inlineStr"/>
    </row>
    <row r="4" ht="58" customHeight="1">
      <c r="A4" s="5" t="inlineStr">
        <is>
          <t>Challenges</t>
        </is>
      </c>
      <c r="B4" s="5" t="inlineStr">
        <is>
          <t>Unlock OB10. Permanent challenge upgrades. Some need many prestiges.</t>
        </is>
      </c>
      <c r="C4" s="5" t="inlineStr">
        <is>
          <t>https://shminer.miraheze.org/wiki/Guides/Progression_Guide</t>
        </is>
      </c>
      <c r="D4" s="6" t="inlineStr">
        <is>
          <t>exact</t>
        </is>
      </c>
      <c r="E4" s="5" t="inlineStr">
        <is>
          <t>no challenge board yet</t>
        </is>
      </c>
      <c r="F4" s="5" t="inlineStr">
        <is>
          <t>no equivalent</t>
        </is>
      </c>
      <c r="G4" s="5" t="inlineStr">
        <is>
          <t>—</t>
        </is>
      </c>
      <c r="H4" s="6" t="inlineStr">
        <is>
          <t>exact</t>
        </is>
      </c>
      <c r="I4" s="5" t="inlineStr"/>
    </row>
    <row r="5" ht="58" customHeight="1">
      <c r="A5" s="7" t="inlineStr">
        <is>
          <t>Contracts (OM)</t>
        </is>
      </c>
      <c r="B5" s="7" t="inlineStr">
        <is>
          <t>Unlock OB12. Bar sinks → contract points → upgrades (reset on prestige)</t>
        </is>
      </c>
      <c r="C5" s="7" t="inlineStr">
        <is>
          <t>https://shminer.miraheze.org/wiki/Prestige</t>
        </is>
      </c>
      <c r="D5" s="6" t="inlineStr">
        <is>
          <t>exact</t>
        </is>
      </c>
      <c r="E5" s="7" t="inlineStr">
        <is>
          <t>Hunt Tasks</t>
        </is>
      </c>
      <c r="F5" s="7" t="inlineStr">
        <is>
          <t>killQuota tasks; gold + Sp; unlock next monster in family</t>
        </is>
      </c>
      <c r="G5" s="7" t="inlineStr">
        <is>
          <t>js/data.js contracts[]</t>
        </is>
      </c>
      <c r="H5" s="6" t="inlineStr">
        <is>
          <t>exact</t>
        </is>
      </c>
      <c r="I5" s="7" t="inlineStr">
        <is>
          <t>Same word, different systems.</t>
        </is>
      </c>
    </row>
    <row r="6" ht="58" customHeight="1">
      <c r="A6" s="5" t="inlineStr">
        <is>
          <t>Cards</t>
        </is>
      </c>
      <c r="B6" s="5" t="inlineStr">
        <is>
          <t>Unlock OB15. Ore/bar/bomb/misc cards; gild with PP+gold+gems</t>
        </is>
      </c>
      <c r="C6" s="5" t="inlineStr">
        <is>
          <t>https://shminer.miraheze.org/wiki/Cards</t>
        </is>
      </c>
      <c r="D6" s="6" t="inlineStr">
        <is>
          <t>exact</t>
        </is>
      </c>
      <c r="E6" s="5" t="inlineStr">
        <is>
          <t>Boss relics (few)</t>
        </is>
      </c>
      <c r="F6" s="5" t="inlineStr">
        <is>
          <t>rat_tooth / fog_lens / bone_seal — fixed bonuses</t>
        </is>
      </c>
      <c r="G6" s="5" t="inlineStr">
        <is>
          <t>js/data.js relics</t>
        </is>
      </c>
      <c r="H6" s="6" t="inlineStr">
        <is>
          <t>exact</t>
        </is>
      </c>
      <c r="I6" s="5" t="inlineStr"/>
    </row>
    <row r="7" ht="58" customHeight="1">
      <c r="A7" s="7" t="inlineStr">
        <is>
          <t>Pets</t>
        </is>
      </c>
      <c r="B7" s="7" t="inlineStr">
        <is>
          <t>Unlock OB17. Gem buy + total pet level gates. Crab/Dwarf first.</t>
        </is>
      </c>
      <c r="C7" s="7" t="inlineStr">
        <is>
          <t>https://shminer.miraheze.org/wiki/Pets</t>
        </is>
      </c>
      <c r="D7" s="6" t="inlineStr">
        <is>
          <t>exact</t>
        </is>
      </c>
      <c r="E7" s="7" t="inlineStr">
        <is>
          <t>no pets</t>
        </is>
      </c>
      <c r="F7" s="7" t="inlineStr">
        <is>
          <t>no equivalent</t>
        </is>
      </c>
      <c r="G7" s="7" t="inlineStr">
        <is>
          <t>—</t>
        </is>
      </c>
      <c r="H7" s="6" t="inlineStr">
        <is>
          <t>exact</t>
        </is>
      </c>
      <c r="I7" s="7" t="inlineStr"/>
    </row>
    <row r="8" ht="58" customHeight="1">
      <c r="A8" s="5" t="inlineStr">
        <is>
          <t>Construct (W1 end)</t>
        </is>
      </c>
      <c r="B8" s="5" t="inlineStr">
        <is>
          <t>Unlock OB19. W1 veins (Stone→Atomic), 9 statues, World 2 monument. First major wall.</t>
        </is>
      </c>
      <c r="C8" s="5" t="inlineStr">
        <is>
          <t>https://shminer.miraheze.org/wiki/Construct</t>
        </is>
      </c>
      <c r="D8" s="6" t="inlineStr">
        <is>
          <t>exact</t>
        </is>
      </c>
      <c r="E8" s="5" t="inlineStr">
        <is>
          <t>Forge mats (tiny)</t>
        </is>
      </c>
      <c r="F8" s="5" t="inlineStr">
        <is>
          <t>Signature mats → 3 one-time forges</t>
        </is>
      </c>
      <c r="G8" s="5" t="inlineStr">
        <is>
          <t>js/data.js forge_*; forge-mat-retarget.md</t>
        </is>
      </c>
      <c r="H8" s="6" t="inlineStr">
        <is>
          <t>exact</t>
        </is>
      </c>
      <c r="I8" s="5" t="inlineStr">
        <is>
          <t>AFK forge ≪ OM Construct — don't inflate early.</t>
        </is>
      </c>
    </row>
    <row r="9" ht="58" customHeight="1">
      <c r="A9" s="7" t="inlineStr">
        <is>
          <t>Freebies / Chests</t>
        </is>
      </c>
      <c r="B9" s="7" t="inlineStr">
        <is>
          <t>Freebie pack ~10 min base — early gem source</t>
        </is>
      </c>
      <c r="C9" s="7" t="inlineStr">
        <is>
          <t>https://shminer.miraheze.org/wiki/Stats</t>
        </is>
      </c>
      <c r="D9" s="6" t="inlineStr">
        <is>
          <t>exact</t>
        </is>
      </c>
      <c r="E9" s="7" t="inlineStr">
        <is>
          <t>Chest meters</t>
        </is>
      </c>
      <c r="F9" s="7" t="inlineStr">
        <is>
          <t>Permanent + boost chests charge from hunt time (incl. offline)</t>
        </is>
      </c>
      <c r="G9" s="7" t="inlineStr">
        <is>
          <t>js/state.js chests; js/chests.js</t>
        </is>
      </c>
      <c r="H9" s="6" t="inlineStr">
        <is>
          <t>exact</t>
        </is>
      </c>
      <c r="I9" s="7" t="inlineStr"/>
    </row>
    <row r="10" ht="58" customHeight="1">
      <c r="A10" s="5" t="inlineStr">
        <is>
          <t>Later systems (OUT OF SCOPE)</t>
        </is>
      </c>
      <c r="B10" s="5" t="inlineStr">
        <is>
          <t>Stargazing OB23; Archaeology OB30; Platinized statues OB35; Fishing OB37; World 3/4 monuments; Arcanist OB70; Lootfrogs/Black Hole — all OUT OF SCOPE for this sheet.</t>
        </is>
      </c>
      <c r="C10" s="5" t="inlineStr">
        <is>
          <t>https://shminer.miraheze.org/wiki/Obelisk</t>
        </is>
      </c>
      <c r="D10" s="6" t="inlineStr">
        <is>
          <t>exact</t>
        </is>
      </c>
      <c r="E10" s="5" t="inlineStr">
        <is>
          <t>L3+/future</t>
        </is>
      </c>
      <c r="F10" s="5" t="inlineStr">
        <is>
          <t>Not in first-portion Takeaways</t>
        </is>
      </c>
      <c r="G10" s="5" t="inlineStr">
        <is>
          <t>—</t>
        </is>
      </c>
      <c r="H10" s="6" t="inlineStr">
        <is>
          <t>exact</t>
        </is>
      </c>
      <c r="I10" s="5" t="inlineStr">
        <is>
          <t>Single catch-all row as requested.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14" customWidth="1" min="4" max="4"/>
    <col width="28" customWidth="1" min="5" max="5"/>
    <col width="48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4" t="inlineStr">
        <is>
          <t>System/Item</t>
        </is>
      </c>
      <c r="B1" s="4" t="inlineStr">
        <is>
          <t>Obelisk Miner (W1) value</t>
        </is>
      </c>
      <c r="C1" s="4" t="inlineStr">
        <is>
          <t>OM Source (URL)</t>
        </is>
      </c>
      <c r="D1" s="4" t="inlineStr">
        <is>
          <t>OM Confidence</t>
        </is>
      </c>
      <c r="E1" s="4" t="inlineStr">
        <is>
          <t>AFK Slayer equivalent</t>
        </is>
      </c>
      <c r="F1" s="4" t="inlineStr">
        <is>
          <t>AFK Slayer value</t>
        </is>
      </c>
      <c r="G1" s="4" t="inlineStr">
        <is>
          <t>AFK Source (file + symbol)</t>
        </is>
      </c>
      <c r="H1" s="4" t="inlineStr">
        <is>
          <t>AFK Confidence</t>
        </is>
      </c>
      <c r="I1" s="4" t="inlineStr">
        <is>
          <t>Notes</t>
        </is>
      </c>
    </row>
    <row r="2" ht="58" customHeight="1">
      <c r="A2" s="5" t="inlineStr">
        <is>
          <t>T1. Keep L1 boss as one short sit-down fight (45–90s), not a Construct wall</t>
        </is>
      </c>
      <c r="B2" s="5" t="inlineStr">
        <is>
          <t>OM banks Obelisk damage across 30s attempts with 20 min CD — long HP OK. Construct@19 is days of statues.</t>
        </is>
      </c>
      <c r="C2" s="5" t="inlineStr">
        <is>
          <t>https://shminer.miraheze.org/wiki/Obelisk</t>
        </is>
      </c>
      <c r="D2" s="6" t="inlineStr">
        <is>
          <t>exact</t>
        </is>
      </c>
      <c r="E2" s="5" t="inlineStr">
        <is>
          <t>Elder leave resets HP; target TTK 45–90s (~60s post-fix)</t>
        </is>
      </c>
      <c r="F2" s="5" t="inlineStr">
        <is>
          <t>Protect the short fight. Don't raise Elder HP without banking damage or players bounce.</t>
        </is>
      </c>
      <c r="G2" s="5" t="inlineStr">
        <is>
          <t>elder-thornpelt-tuning.md; Early Pacing tab</t>
        </is>
      </c>
      <c r="H2" s="6" t="inlineStr">
        <is>
          <t>exact</t>
        </is>
      </c>
      <c r="I2" s="5" t="inlineStr">
        <is>
          <t>First-portion lesson.</t>
        </is>
      </c>
    </row>
    <row r="3" ht="58" customHeight="1">
      <c r="A3" s="7" t="inlineStr">
        <is>
          <t>T2. Size bolts from the boss you're fighting</t>
        </is>
      </c>
      <c r="B3" s="7" t="inlineStr">
        <is>
          <t>OM pickaxe is absolute; AFK chips scale to target HP.</t>
        </is>
      </c>
      <c r="C3" s="7" t="inlineStr">
        <is>
          <t>https://shminer.miraheze.org/wiki/Upgrades</t>
        </is>
      </c>
      <c r="D3" s="6" t="inlineStr">
        <is>
          <t>exact</t>
        </is>
      </c>
      <c r="E3" s="7" t="inlineStr">
        <is>
          <t>boltHpChipRaw must use boss HP</t>
        </is>
      </c>
      <c r="F3" s="7" t="inlineStr">
        <is>
          <t>Cub-sized bolts vs Elder caused ~159s TTK. Fix applied — keep regression tests for Alpha.</t>
        </is>
      </c>
      <c r="G3" s="7" t="inlineStr">
        <is>
          <t>js/arena.js boltHpChipRaw</t>
        </is>
      </c>
      <c r="H3" s="6" t="inlineStr">
        <is>
          <t>exact</t>
        </is>
      </c>
      <c r="I3" s="7" t="inlineStr">
        <is>
          <t>L1 boss feel depends on this.</t>
        </is>
      </c>
    </row>
    <row r="4" ht="58" customHeight="1">
      <c r="A4" s="5" t="inlineStr">
        <is>
          <t>T3. Meter fill 20–40 min is the L1 'obelisk gate' — protect Sp from competing sinks</t>
        </is>
      </c>
      <c r="B4" s="5" t="inlineStr">
        <is>
          <t>OM Obelisk gate is damage, not shared spend currency.</t>
        </is>
      </c>
      <c r="C4" s="5" t="inlineStr">
        <is>
          <t>https://shminer.miraheze.org/wiki/Obelisk</t>
        </is>
      </c>
      <c r="D4" s="6" t="inlineStr">
        <is>
          <t>exact</t>
        </is>
      </c>
      <c r="E4" s="5" t="inlineStr">
        <is>
          <t>120 Sp meter; hires moved to gold</t>
        </is>
      </c>
      <c r="F4" s="5" t="inlineStr">
        <is>
          <t>Keep Briar/Quill/Moss/Ember on gold so Sp fills Elder/Alpha meters.</t>
        </is>
      </c>
      <c r="G4" s="5" t="inlineStr">
        <is>
          <t>time-gates-to-costs.md; elder-thornpelt-tuning.md</t>
        </is>
      </c>
      <c r="H4" s="6" t="inlineStr">
        <is>
          <t>exact</t>
        </is>
      </c>
      <c r="I4" s="5" t="inlineStr"/>
    </row>
    <row r="5" ht="58" customHeight="1">
      <c r="A5" s="7" t="inlineStr">
        <is>
          <t>T4. Cheap first auto-labor unlock (Briar ≈ early drones / Auto-Bomber)</t>
        </is>
      </c>
      <c r="B5" s="7" t="inlineStr">
        <is>
          <t>OM: drones OB2; Auto-Bomber 10 SP called early priority.</t>
        </is>
      </c>
      <c r="C5" s="7" t="inlineStr">
        <is>
          <t>https://shminer.miraheze.org/wiki/Drones</t>
        </is>
      </c>
      <c r="D5" s="6" t="inlineStr">
        <is>
          <t>exact</t>
        </is>
      </c>
      <c r="E5" s="7" t="inlineStr">
        <is>
          <t>Briar 140g</t>
        </is>
      </c>
      <c r="F5" s="7" t="inlineStr">
        <is>
          <t>Keep first hunter reachable before/around meter fill — currently aligned.</t>
        </is>
      </c>
      <c r="G5" s="7" t="inlineStr">
        <is>
          <t>js/data.js hunter_briar</t>
        </is>
      </c>
      <c r="H5" s="6" t="inlineStr">
        <is>
          <t>exact</t>
        </is>
      </c>
      <c r="I5" s="7" t="inlineStr"/>
    </row>
    <row r="6" ht="58" customHeight="1">
      <c r="A6" s="5" t="inlineStr">
        <is>
          <t>T5. Unlock milestones &gt; raw number go-up for the first portion</t>
        </is>
      </c>
      <c r="B6" s="5" t="inlineStr">
        <is>
          <t>W1 paces via OB1 Workshop → OB2 Drones → OB4 Skills → OB10 Challenges → OB15 Cards → OB17 Pets → OB19 Construct.</t>
        </is>
      </c>
      <c r="C6" s="5" t="inlineStr">
        <is>
          <t>https://shminer.miraheze.org/wiki/Obelisk</t>
        </is>
      </c>
      <c r="D6" s="6" t="inlineStr">
        <is>
          <t>exact</t>
        </is>
      </c>
      <c r="E6" s="5" t="inlineStr">
        <is>
          <t>Elder clear → L2 + relic</t>
        </is>
      </c>
      <c r="F6" s="5" t="inlineStr">
        <is>
          <t>Entering L2 should teach a new family (wolves) + higher meter, not just bigger hpMult.</t>
        </is>
      </c>
      <c r="G6" s="5" t="inlineStr">
        <is>
          <t>level-boss-progression.md; creature-boss-families.md</t>
        </is>
      </c>
      <c r="H6" s="6" t="inlineStr">
        <is>
          <t>exact</t>
        </is>
      </c>
      <c r="I6" s="5" t="inlineStr"/>
    </row>
    <row r="7" ht="58" customHeight="1">
      <c r="A7" s="7" t="inlineStr">
        <is>
          <t>T6. Do NOT copy the Construct-length wall into L1→L2</t>
        </is>
      </c>
      <c r="B7" s="7" t="inlineStr">
        <is>
          <t>Guide + Reddit: OB19 Construct is the first major slowdown (days of veins/bars/statues before W2).</t>
        </is>
      </c>
      <c r="C7" s="7" t="inlineStr">
        <is>
          <t>https://shminer.miraheze.org/wiki/Guides/Progression_Guide</t>
        </is>
      </c>
      <c r="D7" s="6" t="inlineStr">
        <is>
          <t>exact</t>
        </is>
      </c>
      <c r="E7" s="7" t="inlineStr">
        <is>
          <t>L2 should open immediately on Elder kill</t>
        </is>
      </c>
      <c r="F7" s="7" t="inlineStr">
        <is>
          <t>Already true — keep it. Save long sinks for post-L3 / prestige.</t>
        </is>
      </c>
      <c r="G7" s="7" t="inlineStr">
        <is>
          <t>markedPrey unlockAreaId</t>
        </is>
      </c>
      <c r="H7" s="6" t="inlineStr">
        <is>
          <t>exact</t>
        </is>
      </c>
      <c r="I7" s="7" t="inlineStr"/>
    </row>
    <row r="8" ht="58" customHeight="1">
      <c r="A8" s="5" t="inlineStr">
        <is>
          <t>T7. Overnight offline cap (~360 min) is a feature for L1 retention</t>
        </is>
      </c>
      <c r="B8" s="5" t="inlineStr">
        <is>
          <t>OM treats offline as core; Chronokeeper doubles offline loot.</t>
        </is>
      </c>
      <c r="C8" s="5" t="inlineStr">
        <is>
          <t>https://shminer.miraheze.org/wiki/Skill-Tree</t>
        </is>
      </c>
      <c r="D8" s="6" t="inlineStr">
        <is>
          <t>exact</t>
        </is>
      </c>
      <c r="E8" s="5" t="inlineStr">
        <is>
          <t>Base offlineCapMin=360</t>
        </is>
      </c>
      <c r="F8" s="5" t="inlineStr">
        <is>
          <t>Show the cap clearly; let Offline Cap / scraps extend it — don't surprise-truncate first nights.</t>
        </is>
      </c>
      <c r="G8" s="5" t="inlineStr">
        <is>
          <t>js/state.js offlineCapMin=360</t>
        </is>
      </c>
      <c r="H8" s="6" t="inlineStr">
        <is>
          <t>exact</t>
        </is>
      </c>
      <c r="I8" s="5" t="inlineStr"/>
    </row>
    <row r="9" ht="58" customHeight="1">
      <c r="A9" s="7" t="inlineStr">
        <is>
          <t>T8. Skip RPG attributes; use mastery + a few relics for L1 depth</t>
        </is>
      </c>
      <c r="B9" s="7" t="inlineStr">
        <is>
          <t>OM Skill-Tree ≠ STR/AGI. W1 depth = skills + artifacts + mastery-like challenges.</t>
        </is>
      </c>
      <c r="C9" s="7" t="inlineStr">
        <is>
          <t>https://shminer.miraheze.org/wiki/Skill-Tree</t>
        </is>
      </c>
      <c r="D9" s="6" t="inlineStr">
        <is>
          <t>exact</t>
        </is>
      </c>
      <c r="E9" s="7" t="inlineStr">
        <is>
          <t>Mastery 0–10 + Rat Tooth relic</t>
        </is>
      </c>
      <c r="F9" s="7" t="inlineStr">
        <is>
          <t>Enough long-tail for L1→L2 without an attribute sheet.</t>
        </is>
      </c>
      <c r="G9" s="7" t="inlineStr">
        <is>
          <t>js/state.js mastery*; js/data.js relics</t>
        </is>
      </c>
      <c r="H9" s="6" t="inlineStr">
        <is>
          <t>exact</t>
        </is>
      </c>
      <c r="I9" s="7" t="inlineStr"/>
    </row>
    <row r="10" ht="58" customHeight="1">
      <c r="A10" s="5" t="inlineStr">
        <is>
          <t>T9. Permanent vs run upgrades — sketch now, ship prestige later</t>
        </is>
      </c>
      <c r="B10" s="5" t="inlineStr">
        <is>
          <t>W1 already teaches reset rhythm: World Ups reset, Workshop/Skills/Artifacts persist.</t>
        </is>
      </c>
      <c r="C10" s="5" t="inlineStr">
        <is>
          <t>https://shminer.miraheze.org/wiki/Prestige</t>
        </is>
      </c>
      <c r="D10" s="6" t="inlineStr">
        <is>
          <t>exact</t>
        </is>
      </c>
      <c r="E10" s="5" t="inlineStr">
        <is>
          <t>prestigeKeep scrap/forge + relics + hunters; gear/idle_power reset if prestige ships</t>
        </is>
      </c>
      <c r="F10" s="5" t="inlineStr">
        <is>
          <t>When L4+ lands, mirror that readability — don't invent it mid-L1.</t>
        </is>
      </c>
      <c r="G10" s="5" t="inlineStr">
        <is>
          <t>js/state.js doPrestige</t>
        </is>
      </c>
      <c r="H10" s="6" t="inlineStr">
        <is>
          <t>exact</t>
        </is>
      </c>
      <c r="I10" s="5" t="inlineStr"/>
    </row>
    <row r="11" ht="58" customHeight="1">
      <c r="A11" s="7" t="inlineStr">
        <is>
          <t>T10. Side systems after the L1 boss feels good</t>
        </is>
      </c>
      <c r="B11" s="7" t="inlineStr">
        <is>
          <t>W1 still adds Cards/Pets/Construct after the damage loop works. Guide: fill menus you have before rushing W2.</t>
        </is>
      </c>
      <c r="C11" s="7" t="inlineStr">
        <is>
          <t>https://shminer.miraheze.org/wiki/Guides/Progression_Guide</t>
        </is>
      </c>
      <c r="D11" s="6" t="inlineStr">
        <is>
          <t>exact</t>
        </is>
      </c>
      <c r="E11" s="7" t="inlineStr">
        <is>
          <t>Scrapwork / Forge / Chests / Company are enough for first portion</t>
        </is>
      </c>
      <c r="F11" s="7" t="inlineStr">
        <is>
          <t>Polish Elder ~60s + 20–40 min meter before adding card/pet clones.</t>
        </is>
      </c>
      <c r="G11" s="7" t="inlineStr">
        <is>
          <t>Side Systems tab; elder-thornpelt-tuning.md</t>
        </is>
      </c>
      <c r="H11" s="6" t="inlineStr">
        <is>
          <t>exact</t>
        </is>
      </c>
      <c r="I11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0" t="inlineStr">
        <is>
          <t>Field</t>
        </is>
      </c>
      <c r="B1" s="10" t="inlineStr">
        <is>
          <t>Value</t>
        </is>
      </c>
    </row>
    <row r="2">
      <c r="A2" s="11" t="inlineStr">
        <is>
          <t>Goal</t>
        </is>
      </c>
      <c r="B2" s="11" t="inlineStr">
        <is>
          <t>Make the first portion feel like Idle Obelisk Miner World 1 — rewarding, always something new every 1–3 levels, challenging but fair — mapped onto hunting with OSRS vocabulary. Within a minute you’ve bought a better weapon and you’re clearing a Slayer task. Every few Slayer levels something new unlocks. Around 20–40 minutes you fight your first Tier Test. Prestige teaches permanent-vs-run inside World 1. World-1 end marker unlocks the next Slayer master — not a multi-day softlock.</t>
        </is>
      </c>
    </row>
    <row r="3">
      <c r="A3" s="11" t="inlineStr">
        <is>
          <t>Status</t>
        </is>
      </c>
      <c r="B3" s="11" t="inlineStr">
        <is>
          <t>LOCKED (Phase 1 approved 2026-09-24 by Alex)</t>
        </is>
      </c>
    </row>
    <row r="4">
      <c r="A4" s="11" t="inlineStr">
        <is>
          <t>Date</t>
        </is>
      </c>
      <c r="B4" s="11" t="inlineStr">
        <is>
          <t>2026-09-24</t>
        </is>
      </c>
    </row>
    <row r="5">
      <c r="A5" s="11" t="inlineStr">
        <is>
          <t>Game</t>
        </is>
      </c>
      <c r="B5" s="11" t="inlineStr">
        <is>
          <t>AFK Slayer (live https://afk-slayer.ajchapman20.workers.dev)</t>
        </is>
      </c>
    </row>
    <row r="6">
      <c r="A6" s="11" t="inlineStr">
        <is>
          <t>Owner</t>
        </is>
      </c>
      <c r="B6" s="11" t="inlineStr">
        <is>
          <t>Game Designer → Alex skim → New Bot implements</t>
        </is>
      </c>
    </row>
    <row r="7">
      <c r="A7" s="11" t="inlineStr">
        <is>
          <t>Scope</t>
        </is>
      </c>
      <c r="B7" s="11" t="inlineStr">
        <is>
          <t>Idle Obelisk Miner World 1 only — through the World 2 unlock marker. Expand later.</t>
        </is>
      </c>
    </row>
    <row r="8">
      <c r="A8" s="11" t="inlineStr">
        <is>
          <t>Locked decision #1 — Helpers in boss / Tier Test fights</t>
        </is>
      </c>
      <c r="B8" s="11" t="inlineStr">
        <is>
          <t>Helpers muted on boss / Tier Test fights (weapon only). Specials deal 0 damage to Tier Tests. Helpers still help on tasks. Matches IOM: drones disabled / bombs deal 0 to Obelisk.</t>
        </is>
      </c>
    </row>
    <row r="9">
      <c r="A9" s="11" t="inlineStr">
        <is>
          <t>Locked decision #2 — W1 monster roster</t>
        </is>
      </c>
      <c r="B9" s="11" t="inlineStr">
        <is>
          <t>Turael set Crawling Hand / Cave Crawler / Banshee replaces the bears for World 1. Wolves and spiders parked for later Slayer masters (Mazchna / Vannaka). Remap existing bear art to champion skins until new sprites land.</t>
        </is>
      </c>
    </row>
    <row r="10">
      <c r="A10" s="11" t="inlineStr">
        <is>
          <t>Legal note</t>
        </is>
      </c>
      <c r="B10" s="11" t="inlineStr">
        <is>
          <t>OSRS names (Slayer masters, monsters, Prayer, Smithing, cannon, metal tiers, etc.) are Jagex IP — fine for private build/playtest only. Swap to the Original stand-in column before any public or paid release. Never copy IOM names, text, or art. AFK Slayer remains an original idle hunting game — not affiliated with Jagex or Checkbox Entertainment / Idle Obelisk Miner.</t>
        </is>
      </c>
    </row>
    <row r="11">
      <c r="A11" s="11" t="inlineStr">
        <is>
          <t>Hard keeps (Takeaways T1–T10)</t>
        </is>
      </c>
      <c r="B11" s="11" t="inlineStr">
        <is>
          <t>Bolts sized from the target being fought · L1 boss fight 45–90s · 360-min offline cap · no RPG attributes · resource costs not time gates · do not copy IOM Construct-length walls into the first area transition · never use the banned mining-site word in player copy.</t>
        </is>
      </c>
    </row>
    <row r="12">
      <c r="A12" s="11" t="inlineStr">
        <is>
          <t>Source brief</t>
        </is>
      </c>
      <c r="B12" s="11" t="inlineStr">
        <is>
          <t>design/iom-style-redesign.md (LOCKED)</t>
        </is>
      </c>
    </row>
  </sheetData>
  <autoFilter ref="A1:B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  <col width="70" customWidth="1" min="4" max="4"/>
  </cols>
  <sheetData>
    <row r="1">
      <c r="A1" s="10" t="inlineStr">
        <is>
          <t>IOM system</t>
        </is>
      </c>
      <c r="B1" s="10" t="inlineStr">
        <is>
          <t>AFK Slayer system (OSRS name)</t>
        </is>
      </c>
      <c r="C1" s="10" t="inlineStr">
        <is>
          <t>Stand-in name</t>
        </is>
      </c>
      <c r="D1" s="10" t="inlineStr">
        <is>
          <t>What it does</t>
        </is>
      </c>
    </row>
    <row r="2">
      <c r="A2" s="11" t="inlineStr">
        <is>
          <t>Floors / ore clear</t>
        </is>
      </c>
      <c r="B2" s="11" t="inlineStr">
        <is>
          <t>Slayer tasks / monster tiers</t>
        </is>
      </c>
      <c r="C2" s="11" t="inlineStr">
        <is>
          <t>Hunt Assignments</t>
        </is>
      </c>
      <c r="D2" s="11" t="inlineStr">
        <is>
          <t>Clear quota on current monster tier → advance. Same “clear N of current → advance” rhythm. W1 clear req IOM = floor×5 → we use kill quotas.</t>
        </is>
      </c>
    </row>
    <row r="3">
      <c r="A3" s="11" t="inlineStr">
        <is>
          <t>Obelisk level</t>
        </is>
      </c>
      <c r="B3" s="11" t="inlineStr">
        <is>
          <t>Slayer level</t>
        </is>
      </c>
      <c r="C3" s="11" t="inlineStr">
        <is>
          <t>Hunt Rank</t>
        </is>
      </c>
      <c r="D3" s="11" t="inlineStr">
        <is>
          <t>Main gate that unlocks systems. Each Tier Test clear raises Slayer level + unlocks menus. Schedule 1…~20.</t>
        </is>
      </c>
    </row>
    <row r="4">
      <c r="A4" s="11" t="inlineStr">
        <is>
          <t>Pickaxe</t>
        </is>
      </c>
      <c r="B4" s="11" t="inlineStr">
        <is>
          <t>Weapon (Bronze→Dragon ladder)</t>
        </is>
      </c>
      <c r="C4" s="11" t="inlineStr">
        <is>
          <t>Weapon (Ash→Drake stand-ins OK)</t>
        </is>
      </c>
      <c r="D4" s="11" t="inlineStr">
        <is>
          <t>Absolute weapon power for Tier Tests; bolts still sized from target HP for fair TTK.</t>
        </is>
      </c>
    </row>
    <row r="5">
      <c r="A5" s="11" t="inlineStr">
        <is>
          <t>Bombs (recharge)</t>
        </is>
      </c>
      <c r="B5" s="11" t="inlineStr">
        <is>
          <t>Specials (Cannon / Burst)</t>
        </is>
      </c>
      <c r="C5" s="11" t="inlineStr">
        <is>
          <t>Bolt Battery / Ripple Battery</t>
        </is>
      </c>
      <c r="D5" s="11" t="inlineStr">
        <is>
          <t>Charges + recharge. Do damage on tasks; Tier Tests are weapon+helpers-muted only (IOM: bombs deal 0 to Obelisk).</t>
        </is>
      </c>
    </row>
    <row r="6">
      <c r="A6" s="11" t="inlineStr">
        <is>
          <t>Drones</t>
        </is>
      </c>
      <c r="B6" s="11" t="inlineStr">
        <is>
          <t>Hired helpers (Warrior / Archer / …)</t>
        </is>
      </c>
      <c r="C6" s="11" t="inlineStr">
        <is>
          <t>Company (Thornblade / Quillshot / …)</t>
        </is>
      </c>
      <c r="D6" s="11" t="inlineStr">
        <is>
          <t>Auto attackers you hire. First hire cheap (~10 min). Muted during Tier Test (locked decision #1).</t>
        </is>
      </c>
    </row>
    <row r="7">
      <c r="A7" s="11" t="inlineStr">
        <is>
          <t>Workshop</t>
        </is>
      </c>
      <c r="B7" s="11" t="inlineStr">
        <is>
          <t>Smithing</t>
        </is>
      </c>
      <c r="C7" s="11" t="inlineStr">
        <is>
          <t>Anvil</t>
        </is>
      </c>
      <c r="D7" s="11" t="inlineStr">
        <is>
          <t>Permanent forge upgrades (weapon % / special multis) that survive prestige.</t>
        </is>
      </c>
    </row>
    <row r="8">
      <c r="A8" s="11" t="inlineStr">
        <is>
          <t>Skill-Tree</t>
        </is>
      </c>
      <c r="B8" s="11" t="inlineStr">
        <is>
          <t>Prayer (named permanent skills)</t>
        </is>
      </c>
      <c r="C8" s="11" t="inlineStr">
        <is>
          <t>Vow Board</t>
        </is>
      </c>
      <c r="D8" s="11" t="inlineStr">
        <is>
          <t>Named permanent skills. No STR/AGI/PER/INT/LCK.</t>
        </is>
      </c>
    </row>
    <row r="9">
      <c r="A9" s="11" t="inlineStr">
        <is>
          <t>Prestige Points</t>
        </is>
      </c>
      <c r="B9" s="11" t="inlineStr">
        <is>
          <t>Slayer reward points</t>
        </is>
      </c>
      <c r="C9" s="11" t="inlineStr">
        <is>
          <t>Crest Marks</t>
        </is>
      </c>
      <c r="D9" s="11" t="inlineStr">
        <is>
          <t>Reset currency → permanent artifact shop. Soft-open inside World 1.</t>
        </is>
      </c>
    </row>
    <row r="10">
      <c r="A10" s="11" t="inlineStr">
        <is>
          <t>World 2 monument</t>
        </is>
      </c>
      <c r="B10" s="11" t="inlineStr">
        <is>
          <t>Next Slayer master (Mazchna) / new dungeon</t>
        </is>
      </c>
      <c r="C10" s="11" t="inlineStr">
        <is>
          <t>Mist Warden / Mistvault</t>
        </is>
      </c>
      <c r="D10" s="11" t="inlineStr">
        <is>
          <t>End marker of this brief. Real gate cost, but not a Construct-length multi-day wall for the first transition.</t>
        </is>
      </c>
    </row>
    <row r="11">
      <c r="A11" s="11" t="inlineStr">
        <is>
          <t>Obelisk fight</t>
        </is>
      </c>
      <c r="B11" s="11" t="inlineStr">
        <is>
          <t>Tier Test</t>
        </is>
      </c>
      <c r="C11" s="11" t="inlineStr">
        <is>
          <t>Apex Trial</t>
        </is>
      </c>
      <c r="D11" s="11" t="inlineStr">
        <is>
          <t>Short sit-down boss that raises Slayer level. Specials 0 dmg; helpers muted; weapon bolts only.</t>
        </is>
      </c>
    </row>
    <row r="12">
      <c r="A12" s="11" t="inlineStr">
        <is>
          <t>Coins / gold</t>
        </is>
      </c>
      <c r="B12" s="11" t="inlineStr">
        <is>
          <t>Coins</t>
        </is>
      </c>
      <c r="C12" s="11" t="inlineStr">
        <is>
          <t>Coins</t>
        </is>
      </c>
      <c r="D12" s="11" t="inlineStr">
        <is>
          <t>Main spend for run upgrades and hires.</t>
        </is>
      </c>
    </row>
    <row r="13">
      <c r="A13" s="11" t="inlineStr">
        <is>
          <t>Skill Points</t>
        </is>
      </c>
      <c r="B13" s="11" t="inlineStr">
        <is>
          <t>Prayer points</t>
        </is>
      </c>
      <c r="C13" s="11" t="inlineStr">
        <is>
          <t>Vow Sparks</t>
        </is>
      </c>
      <c r="D13" s="11" t="inlineStr">
        <is>
          <t>Buy permanent Prayer skills.</t>
        </is>
      </c>
    </row>
    <row r="14">
      <c r="A14" s="11" t="inlineStr">
        <is>
          <t>Slayer Master (theme)</t>
        </is>
      </c>
      <c r="B14" s="11" t="inlineStr">
        <is>
          <t>Slayer Master Turael (W1)</t>
        </is>
      </c>
      <c r="C14" s="11" t="inlineStr">
        <is>
          <t>Ashen Tutor</t>
        </is>
      </c>
      <c r="D14" s="11" t="inlineStr">
        <is>
          <t>Gives tasks and explains the ladder — easy assignments.</t>
        </is>
      </c>
    </row>
  </sheetData>
  <autoFilter ref="A1:D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8" customWidth="1" min="3" max="3"/>
    <col width="42" customWidth="1" min="4" max="4"/>
    <col width="28" customWidth="1" min="5" max="5"/>
  </cols>
  <sheetData>
    <row r="1">
      <c r="A1" s="10" t="inlineStr">
        <is>
          <t>Slayer level</t>
        </is>
      </c>
      <c r="B1" s="10" t="inlineStr">
        <is>
          <t>Unlocks</t>
        </is>
      </c>
      <c r="C1" s="10" t="inlineStr">
        <is>
          <t>IOM equivalent</t>
        </is>
      </c>
      <c r="D1" s="10" t="inlineStr">
        <is>
          <t>Cost / requirement</t>
        </is>
      </c>
      <c r="E1" s="10" t="inlineStr">
        <is>
          <t>Target time</t>
        </is>
      </c>
    </row>
    <row r="2">
      <c r="A2" s="11" t="n">
        <v>1</v>
      </c>
      <c r="B2" s="11" t="inlineStr">
        <is>
          <t>Hunt · Bronze weapon · first task (Crawling Hands) · Idle Power buyable</t>
        </is>
      </c>
      <c r="C2" s="11" t="inlineStr">
        <is>
          <t>Upgrade Pickaxe @ player Lv1 — wiki Upgrades; Damage row 1</t>
        </is>
      </c>
      <c r="D2" s="11" t="inlineStr">
        <is>
          <t>Start; Idle Power from first-task coins</t>
        </is>
      </c>
      <c r="E2" s="11" t="inlineStr">
        <is>
          <t>≤ 1 min (first unlock)</t>
        </is>
      </c>
    </row>
    <row r="3">
      <c r="A3" s="11" t="n">
        <v>2</v>
      </c>
      <c r="B3" s="11" t="inlineStr">
        <is>
          <t>Smithing panel (permanent weapon % starter)</t>
        </is>
      </c>
      <c r="C3" s="11" t="inlineStr">
        <is>
          <t>Workshop @OB1 — wiki Obelisk</t>
        </is>
      </c>
      <c r="D3" s="11" t="inlineStr">
        <is>
          <t>SL 2 gate; Tempered Edge uses mats</t>
        </is>
      </c>
      <c r="E3" s="11" t="inlineStr">
        <is>
          <t>Soon after first unlock</t>
        </is>
      </c>
    </row>
    <row r="4">
      <c r="A4" s="11" t="n">
        <v>3</v>
      </c>
      <c r="B4" s="11" t="inlineStr">
        <is>
          <t>Cannon special (Basic charge, ~30s recharge)</t>
        </is>
      </c>
      <c r="C4" s="11" t="inlineStr">
        <is>
          <t>Basic Bomb CD 30s — wiki Bombs</t>
        </is>
      </c>
      <c r="D4" s="11" t="inlineStr">
        <is>
          <t>Gold unlock gated by SL3</t>
        </is>
      </c>
      <c r="E4" s="11" t="inlineStr">
        <is>
          <t>~ 5 min</t>
        </is>
      </c>
    </row>
    <row r="5">
      <c r="A5" s="11" t="n">
        <v>4</v>
      </c>
      <c r="B5" s="11" t="inlineStr">
        <is>
          <t>Hire Warrior (first helper) + helper power stub</t>
        </is>
      </c>
      <c r="C5" s="11" t="inlineStr">
        <is>
          <t>Drones menu @OB2 — wiki Obelisk / Drones</t>
        </is>
      </c>
      <c r="D5" s="11" t="inlineStr">
        <is>
          <t>140g hire; visibility gated SL4</t>
        </is>
      </c>
      <c r="E5" s="11" t="inlineStr">
        <is>
          <t>~ 10 min</t>
        </is>
      </c>
    </row>
    <row r="6">
      <c r="A6" s="11" t="n">
        <v>5</v>
      </c>
      <c r="B6" s="11" t="inlineStr">
        <is>
          <t>Chain Cannon (2nd special, ~60s) · Craft Plenty-lite (bonus loot mark)</t>
        </is>
      </c>
      <c r="C6" s="11" t="inlineStr">
        <is>
          <t>Chain Bomb 60s; Bomb of Plenty @OB1 Workshop</t>
        </is>
      </c>
      <c r="D6" s="11" t="inlineStr">
        <is>
          <t>SL 5 gate; Loot Mark recharge proposed 110s</t>
        </is>
      </c>
      <c r="E6" s="11" t="inlineStr">
        <is>
          <t>Early W1</t>
        </is>
      </c>
    </row>
    <row r="7">
      <c r="A7" s="11" t="n">
        <v>6</v>
      </c>
      <c r="B7" s="11" t="inlineStr">
        <is>
          <t>Prayer board (first 3 skills)</t>
        </is>
      </c>
      <c r="C7" s="11" t="inlineStr">
        <is>
          <t>Skill-Tree @OB4 — wiki Obelisk / Skill-Tree</t>
        </is>
      </c>
      <c r="D7" s="11" t="inlineStr">
        <is>
          <t>SL 6; spend Prayer points</t>
        </is>
      </c>
      <c r="E7" s="11" t="inlineStr">
        <is>
          <t>Early W1</t>
        </is>
      </c>
    </row>
    <row r="8">
      <c r="A8" s="11" t="n">
        <v>7</v>
      </c>
      <c r="B8" s="11" t="inlineStr">
        <is>
          <t>Unlock Crits + Crit Power ladder</t>
        </is>
      </c>
      <c r="C8" s="11" t="inlineStr">
        <is>
          <t>Pickaxe Crit Chance unlock player Lv8 — wiki Upgrades</t>
        </is>
      </c>
      <c r="D8" s="11" t="inlineStr">
        <is>
          <t>250g unlock Crits; Crit Power 300g×1.7</t>
        </is>
      </c>
      <c r="E8" s="11" t="inlineStr">
        <is>
          <t>Early–mid W1</t>
        </is>
      </c>
    </row>
    <row r="9">
      <c r="A9" s="11" t="n">
        <v>8</v>
      </c>
      <c r="B9" s="11" t="inlineStr">
        <is>
          <t>Hire Archer · Smithing Tier-2 permanent</t>
        </is>
      </c>
      <c r="C9" s="11" t="inlineStr">
        <is>
          <t>Drone suit Chain@OB4 / T2 Artifacts@OB8</t>
        </is>
      </c>
      <c r="D9" s="11" t="inlineStr">
        <is>
          <t>900g Archer; SL 8</t>
        </is>
      </c>
      <c r="E9" s="11" t="inlineStr">
        <is>
          <t>Mid W1</t>
        </is>
      </c>
    </row>
    <row r="10">
      <c r="A10" s="11" t="n">
        <v>9</v>
      </c>
      <c r="B10" s="11" t="inlineStr">
        <is>
          <t>Prayer: Chronokeeper-twin (offline loot boost) = Restful Sleep</t>
        </is>
      </c>
      <c r="C10" s="11" t="inlineStr">
        <is>
          <t>Chronokeeper 5 SP — wiki Skill-Tree</t>
        </is>
      </c>
      <c r="D10" s="11" t="inlineStr">
        <is>
          <t>5 Prayer points</t>
        </is>
      </c>
      <c r="E10" s="11" t="inlineStr">
        <is>
          <t>Mid W1</t>
        </is>
      </c>
    </row>
    <row r="11">
      <c r="A11" s="11" t="n">
        <v>10</v>
      </c>
      <c r="B11" s="11" t="inlineStr">
        <is>
          <t>First prestige soft-open · Artifact shop T1</t>
        </is>
      </c>
      <c r="C11" s="11" t="inlineStr">
        <is>
          <t>Prestige min level 20 — wiki Prestige</t>
        </is>
      </c>
      <c r="D11" s="11" t="inlineStr">
        <is>
          <t>SL ≥ 10 and combat rank ≥ 20</t>
        </is>
      </c>
      <c r="E11" s="11" t="inlineStr">
        <is>
          <t>Proposed ~2–4 h engaged</t>
        </is>
      </c>
    </row>
    <row r="12">
      <c r="A12" s="11" t="n">
        <v>11</v>
      </c>
      <c r="B12" s="11" t="inlineStr">
        <is>
          <t>Special damage % ladder opens</t>
        </is>
      </c>
      <c r="C12" s="11" t="inlineStr">
        <is>
          <t>Bomb Damage +20% @ player Lv20 — wiki Upgrades</t>
        </is>
      </c>
      <c r="D12" s="11" t="inlineStr">
        <is>
          <t>Shared run-upgrade curve</t>
        </is>
      </c>
      <c r="E12" s="11" t="inlineStr">
        <is>
          <t>Mid W1</t>
        </is>
      </c>
    </row>
    <row r="13">
      <c r="A13" s="11" t="n">
        <v>12</v>
      </c>
      <c r="B13" s="11" t="inlineStr">
        <is>
          <t>Challenges-lite (3 short goals → permanent chips)</t>
        </is>
      </c>
      <c r="C13" s="11" t="inlineStr">
        <is>
          <t>Challenges @OB10 — wiki Obelisk</t>
        </is>
      </c>
      <c r="D13" s="11" t="inlineStr">
        <is>
          <t>SL 12; short goals</t>
        </is>
      </c>
      <c r="E13" s="11" t="inlineStr">
        <is>
          <t>Mid W1</t>
        </is>
      </c>
    </row>
    <row r="14">
      <c r="A14" s="11" t="n">
        <v>13</v>
      </c>
      <c r="B14" s="11" t="inlineStr">
        <is>
          <t>Hire Berserker</t>
        </is>
      </c>
      <c r="C14" s="11" t="inlineStr">
        <is>
          <t>Mid W1 drone depth — proposed</t>
        </is>
      </c>
      <c r="D14" s="11" t="inlineStr">
        <is>
          <t>2000g</t>
        </is>
      </c>
      <c r="E14" s="11" t="inlineStr">
        <is>
          <t>Mid W1 — proposed</t>
        </is>
      </c>
    </row>
    <row r="15">
      <c r="A15" s="11" t="n">
        <v>14</v>
      </c>
      <c r="B15" s="11" t="inlineStr">
        <is>
          <t>Artifact T2 / Smithing cap bump</t>
        </is>
      </c>
      <c r="C15" s="11" t="inlineStr">
        <is>
          <t>T3 Artifacts @OB14 — wiki Prestige / Obelisk</t>
        </is>
      </c>
      <c r="D15" s="11" t="inlineStr">
        <is>
          <t>SL 14</t>
        </is>
      </c>
      <c r="E15" s="11" t="inlineStr">
        <is>
          <t>Late-mid W1</t>
        </is>
      </c>
    </row>
    <row r="16">
      <c r="A16" s="11" t="n">
        <v>15</v>
      </c>
      <c r="B16" s="11" t="inlineStr">
        <is>
          <t>Task Cards-lite (3 collectible task cards, gild later)</t>
        </is>
      </c>
      <c r="C16" s="11" t="inlineStr">
        <is>
          <t>Cards @OB15 — wiki Obelisk</t>
        </is>
      </c>
      <c r="D16" s="11" t="inlineStr">
        <is>
          <t>SL 15</t>
        </is>
      </c>
      <c r="E16" s="11" t="inlineStr">
        <is>
          <t>Late-mid W1</t>
        </is>
      </c>
    </row>
    <row r="17">
      <c r="A17" s="11" t="n">
        <v>16</v>
      </c>
      <c r="B17" s="11" t="inlineStr">
        <is>
          <t>Cannon recharge % ladder</t>
        </is>
      </c>
      <c r="C17" s="11" t="inlineStr">
        <is>
          <t>Bomb Recharge @Lv60 is late — early stub proposed</t>
        </is>
      </c>
      <c r="D17" s="11" t="inlineStr">
        <is>
          <t>Open earlier at SL 11/16 — proposed</t>
        </is>
      </c>
      <c r="E17" s="11" t="inlineStr">
        <is>
          <t>Late W1 — proposed</t>
        </is>
      </c>
    </row>
    <row r="18">
      <c r="A18" s="11" t="n">
        <v>17</v>
      </c>
      <c r="B18" s="11" t="inlineStr">
        <is>
          <t>Skip pets for W1 min (IOM Pets@OB17) — optional 1 pet later</t>
        </is>
      </c>
      <c r="C18" s="11" t="inlineStr">
        <is>
          <t>Pets @OB17 — Side Systems; out of Phase 1</t>
        </is>
      </c>
      <c r="D18" s="11" t="inlineStr">
        <is>
          <t>Deferred</t>
        </is>
      </c>
      <c r="E18" s="11" t="inlineStr">
        <is>
          <t>Out of Phase 1</t>
        </is>
      </c>
    </row>
    <row r="19">
      <c r="A19" s="11" t="n">
        <v>18</v>
      </c>
      <c r="B19" s="11" t="inlineStr">
        <is>
          <t>Helper “fuel” / food efficiency bump</t>
        </is>
      </c>
      <c r="C19" s="11" t="inlineStr">
        <is>
          <t>Drone Fuel @OB18 — wiki Obelisk</t>
        </is>
      </c>
      <c r="D19" s="11" t="inlineStr">
        <is>
          <t>SL 18</t>
        </is>
      </c>
      <c r="E19" s="11" t="inlineStr">
        <is>
          <t>Late W1</t>
        </is>
      </c>
    </row>
    <row r="20">
      <c r="A20" s="11" t="n">
        <v>19</v>
      </c>
      <c r="B20" s="11" t="inlineStr">
        <is>
          <t>World-2 prep systems (vein/statue-lite sinks → gate currency)</t>
        </is>
      </c>
      <c r="C20" s="11" t="inlineStr">
        <is>
          <t>Construct @OB19 — wiki Construct</t>
        </is>
      </c>
      <c r="D20" s="11" t="inlineStr">
        <is>
          <t>Prep sinks visible</t>
        </is>
      </c>
      <c r="E20" s="11" t="inlineStr">
        <is>
          <t>Before gate</t>
        </is>
      </c>
    </row>
    <row r="21">
      <c r="A21" s="11" t="n">
        <v>20</v>
      </c>
      <c r="B21" s="11" t="inlineStr">
        <is>
          <t>Mazchna gate (World 2 end marker) + prestige encouraged</t>
        </is>
      </c>
      <c r="C21" s="11" t="inlineStr">
        <is>
          <t>World 2 monument — wiki Construct</t>
        </is>
      </c>
      <c r="D21" s="11" t="inlineStr">
        <is>
          <t>Proposed: 2,000 Sp banked OR 500g×SL plus 3 signature mats ×50</t>
        </is>
      </c>
      <c r="E21" s="11" t="inlineStr">
        <is>
          <t>Proposed ~6–12 h engaged</t>
        </is>
      </c>
    </row>
  </sheetData>
  <autoFilter ref="A1:E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5" customWidth="1" min="3" max="3"/>
    <col width="48" customWidth="1" min="4" max="4"/>
    <col width="28" customWidth="1" min="5" max="5"/>
    <col width="42" customWidth="1" min="6" max="6"/>
  </cols>
  <sheetData>
    <row r="1">
      <c r="A1" s="10" t="inlineStr">
        <is>
          <t>Category</t>
        </is>
      </c>
      <c r="B1" s="10" t="inlineStr">
        <is>
          <t>Item</t>
        </is>
      </c>
      <c r="C1" s="10" t="inlineStr">
        <is>
          <t>Value / formula</t>
        </is>
      </c>
      <c r="D1" s="10" t="inlineStr">
        <is>
          <t>Max / notes</t>
        </is>
      </c>
      <c r="E1" s="10" t="inlineStr">
        <is>
          <t>Label</t>
        </is>
      </c>
      <c r="F1" s="10" t="inlineStr">
        <is>
          <t>Cite</t>
        </is>
      </c>
    </row>
    <row r="2">
      <c r="A2" s="11" t="inlineStr">
        <is>
          <t>CONSTANTS</t>
        </is>
      </c>
      <c r="B2" s="11" t="inlineStr">
        <is>
          <t>Shared run-upgrade growth (levels 11+)</t>
        </is>
      </c>
      <c r="C2" s="11" t="n">
        <v>1.3</v>
      </c>
      <c r="D2" s="11" t="inlineStr">
        <is>
          <t>IOM: Cost = Base×1.3^(N−10)×N for N≥11; Cost = Base×N for N≤10</t>
        </is>
      </c>
      <c r="E2" s="12" t="inlineStr">
        <is>
          <t>IOM-sourced</t>
        </is>
      </c>
      <c r="F2" s="11" t="inlineStr">
        <is>
          <t>Damage &amp; Upgrades “World Upgrade cost curve”; wiki Upgrades</t>
        </is>
      </c>
    </row>
    <row r="3">
      <c r="A3" s="11" t="inlineStr">
        <is>
          <t>CONSTANTS</t>
        </is>
      </c>
      <c r="B3" s="11" t="inlineStr">
        <is>
          <t>Idle Power base gold</t>
        </is>
      </c>
      <c r="C3" s="11" t="n">
        <v>40</v>
      </c>
      <c r="D3" s="11" t="inlineStr">
        <is>
          <t>Live idle_power</t>
        </is>
      </c>
      <c r="E3" s="12" t="inlineStr">
        <is>
          <t>sourced (live)</t>
        </is>
      </c>
      <c r="F3" s="11" t="inlineStr">
        <is>
          <t>js/data.js idle_power</t>
        </is>
      </c>
    </row>
    <row r="4">
      <c r="A4" s="11" t="inlineStr">
        <is>
          <t>CONSTANTS</t>
        </is>
      </c>
      <c r="B4" s="11" t="inlineStr">
        <is>
          <t>Idle Power growth (live legacy; migrate to shared 1.3)</t>
        </is>
      </c>
      <c r="C4" s="11" t="n">
        <v>1.55</v>
      </c>
      <c r="D4" s="11" t="inlineStr">
        <is>
          <t>Live costMult; Phase 1 replaces leveled run ups with shared curve</t>
        </is>
      </c>
      <c r="E4" s="12" t="inlineStr">
        <is>
          <t>sourced (live) → change</t>
        </is>
      </c>
      <c r="F4" s="11" t="inlineStr">
        <is>
          <t>js/data.js</t>
        </is>
      </c>
    </row>
    <row r="5">
      <c r="A5" s="11" t="inlineStr">
        <is>
          <t>CONSTANTS</t>
        </is>
      </c>
      <c r="B5" s="11" t="inlineStr">
        <is>
          <t>Crit Power base gold</t>
        </is>
      </c>
      <c r="C5" s="11" t="n">
        <v>300</v>
      </c>
      <c r="D5" s="11" t="inlineStr">
        <is>
          <t>Live crit_power</t>
        </is>
      </c>
      <c r="E5" s="12" t="inlineStr">
        <is>
          <t>sourced (live)</t>
        </is>
      </c>
      <c r="F5" s="11" t="inlineStr">
        <is>
          <t>js/data.js crit_power</t>
        </is>
      </c>
    </row>
    <row r="6">
      <c r="A6" s="11" t="inlineStr">
        <is>
          <t>CONSTANTS</t>
        </is>
      </c>
      <c r="B6" s="11" t="inlineStr">
        <is>
          <t>Crit Power growth (live legacy)</t>
        </is>
      </c>
      <c r="C6" s="11" t="n">
        <v>1.7</v>
      </c>
      <c r="D6" s="11" t="inlineStr">
        <is>
          <t>Migrate to shared 1.3 curve</t>
        </is>
      </c>
      <c r="E6" s="12" t="inlineStr">
        <is>
          <t>sourced (live) → change</t>
        </is>
      </c>
      <c r="F6" s="11" t="inlineStr">
        <is>
          <t>js/data.js</t>
        </is>
      </c>
    </row>
    <row r="7">
      <c r="A7" s="11" t="inlineStr">
        <is>
          <t>CONSTANTS</t>
        </is>
      </c>
      <c r="B7" s="11" t="inlineStr">
        <is>
          <t>Shared curve example Base (weapon % band)</t>
        </is>
      </c>
      <c r="C7" s="11" t="n">
        <v>100</v>
      </c>
      <c r="D7" s="11" t="inlineStr">
        <is>
          <t>Placeholder Base for formula demo — tune per upgrade in playtest</t>
        </is>
      </c>
      <c r="E7" s="13" t="inlineStr">
        <is>
          <t>proposed</t>
        </is>
      </c>
      <c r="F7" s="11" t="inlineStr">
        <is>
          <t>tune in playtest</t>
        </is>
      </c>
    </row>
    <row r="8">
      <c r="A8" s="11" t="inlineStr">
        <is>
          <t>CONSTANTS</t>
        </is>
      </c>
      <c r="B8" s="11" t="inlineStr">
        <is>
          <t>MONSTER_VISUAL_HP</t>
        </is>
      </c>
      <c r="C8" s="11" t="n">
        <v>150</v>
      </c>
      <c r="D8" s="11" t="inlineStr">
        <is>
          <t>HP = 150 × hpMult</t>
        </is>
      </c>
      <c r="E8" s="12" t="inlineStr">
        <is>
          <t>sourced (live)</t>
        </is>
      </c>
      <c r="F8" s="11" t="inlineStr">
        <is>
          <t>js/data.js</t>
        </is>
      </c>
    </row>
    <row r="9">
      <c r="A9" s="11" t="inlineStr">
        <is>
          <t>CONSTANTS</t>
        </is>
      </c>
      <c r="B9" s="11" t="inlineStr">
        <is>
          <t>Tier Test meter base (Sp)</t>
        </is>
      </c>
      <c r="C9" s="11" t="n">
        <v>120</v>
      </c>
      <c r="D9" s="11" t="inlineStr">
        <is>
          <t>Tier Test 1 meter; later = 120 × 1.35^(testIndex−1)</t>
        </is>
      </c>
      <c r="E9" s="13" t="inlineStr">
        <is>
          <t>sourced (live) / proposed scale</t>
        </is>
      </c>
      <c r="F9" s="11" t="inlineStr">
        <is>
          <t>markedPrey.sewer_king.bossCost</t>
        </is>
      </c>
    </row>
    <row r="10">
      <c r="A10" s="11" t="inlineStr">
        <is>
          <t>CONSTANTS</t>
        </is>
      </c>
      <c r="B10" s="11" t="inlineStr">
        <is>
          <t>Later meter growth</t>
        </is>
      </c>
      <c r="C10" s="11" t="n">
        <v>1.35</v>
      </c>
      <c r="D10" s="11" t="inlineStr">
        <is>
          <t>Proposed meter scale per Tier Test</t>
        </is>
      </c>
      <c r="E10" s="13" t="inlineStr">
        <is>
          <t>proposed</t>
        </is>
      </c>
      <c r="F10" s="11" t="inlineStr">
        <is>
          <t>tune in playtest</t>
        </is>
      </c>
    </row>
    <row r="11">
      <c r="A11" s="11" t="inlineStr">
        <is>
          <t>CONSTANTS</t>
        </is>
      </c>
      <c r="B11" s="11" t="inlineStr">
        <is>
          <t>Prestige reward points base</t>
        </is>
      </c>
      <c r="C11" s="11" t="n">
        <v>12</v>
      </c>
      <c r="D11" s="11" t="inlineStr">
        <is>
          <t>Proposed mirror 12 × 1.084^(rank−10)</t>
        </is>
      </c>
      <c r="E11" s="13" t="inlineStr">
        <is>
          <t>proposed</t>
        </is>
      </c>
      <c r="F11" s="11" t="inlineStr">
        <is>
          <t>wiki Prestige below Lv200</t>
        </is>
      </c>
    </row>
    <row r="12">
      <c r="A12" s="11" t="inlineStr">
        <is>
          <t>CONSTANTS</t>
        </is>
      </c>
      <c r="B12" s="11" t="inlineStr">
        <is>
          <t>Prestige reward points growth</t>
        </is>
      </c>
      <c r="C12" s="11" t="n">
        <v>1.084</v>
      </c>
      <c r="D12" s="11" t="inlineStr">
        <is>
          <t>Proposed</t>
        </is>
      </c>
      <c r="E12" s="13" t="inlineStr">
        <is>
          <t>proposed</t>
        </is>
      </c>
      <c r="F12" s="11" t="inlineStr">
        <is>
          <t>wiki Prestige below Lv200</t>
        </is>
      </c>
    </row>
    <row r="13">
      <c r="A13" s="11" t="inlineStr">
        <is>
          <t>CONSTANTS</t>
        </is>
      </c>
      <c r="B13" s="11" t="inlineStr">
        <is>
          <t>Special chip vs tasks — Cannon mult</t>
        </is>
      </c>
      <c r="C13" s="11" t="n">
        <v>4</v>
      </c>
      <c r="D13" s="11" t="inlineStr">
        <is>
          <t>specialChip = 4.0 × boltChip</t>
        </is>
      </c>
      <c r="E13" s="13" t="inlineStr">
        <is>
          <t>proposed</t>
        </is>
      </c>
      <c r="F13" s="11" t="inlineStr">
        <is>
          <t>tune in playtest</t>
        </is>
      </c>
    </row>
    <row r="14">
      <c r="A14" s="11" t="inlineStr">
        <is>
          <t>CONSTANTS</t>
        </is>
      </c>
      <c r="B14" s="11" t="inlineStr">
        <is>
          <t>Special chip vs tasks — Chain pulse mult</t>
        </is>
      </c>
      <c r="C14" s="11" t="n">
        <v>2.2</v>
      </c>
      <c r="D14" s="11" t="inlineStr">
        <is>
          <t>per Chain pulse</t>
        </is>
      </c>
      <c r="E14" s="13" t="inlineStr">
        <is>
          <t>proposed</t>
        </is>
      </c>
      <c r="F14" s="11" t="inlineStr">
        <is>
          <t>tune in playtest</t>
        </is>
      </c>
    </row>
    <row r="15">
      <c r="A15" s="11" t="inlineStr">
        <is>
          <t>CONSTANTS</t>
        </is>
      </c>
      <c r="B15" s="11" t="inlineStr">
        <is>
          <t>World 2 gate Sp banked alt</t>
        </is>
      </c>
      <c r="C15" s="11" t="n">
        <v>2000</v>
      </c>
      <c r="D15" s="11" t="inlineStr">
        <is>
          <t>Proposed AFK twin (no gem IAP)</t>
        </is>
      </c>
      <c r="E15" s="13" t="inlineStr">
        <is>
          <t>proposed</t>
        </is>
      </c>
      <c r="F15" s="11" t="inlineStr">
        <is>
          <t>Obelisk &amp; Floors “World 2 unlock”; Takeaway T6</t>
        </is>
      </c>
    </row>
    <row r="16">
      <c r="A16" s="11" t="inlineStr">
        <is>
          <t>CONSTANTS</t>
        </is>
      </c>
      <c r="B16" s="11" t="inlineStr">
        <is>
          <t>World 2 gate gold factor (× SL)</t>
        </is>
      </c>
      <c r="C16" s="11" t="n">
        <v>500</v>
      </c>
      <c r="D16" s="11" t="inlineStr">
        <is>
          <t>500g × SL plus 3 signature mats × 50</t>
        </is>
      </c>
      <c r="E16" s="13" t="inlineStr">
        <is>
          <t>proposed</t>
        </is>
      </c>
      <c r="F16" s="11" t="inlineStr">
        <is>
          <t>tune in playtest</t>
        </is>
      </c>
    </row>
    <row r="17">
      <c r="A17" s="11" t="inlineStr">
        <is>
          <t>KEEP</t>
        </is>
      </c>
      <c r="B17" s="11" t="inlineStr">
        <is>
          <t>Bolt chip from current target HP</t>
        </is>
      </c>
      <c r="C17" s="11" t="inlineStr">
        <is>
          <t>boltHpChipRaw uses boss HP in boss fights</t>
        </is>
      </c>
      <c r="D17" s="11" t="inlineStr">
        <is>
          <t>Unchanged</t>
        </is>
      </c>
      <c r="E17" s="12" t="inlineStr">
        <is>
          <t>sourced (live)</t>
        </is>
      </c>
      <c r="F17" s="11" t="inlineStr">
        <is>
          <t>js/arena.js; Obelisk &amp; Floors “Boss bolt sizing”</t>
        </is>
      </c>
    </row>
    <row r="18">
      <c r="A18" s="11" t="inlineStr">
        <is>
          <t>KEEP</t>
        </is>
      </c>
      <c r="B18" s="11" t="inlineStr">
        <is>
          <t>First boss TTK</t>
        </is>
      </c>
      <c r="C18" s="11" t="inlineStr">
        <is>
          <t>45–90s (solo ~60s post-fix)</t>
        </is>
      </c>
      <c r="D18" s="11" t="inlineStr">
        <is>
          <t>Tier Test 1</t>
        </is>
      </c>
      <c r="E18" s="12" t="inlineStr">
        <is>
          <t>sourced</t>
        </is>
      </c>
      <c r="F18" s="11" t="inlineStr">
        <is>
          <t>elder-thornpelt-tuning.md; Takeaway T1</t>
        </is>
      </c>
    </row>
    <row r="19">
      <c r="A19" s="11" t="inlineStr">
        <is>
          <t>KEEP</t>
        </is>
      </c>
      <c r="B19" s="11" t="inlineStr">
        <is>
          <t>Offline cap base</t>
        </is>
      </c>
      <c r="C19" s="11" t="inlineStr">
        <is>
          <t>360 min</t>
        </is>
      </c>
      <c r="D19" s="11" t="inlineStr">
        <is>
          <t>offlineCapMin=360</t>
        </is>
      </c>
      <c r="E19" s="12" t="inlineStr">
        <is>
          <t>sourced (live)</t>
        </is>
      </c>
      <c r="F19" s="11" t="inlineStr">
        <is>
          <t>js/state.js; Early Pacing</t>
        </is>
      </c>
    </row>
    <row r="20">
      <c r="A20" s="11" t="inlineStr">
        <is>
          <t>KEEP</t>
        </is>
      </c>
      <c r="B20" s="11" t="inlineStr">
        <is>
          <t>No RPG attributes</t>
        </is>
      </c>
      <c r="C20" s="11" t="inlineStr">
        <is>
          <t>Named Prayer skills only</t>
        </is>
      </c>
      <c r="D20" s="11" t="inlineStr">
        <is>
          <t>No STR/AGI/PER/INT/LCK</t>
        </is>
      </c>
      <c r="E20" s="12" t="inlineStr">
        <is>
          <t>sourced</t>
        </is>
      </c>
      <c r="F20" s="11" t="inlineStr">
        <is>
          <t>Skill Tree tab; wiki Skill-Tree</t>
        </is>
      </c>
    </row>
    <row r="21">
      <c r="A21" s="11" t="inlineStr">
        <is>
          <t>KEEP</t>
        </is>
      </c>
      <c r="B21" s="11" t="inlineStr">
        <is>
          <t>Unlocks = resource costs</t>
        </is>
      </c>
      <c r="C21" s="11" t="inlineStr">
        <is>
          <t>No minPlayMs gates</t>
        </is>
      </c>
      <c r="D21" s="11" t="inlineStr">
        <is>
          <t>Unchanged</t>
        </is>
      </c>
      <c r="E21" s="12" t="inlineStr">
        <is>
          <t>sourced</t>
        </is>
      </c>
      <c r="F21" s="11" t="inlineStr">
        <is>
          <t>design/time-gates-to-costs.md</t>
        </is>
      </c>
    </row>
    <row r="22">
      <c r="A22" s="11" t="inlineStr">
        <is>
          <t>KEEP</t>
        </is>
      </c>
      <c r="B22" s="11" t="inlineStr">
        <is>
          <t>Hires on gold, not Sp</t>
        </is>
      </c>
      <c r="C22" s="11" t="inlineStr">
        <is>
          <t>Protect boss meters</t>
        </is>
      </c>
      <c r="D22" s="11" t="inlineStr">
        <is>
          <t>Unchanged</t>
        </is>
      </c>
      <c r="E22" s="12" t="inlineStr">
        <is>
          <t>sourced</t>
        </is>
      </c>
      <c r="F22" s="11" t="inlineStr">
        <is>
          <t>time-gates-to-costs.md; Takeaway T3</t>
        </is>
      </c>
    </row>
    <row r="23">
      <c r="A23" s="11" t="inlineStr">
        <is>
          <t>HP</t>
        </is>
      </c>
      <c r="B23" s="11" t="inlineStr">
        <is>
          <t>Task A (Hands) hpMult</t>
        </is>
      </c>
      <c r="C23" s="11" t="n">
        <v>0.7</v>
      </c>
      <c r="D23" s="11" t="inlineStr">
        <is>
          <t>Tutorial frail; keep Cub band; HP=105</t>
        </is>
      </c>
      <c r="E23" s="12" t="inlineStr">
        <is>
          <t>sourced (live band)</t>
        </is>
      </c>
      <c r="F23" s="11" t="inlineStr">
        <is>
          <t>js/data.js Cub band</t>
        </is>
      </c>
    </row>
    <row r="24">
      <c r="A24" s="11" t="inlineStr">
        <is>
          <t>HP</t>
        </is>
      </c>
      <c r="B24" s="11" t="inlineStr">
        <is>
          <t>Task B hpMult</t>
        </is>
      </c>
      <c r="C24" s="11" t="n">
        <v>1.5</v>
      </c>
      <c r="D24" s="11" t="inlineStr">
        <is>
          <t>Adult; keep Thornpelt band; HP=225</t>
        </is>
      </c>
      <c r="E24" s="12" t="inlineStr">
        <is>
          <t>sourced (live band)</t>
        </is>
      </c>
      <c r="F24" s="11" t="inlineStr">
        <is>
          <t>js/data.js</t>
        </is>
      </c>
    </row>
    <row r="25">
      <c r="A25" s="11" t="inlineStr">
        <is>
          <t>HP</t>
        </is>
      </c>
      <c r="B25" s="11" t="inlineStr">
        <is>
          <t>Task C hpMult</t>
        </is>
      </c>
      <c r="C25" s="11" t="n">
        <v>1.2</v>
      </c>
      <c r="D25" s="11" t="inlineStr">
        <is>
          <t>Elite; Dire band (fast); HP=180</t>
        </is>
      </c>
      <c r="E25" s="12" t="inlineStr">
        <is>
          <t>sourced (live band)</t>
        </is>
      </c>
      <c r="F25" s="11" t="inlineStr">
        <is>
          <t>js/data.js</t>
        </is>
      </c>
    </row>
    <row r="26">
      <c r="A26" s="11" t="inlineStr">
        <is>
          <t>HP</t>
        </is>
      </c>
      <c r="B26" s="11" t="inlineStr">
        <is>
          <t>Tier Test 1 hpMult</t>
        </is>
      </c>
      <c r="C26" s="11" t="n">
        <v>1.85</v>
      </c>
      <c r="D26" s="11" t="inlineStr">
        <is>
          <t>First boss; keep Elder; TTK 45–90s; HP≈278</t>
        </is>
      </c>
      <c r="E26" s="12" t="inlineStr">
        <is>
          <t>sourced (live)</t>
        </is>
      </c>
      <c r="F26" s="11" t="inlineStr">
        <is>
          <t>markedPrey.sewer_king</t>
        </is>
      </c>
    </row>
    <row r="27">
      <c r="A27" s="11" t="inlineStr">
        <is>
          <t>HP</t>
        </is>
      </c>
      <c r="B27" s="11" t="inlineStr">
        <is>
          <t>Tier Test 2–5 hpMult</t>
        </is>
      </c>
      <c r="C27" s="11" t="inlineStr">
        <is>
          <t>Proposed 2.0 → 2.4</t>
        </is>
      </c>
      <c r="D27" s="11" t="inlineStr">
        <is>
          <t>HP 300–360; step +0.1–0.15 / test</t>
        </is>
      </c>
      <c r="E27" s="13" t="inlineStr">
        <is>
          <t>proposed</t>
        </is>
      </c>
      <c r="F27" s="11" t="inlineStr">
        <is>
          <t>tune in playtest</t>
        </is>
      </c>
    </row>
    <row r="28">
      <c r="A28" s="11" t="inlineStr">
        <is>
          <t>HP</t>
        </is>
      </c>
      <c r="B28" s="11" t="inlineStr">
        <is>
          <t>Tier Test 6–10 hpMult</t>
        </is>
      </c>
      <c r="C28" s="11" t="inlineStr">
        <is>
          <t>Proposed 2.5 → 3.0</t>
        </is>
      </c>
      <c r="D28" s="11" t="inlineStr">
        <is>
          <t>HP 375–450; still one-fight clears</t>
        </is>
      </c>
      <c r="E28" s="13" t="inlineStr">
        <is>
          <t>proposed</t>
        </is>
      </c>
      <c r="F28" s="11" t="inlineStr">
        <is>
          <t>tune in playtest</t>
        </is>
      </c>
    </row>
    <row r="29">
      <c r="A29" s="11" t="inlineStr">
        <is>
          <t>HP</t>
        </is>
      </c>
      <c r="B29" s="11" t="inlineStr">
        <is>
          <t>Tier Test 11–19 hpMult</t>
        </is>
      </c>
      <c r="C29" s="11" t="inlineStr">
        <is>
          <t>Proposed 3.1 → 3.8</t>
        </is>
      </c>
      <c r="D29" s="11" t="inlineStr">
        <is>
          <t>HP 465–570; not 2.8^n</t>
        </is>
      </c>
      <c r="E29" s="13" t="inlineStr">
        <is>
          <t>proposed</t>
        </is>
      </c>
      <c r="F29" s="11" t="inlineStr">
        <is>
          <t>tune in playtest</t>
        </is>
      </c>
    </row>
    <row r="30">
      <c r="A30" s="11" t="inlineStr">
        <is>
          <t>HP</t>
        </is>
      </c>
      <c r="B30" s="11" t="inlineStr">
        <is>
          <t>Armor gate</t>
        </is>
      </c>
      <c r="C30" s="11" t="inlineStr">
        <is>
          <t>Skip hard armor for W1; soft tough hide (−10% chip) only if tests feel trivial</t>
        </is>
      </c>
      <c r="D30" s="11" t="inlineStr">
        <is>
          <t>IOM armor can zero damage — we skip</t>
        </is>
      </c>
      <c r="E30" s="13" t="inlineStr">
        <is>
          <t>proposed</t>
        </is>
      </c>
      <c r="F30" s="11" t="inlineStr">
        <is>
          <t>wiki Obelisk; tune in playtest</t>
        </is>
      </c>
    </row>
    <row r="31">
      <c r="A31" s="11" t="inlineStr">
        <is>
          <t>WEAPON</t>
        </is>
      </c>
      <c r="B31" s="11" t="inlineStr">
        <is>
          <t>Weapon rank max (W1)</t>
        </is>
      </c>
      <c r="C31" s="11" t="n">
        <v>40</v>
      </c>
      <c r="D31" s="11" t="inlineStr">
        <is>
          <t>Display rank R → baseWeight=(R+1)×(R+2)/2 as multiplier bias; IOM pickaxe max 171 is late-game</t>
        </is>
      </c>
      <c r="E31" s="13" t="inlineStr">
        <is>
          <t>proposed</t>
        </is>
      </c>
      <c r="F31" s="11" t="inlineStr">
        <is>
          <t>wiki Upgrades; Damage row 1</t>
        </is>
      </c>
    </row>
    <row r="32">
      <c r="A32" s="11" t="inlineStr">
        <is>
          <t>WEAPON</t>
        </is>
      </c>
      <c r="B32" s="11" t="inlineStr">
        <is>
          <t>Idle Power</t>
        </is>
      </c>
      <c r="C32" s="11" t="inlineStr">
        <is>
          <t>+12%/lv</t>
        </is>
      </c>
      <c r="D32" s="11" t="inlineStr">
        <is>
          <t>max 40; cost Base×curve (live was 40g×1.55^lv)</t>
        </is>
      </c>
      <c r="E32" s="12" t="inlineStr">
        <is>
          <t>sourced (live effect) / curve change</t>
        </is>
      </c>
      <c r="F32" s="11" t="inlineStr">
        <is>
          <t>js/data.js idle_power</t>
        </is>
      </c>
    </row>
    <row r="33">
      <c r="A33" s="11" t="inlineStr">
        <is>
          <t>WEAPON</t>
        </is>
      </c>
      <c r="B33" s="11" t="inlineStr">
        <is>
          <t>Crit Chance unlock</t>
        </is>
      </c>
      <c r="C33" s="11" t="inlineStr">
        <is>
          <t>Base 8% after unlock</t>
        </is>
      </c>
      <c r="D33" s="11" t="inlineStr">
        <is>
          <t>max 1; flat 250g</t>
        </is>
      </c>
      <c r="E33" s="12" t="inlineStr">
        <is>
          <t>sourced (live)</t>
        </is>
      </c>
      <c r="F33" s="11" t="inlineStr">
        <is>
          <t>js/data.js unlock_crits</t>
        </is>
      </c>
    </row>
    <row r="34">
      <c r="A34" s="11" t="inlineStr">
        <is>
          <t>WEAPON</t>
        </is>
      </c>
      <c r="B34" s="11" t="inlineStr">
        <is>
          <t>Crit Power</t>
        </is>
      </c>
      <c r="C34" s="11" t="inlineStr">
        <is>
          <t>+4%/lv</t>
        </is>
      </c>
      <c r="D34" s="11" t="inlineStr">
        <is>
          <t>max 10; cost Base×curve (live 300g×1.7)</t>
        </is>
      </c>
      <c r="E34" s="12" t="inlineStr">
        <is>
          <t>sourced (live effect) / curve change</t>
        </is>
      </c>
      <c r="F34" s="11" t="inlineStr">
        <is>
          <t>js/data.js crit_power</t>
        </is>
      </c>
    </row>
    <row r="35">
      <c r="A35" s="11" t="inlineStr">
        <is>
          <t>WEAPON</t>
        </is>
      </c>
      <c r="B35" s="11" t="inlineStr">
        <is>
          <t>Weapon % ladders</t>
        </is>
      </c>
      <c r="C35" s="11" t="inlineStr">
        <is>
          <t>+10% / +15% / +20% bands</t>
        </is>
      </c>
      <c r="D35" s="11" t="inlineStr">
        <is>
          <t>max 16 each; unlock at SL 7 / 11 / 14; shared curve</t>
        </is>
      </c>
      <c r="E35" s="12" t="inlineStr">
        <is>
          <t>IOM-sourced gates remapped to SL</t>
        </is>
      </c>
      <c r="F35" s="11" t="inlineStr">
        <is>
          <t>wiki Upgrades; Damage “Early W1 Pickaxe Damage %”</t>
        </is>
      </c>
    </row>
    <row r="36">
      <c r="A36" s="11" t="inlineStr">
        <is>
          <t>WEAPON</t>
        </is>
      </c>
      <c r="B36" s="11" t="inlineStr">
        <is>
          <t>Attack speed</t>
        </is>
      </c>
      <c r="C36" s="11" t="inlineStr">
        <is>
          <t>+2%/lv</t>
        </is>
      </c>
      <c r="D36" s="11" t="inlineStr">
        <is>
          <t>max 16; open at SL 12</t>
        </is>
      </c>
      <c r="E36" s="13" t="inlineStr">
        <is>
          <t>proposed</t>
        </is>
      </c>
      <c r="F36" s="11" t="inlineStr">
        <is>
          <t>wiki Upgrades Lv52; tune in playtest</t>
        </is>
      </c>
    </row>
    <row r="37">
      <c r="A37" s="11" t="inlineStr">
        <is>
          <t>WEAPON</t>
        </is>
      </c>
      <c r="B37" s="11" t="inlineStr">
        <is>
          <t>Shared curve N=1..10</t>
        </is>
      </c>
      <c r="C37" s="11" t="inlineStr">
        <is>
          <t>Cost = Base × N</t>
        </is>
      </c>
      <c r="D37" s="11" t="inlineStr">
        <is>
          <t>See CONSTANTS + formula rows below</t>
        </is>
      </c>
      <c r="E37" s="12" t="inlineStr">
        <is>
          <t>IOM-sourced</t>
        </is>
      </c>
      <c r="F37" s="11" t="inlineStr">
        <is>
          <t>Damage &amp; Upgrades</t>
        </is>
      </c>
    </row>
    <row r="38">
      <c r="A38" s="11" t="inlineStr">
        <is>
          <t>WEAPON</t>
        </is>
      </c>
      <c r="B38" s="11" t="inlineStr">
        <is>
          <t>Shared curve N=11+</t>
        </is>
      </c>
      <c r="C38" s="11" t="inlineStr">
        <is>
          <t>Cost = Base × growth^(N−10) × N</t>
        </is>
      </c>
      <c r="D38" s="11" t="inlineStr">
        <is>
          <t>growth cell = shared growth constant</t>
        </is>
      </c>
      <c r="E38" s="12" t="inlineStr">
        <is>
          <t>IOM-sourced</t>
        </is>
      </c>
      <c r="F38" s="11" t="inlineStr">
        <is>
          <t>Damage &amp; Upgrades</t>
        </is>
      </c>
    </row>
    <row r="39">
      <c r="A39" s="11" t="inlineStr">
        <is>
          <t>COST FORMULA</t>
        </is>
      </c>
      <c r="B39" s="11" t="inlineStr">
        <is>
          <t>Example: shared Base cost at level 5</t>
        </is>
      </c>
      <c r="C39" s="11">
        <f>$C$7*5</f>
        <v/>
      </c>
      <c r="D39" s="11" t="inlineStr">
        <is>
          <t>Base × 5 (N≤10 branch)</t>
        </is>
      </c>
      <c r="E39" s="12" t="inlineStr">
        <is>
          <t>IOM-sourced formula</t>
        </is>
      </c>
      <c r="F39" s="11" t="inlineStr">
        <is>
          <t>refs CONSTANTS Shared Base</t>
        </is>
      </c>
    </row>
    <row r="40">
      <c r="A40" s="11" t="inlineStr">
        <is>
          <t>COST FORMULA</t>
        </is>
      </c>
      <c r="B40" s="11" t="inlineStr">
        <is>
          <t>Example: shared Base cost at level 11</t>
        </is>
      </c>
      <c r="C40" s="11">
        <f>$C$7*$C$2^(11-10)*11</f>
        <v/>
      </c>
      <c r="D40" s="11" t="inlineStr">
        <is>
          <t>Base × growth^(11−10) × 11</t>
        </is>
      </c>
      <c r="E40" s="12" t="inlineStr">
        <is>
          <t>IOM-sourced formula</t>
        </is>
      </c>
      <c r="F40" s="11" t="inlineStr">
        <is>
          <t>refs CONSTANTS</t>
        </is>
      </c>
    </row>
    <row r="41">
      <c r="A41" s="11" t="inlineStr">
        <is>
          <t>COST FORMULA</t>
        </is>
      </c>
      <c r="B41" s="11" t="inlineStr">
        <is>
          <t>Example: shared Base cost at level 20</t>
        </is>
      </c>
      <c r="C41" s="11">
        <f>$C$7*$C$2^(20-10)*20</f>
        <v/>
      </c>
      <c r="D41" s="11" t="inlineStr">
        <is>
          <t>Base × growth^(20−10) × 20</t>
        </is>
      </c>
      <c r="E41" s="12" t="inlineStr">
        <is>
          <t>IOM-sourced formula</t>
        </is>
      </c>
      <c r="F41" s="11" t="inlineStr">
        <is>
          <t>refs CONSTANTS</t>
        </is>
      </c>
    </row>
    <row r="42">
      <c r="A42" s="11" t="inlineStr">
        <is>
          <t>COST FORMULA</t>
        </is>
      </c>
      <c r="B42" s="11" t="inlineStr">
        <is>
          <t>Idle Power cost at level 5 (shared curve)</t>
        </is>
      </c>
      <c r="C42" s="11">
        <f>$C$3*5</f>
        <v/>
      </c>
      <c r="D42" s="11" t="inlineStr">
        <is>
          <t>IdlePowerBase × 5</t>
        </is>
      </c>
      <c r="E42" s="13" t="inlineStr">
        <is>
          <t>proposed migration</t>
        </is>
      </c>
      <c r="F42" s="11" t="inlineStr">
        <is>
          <t>Phase 1 shared curve</t>
        </is>
      </c>
    </row>
    <row r="43">
      <c r="A43" s="11" t="inlineStr">
        <is>
          <t>COST FORMULA</t>
        </is>
      </c>
      <c r="B43" s="11" t="inlineStr">
        <is>
          <t>Idle Power cost at level 11 (shared curve)</t>
        </is>
      </c>
      <c r="C43" s="11">
        <f>$C$3*$C$2^(11-10)*11</f>
        <v/>
      </c>
      <c r="D43" s="11" t="inlineStr">
        <is>
          <t>IdlePowerBase × growth^(11−10) × 11</t>
        </is>
      </c>
      <c r="E43" s="13" t="inlineStr">
        <is>
          <t>proposed migration</t>
        </is>
      </c>
      <c r="F43" s="11" t="inlineStr">
        <is>
          <t>Phase 1 shared curve</t>
        </is>
      </c>
    </row>
    <row r="44">
      <c r="A44" s="11" t="inlineStr">
        <is>
          <t>COST FORMULA</t>
        </is>
      </c>
      <c r="B44" s="11" t="inlineStr">
        <is>
          <t>Crit Power cost at level 5 (shared curve)</t>
        </is>
      </c>
      <c r="C44" s="11">
        <f>$C$5*5</f>
        <v/>
      </c>
      <c r="D44" s="11" t="inlineStr">
        <is>
          <t>CritPowerBase × 5</t>
        </is>
      </c>
      <c r="E44" s="13" t="inlineStr">
        <is>
          <t>proposed migration</t>
        </is>
      </c>
      <c r="F44" s="11" t="inlineStr">
        <is>
          <t>Phase 1 shared curve</t>
        </is>
      </c>
    </row>
    <row r="45">
      <c r="A45" s="11" t="inlineStr">
        <is>
          <t>COST FORMULA</t>
        </is>
      </c>
      <c r="B45" s="11" t="inlineStr">
        <is>
          <t>Crit Power cost at level 11 (shared curve)</t>
        </is>
      </c>
      <c r="C45" s="11">
        <f>$C$5*$C$2^(11-10)*11</f>
        <v/>
      </c>
      <c r="D45" s="11" t="inlineStr">
        <is>
          <t>CritPowerBase × growth^(11−10) × 11</t>
        </is>
      </c>
      <c r="E45" s="13" t="inlineStr">
        <is>
          <t>proposed migration</t>
        </is>
      </c>
      <c r="F45" s="11" t="inlineStr">
        <is>
          <t>Phase 1 shared curve</t>
        </is>
      </c>
    </row>
    <row r="46">
      <c r="A46" s="11" t="inlineStr">
        <is>
          <t>COST FORMULA</t>
        </is>
      </c>
      <c r="B46" s="11" t="inlineStr">
        <is>
          <t>Tier Test 2 meter (Sp)</t>
        </is>
      </c>
      <c r="C46" s="11">
        <f>$C$9*$C$10^(2-1)</f>
        <v/>
      </c>
      <c r="D46" s="11" t="inlineStr">
        <is>
          <t>meterBase × growth^(2−1)</t>
        </is>
      </c>
      <c r="E46" s="13" t="inlineStr">
        <is>
          <t>proposed</t>
        </is>
      </c>
      <c r="F46" s="11" t="inlineStr">
        <is>
          <t>tune in playtest</t>
        </is>
      </c>
    </row>
    <row r="47">
      <c r="A47" s="11" t="inlineStr">
        <is>
          <t>COST FORMULA</t>
        </is>
      </c>
      <c r="B47" s="11" t="inlineStr">
        <is>
          <t>Tier Test 3 meter (Sp)</t>
        </is>
      </c>
      <c r="C47" s="11">
        <f>$C$9*$C$10^(3-1)</f>
        <v/>
      </c>
      <c r="D47" s="11" t="inlineStr">
        <is>
          <t>meterBase × growth^(3−1)</t>
        </is>
      </c>
      <c r="E47" s="13" t="inlineStr">
        <is>
          <t>proposed</t>
        </is>
      </c>
      <c r="F47" s="11" t="inlineStr">
        <is>
          <t>tune in playtest</t>
        </is>
      </c>
    </row>
    <row r="48">
      <c r="A48" s="11" t="inlineStr">
        <is>
          <t>COST FORMULA</t>
        </is>
      </c>
      <c r="B48" s="11" t="inlineStr">
        <is>
          <t>Prestige reward points at rank 20</t>
        </is>
      </c>
      <c r="C48" s="11">
        <f>$C$11*$C$12^(20-10)</f>
        <v/>
      </c>
      <c r="D48" s="11" t="inlineStr">
        <is>
          <t>ppBase × ppGrowth^(20−10)</t>
        </is>
      </c>
      <c r="E48" s="13" t="inlineStr">
        <is>
          <t>proposed</t>
        </is>
      </c>
      <c r="F48" s="11" t="inlineStr">
        <is>
          <t>wiki Prestige</t>
        </is>
      </c>
    </row>
    <row r="49">
      <c r="A49" s="11" t="inlineStr">
        <is>
          <t>COST FORMULA</t>
        </is>
      </c>
      <c r="B49" s="11" t="inlineStr">
        <is>
          <t>Task A HP</t>
        </is>
      </c>
      <c r="C49" s="11">
        <f>$C$8*0.7</f>
        <v/>
      </c>
      <c r="D49" s="11" t="inlineStr">
        <is>
          <t>MONSTER_VISUAL_HP × 0.70</t>
        </is>
      </c>
      <c r="E49" s="12" t="inlineStr">
        <is>
          <t>sourced</t>
        </is>
      </c>
      <c r="F49" s="11" t="inlineStr">
        <is>
          <t>js/data.js</t>
        </is>
      </c>
    </row>
    <row r="50">
      <c r="A50" s="11" t="inlineStr">
        <is>
          <t>COST FORMULA</t>
        </is>
      </c>
      <c r="B50" s="11" t="inlineStr">
        <is>
          <t>Task B HP</t>
        </is>
      </c>
      <c r="C50" s="11">
        <f>$C$8*1.5</f>
        <v/>
      </c>
      <c r="D50" s="11" t="inlineStr">
        <is>
          <t>MONSTER_VISUAL_HP × 1.50</t>
        </is>
      </c>
      <c r="E50" s="12" t="inlineStr">
        <is>
          <t>sourced</t>
        </is>
      </c>
      <c r="F50" s="11" t="inlineStr">
        <is>
          <t>js/data.js</t>
        </is>
      </c>
    </row>
    <row r="51">
      <c r="A51" s="11" t="inlineStr">
        <is>
          <t>COST FORMULA</t>
        </is>
      </c>
      <c r="B51" s="11" t="inlineStr">
        <is>
          <t>Task C HP</t>
        </is>
      </c>
      <c r="C51" s="11">
        <f>$C$8*1.2</f>
        <v/>
      </c>
      <c r="D51" s="11" t="inlineStr">
        <is>
          <t>MONSTER_VISUAL_HP × 1.20</t>
        </is>
      </c>
      <c r="E51" s="12" t="inlineStr">
        <is>
          <t>sourced</t>
        </is>
      </c>
      <c r="F51" s="11" t="inlineStr">
        <is>
          <t>js/data.js</t>
        </is>
      </c>
    </row>
    <row r="52">
      <c r="A52" s="11" t="inlineStr">
        <is>
          <t>COST FORMULA</t>
        </is>
      </c>
      <c r="B52" s="11" t="inlineStr">
        <is>
          <t>Tier Test 1 HP</t>
        </is>
      </c>
      <c r="C52" s="11">
        <f>$C$8*1.85</f>
        <v/>
      </c>
      <c r="D52" s="11" t="inlineStr">
        <is>
          <t>MONSTER_VISUAL_HP × 1.85</t>
        </is>
      </c>
      <c r="E52" s="12" t="inlineStr">
        <is>
          <t>sourced</t>
        </is>
      </c>
      <c r="F52" s="11" t="inlineStr">
        <is>
          <t>js/data.js</t>
        </is>
      </c>
    </row>
    <row r="53">
      <c r="A53" s="11" t="inlineStr">
        <is>
          <t>COST FORMULA</t>
        </is>
      </c>
      <c r="B53" s="11" t="inlineStr">
        <is>
          <t>World 2 gate gold at SL 20</t>
        </is>
      </c>
      <c r="C53" s="11">
        <f>$C$16*20</f>
        <v/>
      </c>
      <c r="D53" s="11" t="inlineStr">
        <is>
          <t>500 × SL</t>
        </is>
      </c>
      <c r="E53" s="13" t="inlineStr">
        <is>
          <t>proposed</t>
        </is>
      </c>
      <c r="F53" s="11" t="inlineStr">
        <is>
          <t>tune in playtest</t>
        </is>
      </c>
    </row>
    <row r="54">
      <c r="A54" s="11" t="inlineStr">
        <is>
          <t>SPECIALS</t>
        </is>
      </c>
      <c r="B54" s="11" t="inlineStr">
        <is>
          <t>Cannon (Basic) recharge</t>
        </is>
      </c>
      <c r="C54" s="11" t="inlineStr">
        <is>
          <t>30s base</t>
        </is>
      </c>
      <c r="D54" s="11" t="inlineStr">
        <is>
          <t>AoE chip on tasks</t>
        </is>
      </c>
      <c r="E54" s="12" t="inlineStr">
        <is>
          <t>IOM-sourced</t>
        </is>
      </c>
      <c r="F54" s="11" t="inlineStr">
        <is>
          <t>wiki Bombs; Bombs “Basic / Chain”</t>
        </is>
      </c>
    </row>
    <row r="55">
      <c r="A55" s="11" t="inlineStr">
        <is>
          <t>SPECIALS</t>
        </is>
      </c>
      <c r="B55" s="11" t="inlineStr">
        <is>
          <t>Chain Cannon recharge</t>
        </is>
      </c>
      <c r="C55" s="11" t="inlineStr">
        <is>
          <t>60s base (pulses 1.25s apart)</t>
        </is>
      </c>
      <c r="D55" s="11" t="inlineStr">
        <is>
          <t>Multi-hit clear</t>
        </is>
      </c>
      <c r="E55" s="12" t="inlineStr">
        <is>
          <t>IOM-sourced</t>
        </is>
      </c>
      <c r="F55" s="11" t="inlineStr">
        <is>
          <t>wiki Bombs; Auto-Bomber 1.25s</t>
        </is>
      </c>
    </row>
    <row r="56">
      <c r="A56" s="11" t="inlineStr">
        <is>
          <t>SPECIALS</t>
        </is>
      </c>
      <c r="B56" s="11" t="inlineStr">
        <is>
          <t>Loot Mark (Plenty-lite) recharge</t>
        </is>
      </c>
      <c r="C56" s="11" t="inlineStr">
        <is>
          <t>Proposed 110s</t>
        </is>
      </c>
      <c r="D56" s="11" t="inlineStr">
        <is>
          <t>Next kills +ore/gold mark</t>
        </is>
      </c>
      <c r="E56" s="13" t="inlineStr">
        <is>
          <t>proposed</t>
        </is>
      </c>
      <c r="F56" s="11" t="inlineStr">
        <is>
          <t>Bomb of Plenty 110s — wiki Bombs; tune in playtest</t>
        </is>
      </c>
    </row>
    <row r="57">
      <c r="A57" s="11" t="inlineStr">
        <is>
          <t>SPECIALS</t>
        </is>
      </c>
      <c r="B57" s="11" t="inlineStr">
        <is>
          <t>Special damage ladder</t>
        </is>
      </c>
      <c r="C57" s="11" t="inlineStr">
        <is>
          <t>+20%/lv</t>
        </is>
      </c>
      <c r="D57" s="11" t="inlineStr">
        <is>
          <t>max Proposed 16</t>
        </is>
      </c>
      <c r="E57" s="13" t="inlineStr">
        <is>
          <t>proposed</t>
        </is>
      </c>
      <c r="F57" s="11" t="inlineStr">
        <is>
          <t>Bomb Damage +20% unlock Lv20 — wiki Upgrades</t>
        </is>
      </c>
    </row>
    <row r="58">
      <c r="A58" s="11" t="inlineStr">
        <is>
          <t>SPECIALS</t>
        </is>
      </c>
      <c r="B58" s="11" t="inlineStr">
        <is>
          <t>Special recharge ladder</t>
        </is>
      </c>
      <c r="C58" s="11" t="inlineStr">
        <is>
          <t>+1%/lv</t>
        </is>
      </c>
      <c r="D58" s="11" t="inlineStr">
        <is>
          <t>max Proposed 16; open earlier at SL 11</t>
        </is>
      </c>
      <c r="E58" s="13" t="inlineStr">
        <is>
          <t>proposed</t>
        </is>
      </c>
      <c r="F58" s="11" t="inlineStr">
        <is>
          <t>Bomb Recharge +1% unlock Lv60 — wiki Upgrades</t>
        </is>
      </c>
    </row>
    <row r="59">
      <c r="A59" s="11" t="inlineStr">
        <is>
          <t>SPECIALS</t>
        </is>
      </c>
      <c r="B59" s="11" t="inlineStr">
        <is>
          <t>Auto-Cannon (Prayer)</t>
        </is>
      </c>
      <c r="C59" s="11" t="inlineStr">
        <is>
          <t>Auto-fire every 1.25s</t>
        </is>
      </c>
      <c r="D59" s="11" t="inlineStr">
        <is>
          <t>Costs 10 Prayer points (IOM Auto-Bomber 10 SP)</t>
        </is>
      </c>
      <c r="E59" s="12" t="inlineStr">
        <is>
          <t>IOM-sourced</t>
        </is>
      </c>
      <c r="F59" s="11" t="inlineStr">
        <is>
          <t>wiki Skill-Tree; Bombs “Auto-Bomber”</t>
        </is>
      </c>
    </row>
    <row r="60">
      <c r="A60" s="11" t="inlineStr">
        <is>
          <t>SPECIALS</t>
        </is>
      </c>
      <c r="B60" s="11" t="inlineStr">
        <is>
          <t>Tier Test rule</t>
        </is>
      </c>
      <c r="C60" s="11" t="inlineStr">
        <is>
          <t>Specials deal 0 damage to Tier Tests; helpers muted</t>
        </is>
      </c>
      <c r="D60" s="11" t="inlineStr">
        <is>
          <t>Weapon bolts only</t>
        </is>
      </c>
      <c r="E60" s="12" t="inlineStr">
        <is>
          <t>LOCKED decision #1</t>
        </is>
      </c>
      <c r="F60" s="11" t="inlineStr">
        <is>
          <t>wiki Bombs / Obelisk</t>
        </is>
      </c>
    </row>
    <row r="61">
      <c r="A61" s="11" t="inlineStr">
        <is>
          <t>HELPERS</t>
        </is>
      </c>
      <c r="B61" s="11" t="inlineStr">
        <is>
          <t>Warrior (Briar) hire</t>
        </is>
      </c>
      <c r="C61" s="11" t="inlineStr">
        <is>
          <t>140g</t>
        </is>
      </c>
      <c r="D61" s="11" t="inlineStr">
        <is>
          <t>11 dmg / 1900ms</t>
        </is>
      </c>
      <c r="E61" s="12" t="inlineStr">
        <is>
          <t>sourced (live)</t>
        </is>
      </c>
      <c r="F61" s="11" t="inlineStr">
        <is>
          <t>HUNTER_COMBAT.briar</t>
        </is>
      </c>
    </row>
    <row r="62">
      <c r="A62" s="11" t="inlineStr">
        <is>
          <t>HELPERS</t>
        </is>
      </c>
      <c r="B62" s="11" t="inlineStr">
        <is>
          <t>Archer (Quill) hire</t>
        </is>
      </c>
      <c r="C62" s="11" t="inlineStr">
        <is>
          <t>900g</t>
        </is>
      </c>
      <c r="D62" s="11" t="inlineStr">
        <is>
          <t>4 dmg / 1200ms</t>
        </is>
      </c>
      <c r="E62" s="12" t="inlineStr">
        <is>
          <t>sourced (live)</t>
        </is>
      </c>
      <c r="F62" s="11" t="inlineStr">
        <is>
          <t>live retune boss1</t>
        </is>
      </c>
    </row>
    <row r="63">
      <c r="A63" s="11" t="inlineStr">
        <is>
          <t>HELPERS</t>
        </is>
      </c>
      <c r="B63" s="11" t="inlineStr">
        <is>
          <t>Berserker (Moss) hire</t>
        </is>
      </c>
      <c r="C63" s="11" t="inlineStr">
        <is>
          <t>2000g</t>
        </is>
      </c>
      <c r="D63" s="11" t="inlineStr">
        <is>
          <t>13 dmg / 2100ms</t>
        </is>
      </c>
      <c r="E63" s="12" t="inlineStr">
        <is>
          <t>sourced (live)</t>
        </is>
      </c>
      <c r="F63" s="11" t="inlineStr">
        <is>
          <t>live</t>
        </is>
      </c>
    </row>
    <row r="64">
      <c r="A64" s="11" t="inlineStr">
        <is>
          <t>HELPERS</t>
        </is>
      </c>
      <c r="B64" s="11" t="inlineStr">
        <is>
          <t>Mage (Ember) hire</t>
        </is>
      </c>
      <c r="C64" s="11" t="inlineStr">
        <is>
          <t>4200g</t>
        </is>
      </c>
      <c r="D64" s="11" t="inlineStr">
        <is>
          <t>5 dmg / 1300ms</t>
        </is>
      </c>
      <c r="E64" s="12" t="inlineStr">
        <is>
          <t>sourced (live)</t>
        </is>
      </c>
      <c r="F64" s="11" t="inlineStr">
        <is>
          <t>live</t>
        </is>
      </c>
    </row>
    <row r="65">
      <c r="A65" s="11" t="inlineStr">
        <is>
          <t>HELPERS</t>
        </is>
      </c>
      <c r="B65" s="11" t="inlineStr">
        <is>
          <t>Helper Power</t>
        </is>
      </c>
      <c r="C65" s="11" t="inlineStr">
        <is>
          <t>+30%/lv max20</t>
        </is>
      </c>
      <c r="D65" s="11" t="inlineStr">
        <is>
          <t>Keep live hunter_*</t>
        </is>
      </c>
      <c r="E65" s="12" t="inlineStr">
        <is>
          <t>sourced (live)</t>
        </is>
      </c>
      <c r="F65" s="11" t="inlineStr">
        <is>
          <t>js/data.js</t>
        </is>
      </c>
    </row>
    <row r="66">
      <c r="A66" s="11" t="inlineStr">
        <is>
          <t>HELPERS</t>
        </is>
      </c>
      <c r="B66" s="11" t="inlineStr">
        <is>
          <t>Bigger Hits</t>
        </is>
      </c>
      <c r="C66" s="11" t="inlineStr">
        <is>
          <t>+40%/lv max15</t>
        </is>
      </c>
      <c r="D66" s="11" t="inlineStr">
        <is>
          <t>Keep live</t>
        </is>
      </c>
      <c r="E66" s="12" t="inlineStr">
        <is>
          <t>sourced (live)</t>
        </is>
      </c>
      <c r="F66" s="11" t="inlineStr">
        <is>
          <t>js/data.js</t>
        </is>
      </c>
    </row>
    <row r="67">
      <c r="A67" s="11" t="inlineStr">
        <is>
          <t>HELPERS</t>
        </is>
      </c>
      <c r="B67" s="11" t="inlineStr">
        <is>
          <t>Faster Attacks</t>
        </is>
      </c>
      <c r="C67" s="11" t="inlineStr">
        <is>
          <t>+30%/lv max12</t>
        </is>
      </c>
      <c r="D67" s="11" t="inlineStr">
        <is>
          <t>Keep live</t>
        </is>
      </c>
      <c r="E67" s="12" t="inlineStr">
        <is>
          <t>sourced (live)</t>
        </is>
      </c>
      <c r="F67" s="11" t="inlineStr">
        <is>
          <t>js/data.js</t>
        </is>
      </c>
    </row>
    <row r="68">
      <c r="A68" s="11" t="inlineStr">
        <is>
          <t>HELPERS</t>
        </is>
      </c>
      <c r="B68" s="11" t="inlineStr">
        <is>
          <t>Link helper chip to weapon weight</t>
        </is>
      </c>
      <c r="C68" s="11" t="inlineStr">
        <is>
          <t>Proposed later after Phase 1; keep independent tracks until then</t>
        </is>
      </c>
      <c r="D68" s="11" t="inlineStr">
        <is>
          <t>IOM Drone Damage = % of Pickaxe +20%/lv max10</t>
        </is>
      </c>
      <c r="E68" s="13" t="inlineStr">
        <is>
          <t>proposed later</t>
        </is>
      </c>
      <c r="F68" s="11" t="inlineStr">
        <is>
          <t>DESIGN.md; wiki Drones</t>
        </is>
      </c>
    </row>
    <row r="69">
      <c r="A69" s="11" t="inlineStr">
        <is>
          <t>INCOME</t>
        </is>
      </c>
      <c r="B69" s="11" t="inlineStr">
        <is>
          <t>~8–10 min solo gold/min</t>
        </is>
      </c>
      <c r="C69" s="11" t="inlineStr">
        <is>
          <t>7–8</t>
        </is>
      </c>
      <c r="D69" s="11" t="inlineStr">
        <is>
          <t>Sp/min ~3</t>
        </is>
      </c>
      <c r="E69" s="12" t="inlineStr">
        <is>
          <t>sourced (design)</t>
        </is>
      </c>
      <c r="F69" s="11" t="inlineStr">
        <is>
          <t>Early Pacing “AFK L1 earn calibration”</t>
        </is>
      </c>
    </row>
    <row r="70">
      <c r="A70" s="11" t="inlineStr">
        <is>
          <t>INCOME</t>
        </is>
      </c>
      <c r="B70" s="11" t="inlineStr">
        <is>
          <t>~15–25 min + Warrior gold/min</t>
        </is>
      </c>
      <c r="C70" s="11" t="inlineStr">
        <is>
          <t>10–16</t>
        </is>
      </c>
      <c r="D70" s="11" t="inlineStr">
        <is>
          <t>Sp/min 4–6.5</t>
        </is>
      </c>
      <c r="E70" s="12" t="inlineStr">
        <is>
          <t>sourced (design)</t>
        </is>
      </c>
      <c r="F70" s="11" t="inlineStr">
        <is>
          <t>Early Pacing; time-gates-to-costs.md</t>
        </is>
      </c>
    </row>
    <row r="71">
      <c r="A71" s="11" t="inlineStr">
        <is>
          <t>INCOME</t>
        </is>
      </c>
      <c r="B71" s="11" t="inlineStr">
        <is>
          <t>Tier Test 1 meter</t>
        </is>
      </c>
      <c r="C71" s="11" t="inlineStr">
        <is>
          <t>120 Slayer points</t>
        </is>
      </c>
      <c r="D71" s="11" t="inlineStr">
        <is>
          <t>~20–40 min at those rates</t>
        </is>
      </c>
      <c r="E71" s="12" t="inlineStr">
        <is>
          <t>sourced (live)</t>
        </is>
      </c>
      <c r="F71" s="11" t="inlineStr">
        <is>
          <t>markedPrey.sewer_king.bossCost</t>
        </is>
      </c>
    </row>
    <row r="72">
      <c r="A72" s="11" t="inlineStr">
        <is>
          <t>SMITHING</t>
        </is>
      </c>
      <c r="B72" s="11" t="inlineStr">
        <is>
          <t>Tempered Edge</t>
        </is>
      </c>
      <c r="C72" s="11" t="inlineStr">
        <is>
          <t>+3% weapon damage /lv</t>
        </is>
      </c>
      <c r="D72" s="11" t="inlineStr">
        <is>
          <t>max 42; unlock SL 2 (IOM @OB6 — open earlier proposed)</t>
        </is>
      </c>
      <c r="E72" s="13" t="inlineStr">
        <is>
          <t>IOM-sourced / unlock proposed earlier</t>
        </is>
      </c>
      <c r="F72" s="11" t="inlineStr">
        <is>
          <t>wiki Workshop; Damage “Workshop Pickaxe Damage”</t>
        </is>
      </c>
    </row>
    <row r="73">
      <c r="A73" s="11" t="inlineStr">
        <is>
          <t>SMITHING</t>
        </is>
      </c>
      <c r="B73" s="11" t="inlineStr">
        <is>
          <t>Packed Powder</t>
        </is>
      </c>
      <c r="C73" s="11" t="inlineStr">
        <is>
          <t>+5% special damage /lv</t>
        </is>
      </c>
      <c r="D73" s="11" t="inlineStr">
        <is>
          <t>max Proposed 20; unlock SL 5</t>
        </is>
      </c>
      <c r="E73" s="13" t="inlineStr">
        <is>
          <t>proposed</t>
        </is>
      </c>
      <c r="F73" s="11" t="inlineStr">
        <is>
          <t>Workshop bomb line; tune in playtest</t>
        </is>
      </c>
    </row>
    <row r="74">
      <c r="A74" s="11" t="inlineStr">
        <is>
          <t>SMITHING</t>
        </is>
      </c>
      <c r="B74" s="11" t="inlineStr">
        <is>
          <t>Keep live forge one-shots</t>
        </is>
      </c>
      <c r="C74" s="11" t="inlineStr">
        <is>
          <t>Pelt Guard / Fang Charm / Thread Tip</t>
        </is>
      </c>
      <c r="D74" s="11" t="inlineStr">
        <is>
          <t>1 each; mats</t>
        </is>
      </c>
      <c r="E74" s="12" t="inlineStr">
        <is>
          <t>sourced (live)</t>
        </is>
      </c>
      <c r="F74" s="11" t="inlineStr">
        <is>
          <t>forge_*; loot-sink.md</t>
        </is>
      </c>
    </row>
    <row r="75">
      <c r="A75" s="11" t="inlineStr">
        <is>
          <t>PRAYER</t>
        </is>
      </c>
      <c r="B75" s="11" t="inlineStr">
        <is>
          <t>Prayer points earn</t>
        </is>
      </c>
      <c r="C75" s="11" t="inlineStr">
        <is>
          <t>Proposed: 1 PP per Tier Test clear + rare task finish bonus</t>
        </is>
      </c>
      <c r="D75" s="11" t="inlineStr">
        <is>
          <t>No gem shop in Phase 1</t>
        </is>
      </c>
      <c r="E75" s="13" t="inlineStr">
        <is>
          <t>proposed</t>
        </is>
      </c>
      <c r="F75" s="11" t="inlineStr">
        <is>
          <t>tune in playtest</t>
        </is>
      </c>
    </row>
    <row r="76">
      <c r="A76" s="11" t="inlineStr">
        <is>
          <t>PRAYER</t>
        </is>
      </c>
      <c r="B76" s="11" t="inlineStr">
        <is>
          <t>Sharp Eye</t>
        </is>
      </c>
      <c r="C76" s="11" t="inlineStr">
        <is>
          <t>1 PP → +5% crit chance, +15% crit dmg</t>
        </is>
      </c>
      <c r="D76" s="11" t="inlineStr">
        <is>
          <t>Lucky Strikes twin</t>
        </is>
      </c>
      <c r="E76" s="12" t="inlineStr">
        <is>
          <t>IOM-sourced twin</t>
        </is>
      </c>
      <c r="F76" s="11" t="inlineStr">
        <is>
          <t>wiki Skill-Tree</t>
        </is>
      </c>
    </row>
    <row r="77">
      <c r="A77" s="11" t="inlineStr">
        <is>
          <t>PRAYER</t>
        </is>
      </c>
      <c r="B77" s="11" t="inlineStr">
        <is>
          <t>Thick Hide</t>
        </is>
      </c>
      <c r="C77" s="11" t="inlineStr">
        <is>
          <t>1 PP → +20% weapon damage</t>
        </is>
      </c>
      <c r="D77" s="11" t="inlineStr">
        <is>
          <t>Swing Harder twin</t>
        </is>
      </c>
      <c r="E77" s="12" t="inlineStr">
        <is>
          <t>IOM-sourced twin</t>
        </is>
      </c>
      <c r="F77" s="11" t="inlineStr">
        <is>
          <t>wiki Skill-Tree</t>
        </is>
      </c>
    </row>
    <row r="78">
      <c r="A78" s="11" t="inlineStr">
        <is>
          <t>PRAYER</t>
        </is>
      </c>
      <c r="B78" s="11" t="inlineStr">
        <is>
          <t>Easy Assignments</t>
        </is>
      </c>
      <c r="C78" s="11" t="inlineStr">
        <is>
          <t>3 PP → Task quota −10%, +20% Sp gain</t>
        </is>
      </c>
      <c r="D78" s="11" t="inlineStr">
        <is>
          <t>Easy Progressor twin</t>
        </is>
      </c>
      <c r="E78" s="12" t="inlineStr">
        <is>
          <t>IOM-sourced twin</t>
        </is>
      </c>
      <c r="F78" s="11" t="inlineStr">
        <is>
          <t>wiki Skill-Tree</t>
        </is>
      </c>
    </row>
    <row r="79">
      <c r="A79" s="11" t="inlineStr">
        <is>
          <t>PRAYER</t>
        </is>
      </c>
      <c r="B79" s="11" t="inlineStr">
        <is>
          <t>Restful Sleep</t>
        </is>
      </c>
      <c r="C79" s="11" t="inlineStr">
        <is>
          <t>5 PP → Offline loot ×2, +1 casket bank</t>
        </is>
      </c>
      <c r="D79" s="11" t="inlineStr">
        <is>
          <t>Chronokeeper twin</t>
        </is>
      </c>
      <c r="E79" s="12" t="inlineStr">
        <is>
          <t>IOM-sourced twin</t>
        </is>
      </c>
      <c r="F79" s="11" t="inlineStr">
        <is>
          <t>wiki Skill-Tree</t>
        </is>
      </c>
    </row>
    <row r="80">
      <c r="A80" s="11" t="inlineStr">
        <is>
          <t>PRAYER</t>
        </is>
      </c>
      <c r="B80" s="11" t="inlineStr">
        <is>
          <t>Auto-Cannon</t>
        </is>
      </c>
      <c r="C80" s="11" t="inlineStr">
        <is>
          <t>10 PP → Auto-fire special every 1.25s</t>
        </is>
      </c>
      <c r="D80" s="11" t="inlineStr">
        <is>
          <t>Auto-Bomber twin</t>
        </is>
      </c>
      <c r="E80" s="12" t="inlineStr">
        <is>
          <t>IOM-sourced twin</t>
        </is>
      </c>
      <c r="F80" s="11" t="inlineStr">
        <is>
          <t>wiki Skill-Tree</t>
        </is>
      </c>
    </row>
    <row r="81">
      <c r="A81" s="11" t="inlineStr">
        <is>
          <t>PRESTIGE</t>
        </is>
      </c>
      <c r="B81" s="11" t="inlineStr">
        <is>
          <t>Soft-open</t>
        </is>
      </c>
      <c r="C81" s="11" t="inlineStr">
        <is>
          <t>SL ≥ 10 and combat rank ≥ 20</t>
        </is>
      </c>
      <c r="D81" s="11" t="inlineStr">
        <is>
          <t>Inside World 1</t>
        </is>
      </c>
      <c r="E81" s="12" t="inlineStr">
        <is>
          <t>IOM-sourced</t>
        </is>
      </c>
      <c r="F81" s="11" t="inlineStr">
        <is>
          <t>wiki Prestige min level 20</t>
        </is>
      </c>
    </row>
    <row r="82">
      <c r="A82" s="11" t="inlineStr">
        <is>
          <t>PRESTIGE</t>
        </is>
      </c>
      <c r="B82" s="11" t="inlineStr">
        <is>
          <t>PP / reward points formula (W1)</t>
        </is>
      </c>
      <c r="C82" s="11" t="inlineStr">
        <is>
          <t>Proposed mirror 12 × 1.084^(rank−10)</t>
        </is>
      </c>
      <c r="D82" s="11" t="inlineStr">
        <is>
          <t>See COST FORMULA row</t>
        </is>
      </c>
      <c r="E82" s="13" t="inlineStr">
        <is>
          <t>proposed</t>
        </is>
      </c>
      <c r="F82" s="11" t="inlineStr">
        <is>
          <t>wiki Prestige below Lv200</t>
        </is>
      </c>
    </row>
    <row r="83">
      <c r="A83" s="11" t="inlineStr">
        <is>
          <t>PRESTIGE</t>
        </is>
      </c>
      <c r="B83" s="11" t="inlineStr">
        <is>
          <t>Resets</t>
        </is>
      </c>
      <c r="C83" s="11" t="inlineStr">
        <is>
          <t>Rank progress, coins, run upgrades, task counters</t>
        </is>
      </c>
      <c r="D83" s="11" t="inlineStr"/>
      <c r="E83" s="12" t="inlineStr">
        <is>
          <t>IOM-sourced</t>
        </is>
      </c>
      <c r="F83" s="11" t="inlineStr">
        <is>
          <t>wiki Prestige</t>
        </is>
      </c>
    </row>
    <row r="84">
      <c r="A84" s="11" t="inlineStr">
        <is>
          <t>PRESTIGE</t>
        </is>
      </c>
      <c r="B84" s="11" t="inlineStr">
        <is>
          <t>Keeps</t>
        </is>
      </c>
      <c r="C84" s="11" t="inlineStr">
        <is>
          <t>Prayer, Smithing, helpers, relics, mats, scraps, bestiary mastery, areas</t>
        </is>
      </c>
      <c r="D84" s="11" t="inlineStr">
        <is>
          <t>Live doPrestige keep set + IOM persist</t>
        </is>
      </c>
      <c r="E84" s="12" t="inlineStr">
        <is>
          <t>sourced</t>
        </is>
      </c>
      <c r="F84" s="11" t="inlineStr">
        <is>
          <t>Prestige “What resets / persists”</t>
        </is>
      </c>
    </row>
    <row r="85">
      <c r="A85" s="11" t="inlineStr">
        <is>
          <t>PRESTIGE</t>
        </is>
      </c>
      <c r="B85" s="11" t="inlineStr">
        <is>
          <t>First artifact</t>
        </is>
      </c>
      <c r="C85" s="11" t="inlineStr">
        <is>
          <t>+10%/lv weapon damage, max 32, cost 1 reward point</t>
        </is>
      </c>
      <c r="D85" s="11" t="inlineStr">
        <is>
          <t>T1 Pickaxe Damage twin</t>
        </is>
      </c>
      <c r="E85" s="12" t="inlineStr">
        <is>
          <t>IOM-sourced</t>
        </is>
      </c>
      <c r="F85" s="11" t="inlineStr">
        <is>
          <t>wiki Prestige; Damage “Artifact T1”</t>
        </is>
      </c>
    </row>
    <row r="86">
      <c r="A86" s="11" t="inlineStr">
        <is>
          <t>W2 GATE</t>
        </is>
      </c>
      <c r="B86" s="11" t="inlineStr">
        <is>
          <t>IOM exact</t>
        </is>
      </c>
      <c r="C86" s="11" t="inlineStr">
        <is>
          <t>2,000 Gems + 2,000 Stone + 2,000 Magma + 2,000 Virtual Veins</t>
        </is>
      </c>
      <c r="D86" s="11" t="inlineStr">
        <is>
          <t>Cite only — not copied as gem IAP</t>
        </is>
      </c>
      <c r="E86" s="12" t="inlineStr">
        <is>
          <t>IOM-sourced</t>
        </is>
      </c>
      <c r="F86" s="11" t="inlineStr">
        <is>
          <t>Obelisk &amp; Floors “World 2 unlock”; wiki Construct</t>
        </is>
      </c>
    </row>
    <row r="87">
      <c r="A87" s="11" t="inlineStr">
        <is>
          <t>W2 GATE</t>
        </is>
      </c>
      <c r="B87" s="11" t="inlineStr">
        <is>
          <t>Proposed AFK twin</t>
        </is>
      </c>
      <c r="C87" s="11" t="inlineStr">
        <is>
          <t>2,000 Sp banked OR 500g×SL plus 3 signature mats ×50 crafted at Smithing monument</t>
        </is>
      </c>
      <c r="D87" s="11" t="inlineStr">
        <is>
          <t>Ready players ~1–2 focused sessions after SL 19 — not days</t>
        </is>
      </c>
      <c r="E87" s="13" t="inlineStr">
        <is>
          <t>proposed</t>
        </is>
      </c>
      <c r="F87" s="11" t="inlineStr">
        <is>
          <t>Takeaway T6; tune in playtest</t>
        </is>
      </c>
    </row>
  </sheetData>
  <autoFilter ref="A1:F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70" customWidth="1" min="3" max="3"/>
    <col width="36" customWidth="1" min="4" max="4"/>
  </cols>
  <sheetData>
    <row r="1">
      <c r="A1" s="10" t="inlineStr">
        <is>
          <t>Milestone</t>
        </is>
      </c>
      <c r="B1" s="10" t="inlineStr">
        <is>
          <t>Target time</t>
        </is>
      </c>
      <c r="C1" s="10" t="inlineStr">
        <is>
          <t>IOM reference (APPROX, cited)</t>
        </is>
      </c>
      <c r="D1" s="10" t="inlineStr">
        <is>
          <t>Notes</t>
        </is>
      </c>
    </row>
    <row r="2">
      <c r="A2" s="11" t="inlineStr">
        <is>
          <t>First unlock (weapon / Idle Power)</t>
        </is>
      </c>
      <c r="B2" s="11" t="inlineStr">
        <is>
          <t>≤ 1 min</t>
        </is>
      </c>
      <c r="C2" s="11" t="inlineStr">
        <is>
          <t>IOM Upgrade Pickaxe from Lv1 — wiki Upgrades (exact unlock; time is product ask)</t>
        </is>
      </c>
      <c r="D2" s="11" t="inlineStr">
        <is>
          <t>Product ask</t>
        </is>
      </c>
    </row>
    <row r="3">
      <c r="A3" s="11" t="inlineStr">
        <is>
          <t>First special (Cannon)</t>
        </is>
      </c>
      <c r="B3" s="11" t="inlineStr">
        <is>
          <t>~ 5 min</t>
        </is>
      </c>
      <c r="C3" s="11" t="inlineStr">
        <is>
          <t>Basic Bomb is default early tool — wiki Bombs (exact tool; time is product ask)</t>
        </is>
      </c>
      <c r="D3" s="11" t="inlineStr">
        <is>
          <t>Product ask</t>
        </is>
      </c>
    </row>
    <row r="4">
      <c r="A4" s="11" t="inlineStr">
        <is>
          <t>First helper (Warrior)</t>
        </is>
      </c>
      <c r="B4" s="11" t="inlineStr">
        <is>
          <t>~ 10 min</t>
        </is>
      </c>
      <c r="C4" s="11" t="inlineStr">
        <is>
          <t>Drones @OB2 early — wiki Obelisk; live Briar ~140g ≈ 10–15 min (Early Pacing earn table; hunter_briar)</t>
        </is>
      </c>
      <c r="D4" s="11" t="inlineStr">
        <is>
          <t>Product ask + live earn</t>
        </is>
      </c>
    </row>
    <row r="5">
      <c r="A5" s="11" t="inlineStr">
        <is>
          <t>First boss (Tier Test 1)</t>
        </is>
      </c>
      <c r="B5" s="11" t="inlineStr">
        <is>
          <t>20–40 min</t>
        </is>
      </c>
      <c r="C5" s="11" t="inlineStr">
        <is>
          <t>Live L1 Elder meter design — Early Pacing “L1 meter fill”; design/level-boss-progression.md</t>
        </is>
      </c>
      <c r="D5" s="11" t="inlineStr">
        <is>
          <t>Live meter 120 Sp</t>
        </is>
      </c>
    </row>
    <row r="6">
      <c r="A6" s="11" t="inlineStr">
        <is>
          <t>First prestige</t>
        </is>
      </c>
      <c r="B6" s="11" t="inlineStr">
        <is>
          <t>Proposed ~2–4 h engaged</t>
        </is>
      </c>
      <c r="C6" s="11" t="inlineStr">
        <is>
          <t>IOM: first prestige inside W1, min Lv20 — wiki Prestige; community when-to is APPROX (Prestige “Community when-to-prestige”) — no authoritative hour figure</t>
        </is>
      </c>
      <c r="D6" s="11" t="inlineStr">
        <is>
          <t>Proposed — tune in playtest</t>
        </is>
      </c>
    </row>
    <row r="7">
      <c r="A7" s="11" t="inlineStr">
        <is>
          <t>World 2 marker</t>
        </is>
      </c>
      <c r="B7" s="11" t="inlineStr">
        <is>
          <t>Proposed ~6–12 h engaged (not multi-day)</t>
        </is>
      </c>
      <c r="C7" s="11" t="inlineStr">
        <is>
          <t>IOM Construct@OB19 exact; time to W2 monument APPROX “few days” of grind after (Early Pacing “KEY: Time to World 2”; wiki Progression Guide). We compress per Takeaway T6</t>
        </is>
      </c>
      <c r="D7" s="11" t="inlineStr">
        <is>
          <t>Proposed compress — tune in playtest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2" customWidth="1" min="3" max="3"/>
    <col width="55" customWidth="1" min="4" max="4"/>
  </cols>
  <sheetData>
    <row r="1">
      <c r="A1" s="10" t="inlineStr">
        <is>
          <t>OSRS name</t>
        </is>
      </c>
      <c r="B1" s="10" t="inlineStr">
        <is>
          <t>Original stand-in</t>
        </is>
      </c>
      <c r="C1" s="10" t="inlineStr">
        <is>
          <t>Category</t>
        </is>
      </c>
      <c r="D1" s="10" t="inlineStr">
        <is>
          <t>One-line player description</t>
        </is>
      </c>
    </row>
    <row r="2">
      <c r="A2" s="11" t="inlineStr">
        <is>
          <t>Slayer level</t>
        </is>
      </c>
      <c r="B2" s="11" t="inlineStr">
        <is>
          <t>Hunt Rank</t>
        </is>
      </c>
      <c r="C2" s="11" t="inlineStr">
        <is>
          <t>Systems &amp; currencies</t>
        </is>
      </c>
      <c r="D2" s="11" t="inlineStr">
        <is>
          <t>Main gate; rises when you clear a Tier Test.</t>
        </is>
      </c>
    </row>
    <row r="3">
      <c r="A3" s="11" t="inlineStr">
        <is>
          <t>Slayer points</t>
        </is>
      </c>
      <c r="B3" s="11" t="inlineStr">
        <is>
          <t>Mark Chips</t>
        </is>
      </c>
      <c r="C3" s="11" t="inlineStr">
        <is>
          <t>Systems &amp; currencies</t>
        </is>
      </c>
      <c r="D3" s="11" t="inlineStr">
        <is>
          <t>Earned on kills/tasks; open Tier Tests.</t>
        </is>
      </c>
    </row>
    <row r="4">
      <c r="A4" s="11" t="inlineStr">
        <is>
          <t>Slayer reward points</t>
        </is>
      </c>
      <c r="B4" s="11" t="inlineStr">
        <is>
          <t>Crest Marks</t>
        </is>
      </c>
      <c r="C4" s="11" t="inlineStr">
        <is>
          <t>Systems &amp; currencies</t>
        </is>
      </c>
      <c r="D4" s="11" t="inlineStr">
        <is>
          <t>Prestige currency for permanent artifacts.</t>
        </is>
      </c>
    </row>
    <row r="5">
      <c r="A5" s="11" t="inlineStr">
        <is>
          <t>Coins</t>
        </is>
      </c>
      <c r="B5" s="11" t="inlineStr">
        <is>
          <t>Coins</t>
        </is>
      </c>
      <c r="C5" s="11" t="inlineStr">
        <is>
          <t>Systems &amp; currencies</t>
        </is>
      </c>
      <c r="D5" s="11" t="inlineStr">
        <is>
          <t>Main spend for run upgrades and hires.</t>
        </is>
      </c>
    </row>
    <row r="6">
      <c r="A6" s="11" t="inlineStr">
        <is>
          <t>Prayer points</t>
        </is>
      </c>
      <c r="B6" s="11" t="inlineStr">
        <is>
          <t>Vow Sparks</t>
        </is>
      </c>
      <c r="C6" s="11" t="inlineStr">
        <is>
          <t>Systems &amp; currencies</t>
        </is>
      </c>
      <c r="D6" s="11" t="inlineStr">
        <is>
          <t>Buy permanent Prayer skills.</t>
        </is>
      </c>
    </row>
    <row r="7">
      <c r="A7" s="11" t="inlineStr">
        <is>
          <t>Scraps</t>
        </is>
      </c>
      <c r="B7" s="11" t="inlineStr">
        <is>
          <t>Scraps</t>
        </is>
      </c>
      <c r="C7" s="11" t="inlineStr">
        <is>
          <t>Systems &amp; currencies</t>
        </is>
      </c>
      <c r="D7" s="11" t="inlineStr">
        <is>
          <t>Side spend in Scrapwork (keep).</t>
        </is>
      </c>
    </row>
    <row r="8">
      <c r="A8" s="11" t="inlineStr">
        <is>
          <t>Slayer Master</t>
        </is>
      </c>
      <c r="B8" s="11" t="inlineStr">
        <is>
          <t>Hunt Broker</t>
        </is>
      </c>
      <c r="C8" s="11" t="inlineStr">
        <is>
          <t>Systems &amp; currencies</t>
        </is>
      </c>
      <c r="D8" s="11" t="inlineStr">
        <is>
          <t>Gives tasks and explains the ladder.</t>
        </is>
      </c>
    </row>
    <row r="9">
      <c r="A9" s="11" t="inlineStr">
        <is>
          <t>Turael</t>
        </is>
      </c>
      <c r="B9" s="11" t="inlineStr">
        <is>
          <t>Ashen Tutor</t>
        </is>
      </c>
      <c r="C9" s="11" t="inlineStr">
        <is>
          <t>Systems &amp; currencies</t>
        </is>
      </c>
      <c r="D9" s="11" t="inlineStr">
        <is>
          <t>World-1 master — easy assignments.</t>
        </is>
      </c>
    </row>
    <row r="10">
      <c r="A10" s="11" t="inlineStr">
        <is>
          <t>Mazchna</t>
        </is>
      </c>
      <c r="B10" s="11" t="inlineStr">
        <is>
          <t>Mist Warden</t>
        </is>
      </c>
      <c r="C10" s="11" t="inlineStr">
        <is>
          <t>Systems &amp; currencies</t>
        </is>
      </c>
      <c r="D10" s="11" t="inlineStr">
        <is>
          <t>World-2 master (end marker).</t>
        </is>
      </c>
    </row>
    <row r="11">
      <c r="A11" s="11" t="inlineStr">
        <is>
          <t>Vannaka</t>
        </is>
      </c>
      <c r="B11" s="11" t="inlineStr">
        <is>
          <t>Iron Tutor</t>
        </is>
      </c>
      <c r="C11" s="11" t="inlineStr">
        <is>
          <t>Systems &amp; currencies</t>
        </is>
      </c>
      <c r="D11" s="11" t="inlineStr">
        <is>
          <t>World-3+ (out of scope).</t>
        </is>
      </c>
    </row>
    <row r="12">
      <c r="A12" s="11" t="inlineStr">
        <is>
          <t>Tier Test</t>
        </is>
      </c>
      <c r="B12" s="11" t="inlineStr">
        <is>
          <t>Apex Trial</t>
        </is>
      </c>
      <c r="C12" s="11" t="inlineStr">
        <is>
          <t>Systems &amp; currencies</t>
        </is>
      </c>
      <c r="D12" s="11" t="inlineStr">
        <is>
          <t>Short boss fight that raises Slayer level.</t>
        </is>
      </c>
    </row>
    <row r="13">
      <c r="A13" s="11" t="inlineStr">
        <is>
          <t>Slayer task</t>
        </is>
      </c>
      <c r="B13" s="11" t="inlineStr">
        <is>
          <t>Hunt Assignment</t>
        </is>
      </c>
      <c r="C13" s="11" t="inlineStr">
        <is>
          <t>Systems &amp; currencies</t>
        </is>
      </c>
      <c r="D13" s="11" t="inlineStr">
        <is>
          <t>Kill quota on one monster tier.</t>
        </is>
      </c>
    </row>
    <row r="14">
      <c r="A14" s="11" t="inlineStr">
        <is>
          <t>Prayer</t>
        </is>
      </c>
      <c r="B14" s="11" t="inlineStr">
        <is>
          <t>Vow Board</t>
        </is>
      </c>
      <c r="C14" s="11" t="inlineStr">
        <is>
          <t>Systems &amp; currencies</t>
        </is>
      </c>
      <c r="D14" s="11" t="inlineStr">
        <is>
          <t>Permanent named skills.</t>
        </is>
      </c>
    </row>
    <row r="15">
      <c r="A15" s="11" t="inlineStr">
        <is>
          <t>Smithing</t>
        </is>
      </c>
      <c r="B15" s="11" t="inlineStr">
        <is>
          <t>Anvil</t>
        </is>
      </c>
      <c r="C15" s="11" t="inlineStr">
        <is>
          <t>Systems &amp; currencies</t>
        </is>
      </c>
      <c r="D15" s="11" t="inlineStr">
        <is>
          <t>Permanent weapon/special crafts.</t>
        </is>
      </c>
    </row>
    <row r="16">
      <c r="A16" s="11" t="inlineStr">
        <is>
          <t>Scrapwork</t>
        </is>
      </c>
      <c r="B16" s="11" t="inlineStr">
        <is>
          <t>Scrap Bench</t>
        </is>
      </c>
      <c r="C16" s="11" t="inlineStr">
        <is>
          <t>Systems &amp; currencies</t>
        </is>
      </c>
      <c r="D16" s="11" t="inlineStr">
        <is>
          <t>Spend scraps (keep).</t>
        </is>
      </c>
    </row>
    <row r="17">
      <c r="A17" s="11" t="inlineStr">
        <is>
          <t>Dwarf multicannon / Cannon</t>
        </is>
      </c>
      <c r="B17" s="11" t="inlineStr">
        <is>
          <t>Bolt Battery</t>
        </is>
      </c>
      <c r="C17" s="11" t="inlineStr">
        <is>
          <t>Systems &amp; currencies</t>
        </is>
      </c>
      <c r="D17" s="11" t="inlineStr">
        <is>
          <t>Recharging special ammo.</t>
        </is>
      </c>
    </row>
    <row r="18">
      <c r="A18" s="11" t="inlineStr">
        <is>
          <t>Chain Cannon</t>
        </is>
      </c>
      <c r="B18" s="11" t="inlineStr">
        <is>
          <t>Ripple Battery</t>
        </is>
      </c>
      <c r="C18" s="11" t="inlineStr">
        <is>
          <t>Systems &amp; currencies</t>
        </is>
      </c>
      <c r="D18" s="11" t="inlineStr">
        <is>
          <t>Multi-pulse special.</t>
        </is>
      </c>
    </row>
    <row r="19">
      <c r="A19" s="11" t="inlineStr">
        <is>
          <t>Auto-Cannon</t>
        </is>
      </c>
      <c r="B19" s="11" t="inlineStr">
        <is>
          <t>Auto-Battery</t>
        </is>
      </c>
      <c r="C19" s="11" t="inlineStr">
        <is>
          <t>Systems &amp; currencies</t>
        </is>
      </c>
      <c r="D19" s="11" t="inlineStr">
        <is>
          <t>Prayer that fires specials for you.</t>
        </is>
      </c>
    </row>
    <row r="20">
      <c r="A20" s="11" t="inlineStr">
        <is>
          <t>Hired helpers</t>
        </is>
      </c>
      <c r="B20" s="11" t="inlineStr">
        <is>
          <t>Company</t>
        </is>
      </c>
      <c r="C20" s="11" t="inlineStr">
        <is>
          <t>Systems &amp; currencies</t>
        </is>
      </c>
      <c r="D20" s="11" t="inlineStr">
        <is>
          <t>Auto attackers you hire.</t>
        </is>
      </c>
    </row>
    <row r="21">
      <c r="A21" s="11" t="inlineStr">
        <is>
          <t>Combat rank</t>
        </is>
      </c>
      <c r="B21" s="11" t="inlineStr">
        <is>
          <t>Field Rank</t>
        </is>
      </c>
      <c r="C21" s="11" t="inlineStr">
        <is>
          <t>Systems &amp; currencies</t>
        </is>
      </c>
      <c r="D21" s="11" t="inlineStr">
        <is>
          <t>Resets on prestige; gates first prestige.</t>
        </is>
      </c>
    </row>
    <row r="22">
      <c r="A22" s="11" t="inlineStr">
        <is>
          <t>Relic casket</t>
        </is>
      </c>
      <c r="B22" s="11" t="inlineStr">
        <is>
          <t>Relic Casket</t>
        </is>
      </c>
      <c r="C22" s="11" t="inlineStr">
        <is>
          <t>Systems &amp; currencies</t>
        </is>
      </c>
      <c r="D22" s="11" t="inlineStr">
        <is>
          <t>Permanent chest tube (keep).</t>
        </is>
      </c>
    </row>
    <row r="23">
      <c r="A23" s="11" t="inlineStr">
        <is>
          <t>Loot casket</t>
        </is>
      </c>
      <c r="B23" s="11" t="inlineStr">
        <is>
          <t>Loot Casket</t>
        </is>
      </c>
      <c r="C23" s="11" t="inlineStr">
        <is>
          <t>Systems &amp; currencies</t>
        </is>
      </c>
      <c r="D23" s="11" t="inlineStr">
        <is>
          <t>Boost chest tube (keep).</t>
        </is>
      </c>
    </row>
    <row r="24">
      <c r="A24" s="11" t="inlineStr">
        <is>
          <t>Challenges</t>
        </is>
      </c>
      <c r="B24" s="11" t="inlineStr">
        <is>
          <t>Trials</t>
        </is>
      </c>
      <c r="C24" s="11" t="inlineStr">
        <is>
          <t>Systems &amp; currencies</t>
        </is>
      </c>
      <c r="D24" s="11" t="inlineStr">
        <is>
          <t>Short goals → permanent chips.</t>
        </is>
      </c>
    </row>
    <row r="25">
      <c r="A25" s="11" t="inlineStr">
        <is>
          <t>Task Cards</t>
        </is>
      </c>
      <c r="B25" s="11" t="inlineStr">
        <is>
          <t>Assignment Cards</t>
        </is>
      </c>
      <c r="C25" s="11" t="inlineStr">
        <is>
          <t>Systems &amp; currencies</t>
        </is>
      </c>
      <c r="D25" s="11" t="inlineStr">
        <is>
          <t>Collectible task bonuses (SL 15).</t>
        </is>
      </c>
    </row>
    <row r="26">
      <c r="A26" s="11" t="inlineStr">
        <is>
          <t>Bronze weapon</t>
        </is>
      </c>
      <c r="B26" s="11" t="inlineStr">
        <is>
          <t>Ash</t>
        </is>
      </c>
      <c r="C26" s="11" t="inlineStr">
        <is>
          <t>Upgrades</t>
        </is>
      </c>
      <c r="D26" s="11" t="inlineStr">
        <is>
          <t>Gear ladder — keep costs.</t>
        </is>
      </c>
    </row>
    <row r="27">
      <c r="A27" s="11" t="inlineStr">
        <is>
          <t>Iron weapon</t>
        </is>
      </c>
      <c r="B27" s="11" t="inlineStr">
        <is>
          <t>Ember</t>
        </is>
      </c>
      <c r="C27" s="11" t="inlineStr">
        <is>
          <t>Upgrades</t>
        </is>
      </c>
      <c r="D27" s="11" t="inlineStr">
        <is>
          <t>Gear ladder — keep costs.</t>
        </is>
      </c>
    </row>
    <row r="28">
      <c r="A28" s="11" t="inlineStr">
        <is>
          <t>Steel weapon</t>
        </is>
      </c>
      <c r="B28" s="11" t="inlineStr">
        <is>
          <t>Tide</t>
        </is>
      </c>
      <c r="C28" s="11" t="inlineStr">
        <is>
          <t>Upgrades</t>
        </is>
      </c>
      <c r="D28" s="11" t="inlineStr">
        <is>
          <t>Gear ladder — keep costs.</t>
        </is>
      </c>
    </row>
    <row r="29">
      <c r="A29" s="11" t="inlineStr">
        <is>
          <t>Mithril weapon</t>
        </is>
      </c>
      <c r="B29" s="11" t="inlineStr">
        <is>
          <t>Mist</t>
        </is>
      </c>
      <c r="C29" s="11" t="inlineStr">
        <is>
          <t>Upgrades</t>
        </is>
      </c>
      <c r="D29" s="11" t="inlineStr">
        <is>
          <t>Gear ladder — keep costs.</t>
        </is>
      </c>
    </row>
    <row r="30">
      <c r="A30" s="11" t="inlineStr">
        <is>
          <t>Adamant weapon</t>
        </is>
      </c>
      <c r="B30" s="11" t="inlineStr">
        <is>
          <t>Ironbark</t>
        </is>
      </c>
      <c r="C30" s="11" t="inlineStr">
        <is>
          <t>Upgrades</t>
        </is>
      </c>
      <c r="D30" s="11" t="inlineStr">
        <is>
          <t>Gear ladder — keep costs.</t>
        </is>
      </c>
    </row>
    <row r="31">
      <c r="A31" s="11" t="inlineStr">
        <is>
          <t>Rune weapon</t>
        </is>
      </c>
      <c r="B31" s="11" t="inlineStr">
        <is>
          <t>Runemark</t>
        </is>
      </c>
      <c r="C31" s="11" t="inlineStr">
        <is>
          <t>Upgrades</t>
        </is>
      </c>
      <c r="D31" s="11" t="inlineStr">
        <is>
          <t>Gear ladder — keep costs.</t>
        </is>
      </c>
    </row>
    <row r="32">
      <c r="A32" s="11" t="inlineStr">
        <is>
          <t>Dragon weapon</t>
        </is>
      </c>
      <c r="B32" s="11" t="inlineStr">
        <is>
          <t>Drake</t>
        </is>
      </c>
      <c r="C32" s="11" t="inlineStr">
        <is>
          <t>Upgrades</t>
        </is>
      </c>
      <c r="D32" s="11" t="inlineStr">
        <is>
          <t>Gear ladder — keep costs.</t>
        </is>
      </c>
    </row>
    <row r="33">
      <c r="A33" s="11" t="inlineStr">
        <is>
          <t>Idle Power</t>
        </is>
      </c>
      <c r="B33" s="11" t="inlineStr">
        <is>
          <t>Steady Hand</t>
        </is>
      </c>
      <c r="C33" s="11" t="inlineStr">
        <is>
          <t>Upgrades</t>
        </is>
      </c>
      <c r="D33" s="11" t="inlineStr">
        <is>
          <t>Faster AFK kills.</t>
        </is>
      </c>
    </row>
    <row r="34">
      <c r="A34" s="11" t="inlineStr">
        <is>
          <t>Unlock Crits</t>
        </is>
      </c>
      <c r="B34" s="11" t="inlineStr">
        <is>
          <t>Lucky Hits</t>
        </is>
      </c>
      <c r="C34" s="11" t="inlineStr">
        <is>
          <t>Upgrades</t>
        </is>
      </c>
      <c r="D34" s="11" t="inlineStr">
        <is>
          <t>Turns crits on.</t>
        </is>
      </c>
    </row>
    <row r="35">
      <c r="A35" s="11" t="inlineStr">
        <is>
          <t>Crit Power</t>
        </is>
      </c>
      <c r="B35" s="11" t="inlineStr">
        <is>
          <t>Heavy Crits</t>
        </is>
      </c>
      <c r="C35" s="11" t="inlineStr">
        <is>
          <t>Upgrades</t>
        </is>
      </c>
      <c r="D35" s="11" t="inlineStr">
        <is>
          <t>Bigger crits.</t>
        </is>
      </c>
    </row>
    <row r="36">
      <c r="A36" s="11" t="inlineStr">
        <is>
          <t>Special Cadence</t>
        </is>
      </c>
      <c r="B36" s="11" t="inlineStr">
        <is>
          <t>Battery Tempo</t>
        </is>
      </c>
      <c r="C36" s="11" t="inlineStr">
        <is>
          <t>Upgrades</t>
        </is>
      </c>
      <c r="D36" s="11" t="inlineStr">
        <is>
          <t>Faster special recharge.</t>
        </is>
      </c>
    </row>
    <row r="37">
      <c r="A37" s="11" t="inlineStr">
        <is>
          <t>Bolt Pierce</t>
        </is>
      </c>
      <c r="B37" s="11" t="inlineStr">
        <is>
          <t>Pierce</t>
        </is>
      </c>
      <c r="C37" s="11" t="inlineStr">
        <is>
          <t>Upgrades</t>
        </is>
      </c>
      <c r="D37" s="11" t="inlineStr">
        <is>
          <t>Multi-target bolts (keep).</t>
        </is>
      </c>
    </row>
    <row r="38">
      <c r="A38" s="11" t="inlineStr">
        <is>
          <t>Bolt Bounce</t>
        </is>
      </c>
      <c r="B38" s="11" t="inlineStr">
        <is>
          <t>Ricochet</t>
        </is>
      </c>
      <c r="C38" s="11" t="inlineStr">
        <is>
          <t>Upgrades</t>
        </is>
      </c>
      <c r="D38" s="11" t="inlineStr">
        <is>
          <t>Multi-target bolts (keep).</t>
        </is>
      </c>
    </row>
    <row r="39">
      <c r="A39" s="11" t="inlineStr">
        <is>
          <t>Hunter Power</t>
        </is>
      </c>
      <c r="B39" s="11" t="inlineStr">
        <is>
          <t>Company Power</t>
        </is>
      </c>
      <c r="C39" s="11" t="inlineStr">
        <is>
          <t>Upgrades</t>
        </is>
      </c>
      <c r="D39" s="11" t="inlineStr">
        <is>
          <t>Helper ladders (keep).</t>
        </is>
      </c>
    </row>
    <row r="40">
      <c r="A40" s="11" t="inlineStr">
        <is>
          <t>Bigger Hits</t>
        </is>
      </c>
      <c r="B40" s="11" t="inlineStr">
        <is>
          <t>Heavier Swings</t>
        </is>
      </c>
      <c r="C40" s="11" t="inlineStr">
        <is>
          <t>Upgrades</t>
        </is>
      </c>
      <c r="D40" s="11" t="inlineStr">
        <is>
          <t>Helper ladders (keep).</t>
        </is>
      </c>
    </row>
    <row r="41">
      <c r="A41" s="11" t="inlineStr">
        <is>
          <t>Faster Attacks</t>
        </is>
      </c>
      <c r="B41" s="11" t="inlineStr">
        <is>
          <t>Quicker Strikes</t>
        </is>
      </c>
      <c r="C41" s="11" t="inlineStr">
        <is>
          <t>Upgrades</t>
        </is>
      </c>
      <c r="D41" s="11" t="inlineStr">
        <is>
          <t>Helper ladders (keep).</t>
        </is>
      </c>
    </row>
    <row r="42">
      <c r="A42" s="11" t="inlineStr">
        <is>
          <t>Offline Cap</t>
        </is>
      </c>
      <c r="B42" s="11" t="inlineStr">
        <is>
          <t>Longer Watch</t>
        </is>
      </c>
      <c r="C42" s="11" t="inlineStr">
        <is>
          <t>Upgrades</t>
        </is>
      </c>
      <c r="D42" s="11" t="inlineStr">
        <is>
          <t>More offline minutes.</t>
        </is>
      </c>
    </row>
    <row r="43">
      <c r="A43" s="11" t="inlineStr">
        <is>
          <t>Boss Meter Focus</t>
        </is>
      </c>
      <c r="B43" s="11" t="inlineStr">
        <is>
          <t>Trial Focus</t>
        </is>
      </c>
      <c r="C43" s="11" t="inlineStr">
        <is>
          <t>Upgrades</t>
        </is>
      </c>
      <c r="D43" s="11" t="inlineStr">
        <is>
          <t>Faster Tier Test meter fill.</t>
        </is>
      </c>
    </row>
    <row r="44">
      <c r="A44" s="11" t="inlineStr">
        <is>
          <t>Tempered Edge</t>
        </is>
      </c>
      <c r="B44" s="11" t="inlineStr">
        <is>
          <t>Tempered Edge</t>
        </is>
      </c>
      <c r="C44" s="11" t="inlineStr">
        <is>
          <t>Upgrades</t>
        </is>
      </c>
      <c r="D44" s="11" t="inlineStr">
        <is>
          <t>Smithing permanent weapon %.</t>
        </is>
      </c>
    </row>
    <row r="45">
      <c r="A45" s="11" t="inlineStr">
        <is>
          <t>Sharp Eye</t>
        </is>
      </c>
      <c r="B45" s="11" t="inlineStr">
        <is>
          <t>Keen Eye</t>
        </is>
      </c>
      <c r="C45" s="11" t="inlineStr">
        <is>
          <t>Upgrades</t>
        </is>
      </c>
      <c r="D45" s="11" t="inlineStr">
        <is>
          <t>First Prayer skills.</t>
        </is>
      </c>
    </row>
    <row r="46">
      <c r="A46" s="11" t="inlineStr">
        <is>
          <t>Thick Hide</t>
        </is>
      </c>
      <c r="B46" s="11" t="inlineStr">
        <is>
          <t>Hard Swing</t>
        </is>
      </c>
      <c r="C46" s="11" t="inlineStr">
        <is>
          <t>Upgrades</t>
        </is>
      </c>
      <c r="D46" s="11" t="inlineStr">
        <is>
          <t>First Prayer skills.</t>
        </is>
      </c>
    </row>
    <row r="47">
      <c r="A47" s="11" t="inlineStr">
        <is>
          <t>Easy Assignments</t>
        </is>
      </c>
      <c r="B47" s="11" t="inlineStr">
        <is>
          <t>Soft Quotas</t>
        </is>
      </c>
      <c r="C47" s="11" t="inlineStr">
        <is>
          <t>Upgrades</t>
        </is>
      </c>
      <c r="D47" s="11" t="inlineStr">
        <is>
          <t>First Prayer skills.</t>
        </is>
      </c>
    </row>
    <row r="48">
      <c r="A48" s="11" t="inlineStr">
        <is>
          <t>Restful Sleep</t>
        </is>
      </c>
      <c r="B48" s="11" t="inlineStr">
        <is>
          <t>Deep Rest</t>
        </is>
      </c>
      <c r="C48" s="11" t="inlineStr">
        <is>
          <t>Upgrades</t>
        </is>
      </c>
      <c r="D48" s="11" t="inlineStr">
        <is>
          <t>First Prayer skills.</t>
        </is>
      </c>
    </row>
    <row r="49">
      <c r="A49" s="11" t="inlineStr">
        <is>
          <t>Auto-Cannon (Prayer skill)</t>
        </is>
      </c>
      <c r="B49" s="11" t="inlineStr">
        <is>
          <t>Auto-Battery</t>
        </is>
      </c>
      <c r="C49" s="11" t="inlineStr">
        <is>
          <t>Upgrades</t>
        </is>
      </c>
      <c r="D49" s="11" t="inlineStr">
        <is>
          <t>First Prayer skills.</t>
        </is>
      </c>
    </row>
    <row r="50">
      <c r="A50" s="11" t="inlineStr">
        <is>
          <t>Hired Warrior</t>
        </is>
      </c>
      <c r="B50" s="11" t="inlineStr">
        <is>
          <t>Thornblade</t>
        </is>
      </c>
      <c r="C50" s="11" t="inlineStr">
        <is>
          <t>Helpers</t>
        </is>
      </c>
      <c r="D50" s="11" t="inlineStr">
        <is>
          <t>Melee helper; first hire.</t>
        </is>
      </c>
    </row>
    <row r="51">
      <c r="A51" s="11" t="inlineStr">
        <is>
          <t>Hired Archer</t>
        </is>
      </c>
      <c r="B51" s="11" t="inlineStr">
        <is>
          <t>Quillshot</t>
        </is>
      </c>
      <c r="C51" s="11" t="inlineStr">
        <is>
          <t>Helpers</t>
        </is>
      </c>
      <c r="D51" s="11" t="inlineStr">
        <is>
          <t>Ranged turret helper.</t>
        </is>
      </c>
    </row>
    <row r="52">
      <c r="A52" s="11" t="inlineStr">
        <is>
          <t>Hired Berserker</t>
        </is>
      </c>
      <c r="B52" s="11" t="inlineStr">
        <is>
          <t>Mosshew</t>
        </is>
      </c>
      <c r="C52" s="11" t="inlineStr">
        <is>
          <t>Helpers</t>
        </is>
      </c>
      <c r="D52" s="11" t="inlineStr">
        <is>
          <t>Heavy melee helper.</t>
        </is>
      </c>
    </row>
    <row r="53">
      <c r="A53" s="11" t="inlineStr">
        <is>
          <t>Hired Mage</t>
        </is>
      </c>
      <c r="B53" s="11" t="inlineStr">
        <is>
          <t>Emberstaff</t>
        </is>
      </c>
      <c r="C53" s="11" t="inlineStr">
        <is>
          <t>Helpers</t>
        </is>
      </c>
      <c r="D53" s="11" t="inlineStr">
        <is>
          <t>Magic helper.</t>
        </is>
      </c>
    </row>
    <row r="54">
      <c r="A54" s="11" t="inlineStr">
        <is>
          <t>Crawling Hand</t>
        </is>
      </c>
      <c r="B54" s="11" t="inlineStr">
        <is>
          <t>Gripkin</t>
        </is>
      </c>
      <c r="C54" s="11" t="inlineStr">
        <is>
          <t>Monsters &amp; bosses</t>
        </is>
      </c>
      <c r="D54" s="11" t="inlineStr">
        <is>
          <t>Tiny early task; teaches aim.</t>
        </is>
      </c>
    </row>
    <row r="55">
      <c r="A55" s="11" t="inlineStr">
        <is>
          <t>Cave Crawler</t>
        </is>
      </c>
      <c r="B55" s="11" t="inlineStr">
        <is>
          <t>Cave Skitter</t>
        </is>
      </c>
      <c r="C55" s="11" t="inlineStr">
        <is>
          <t>Monsters &amp; bosses</t>
        </is>
      </c>
      <c r="D55" s="11" t="inlineStr">
        <is>
          <t>Adult mid task; tanky.</t>
        </is>
      </c>
    </row>
    <row r="56">
      <c r="A56" s="11" t="inlineStr">
        <is>
          <t>Banshee</t>
        </is>
      </c>
      <c r="B56" s="11" t="inlineStr">
        <is>
          <t>Wailshade</t>
        </is>
      </c>
      <c r="C56" s="11" t="inlineStr">
        <is>
          <t>Monsters &amp; bosses</t>
        </is>
      </c>
      <c r="D56" s="11" t="inlineStr">
        <is>
          <t>Elite; points-heavy.</t>
        </is>
      </c>
    </row>
    <row r="57">
      <c r="A57" s="11" t="inlineStr">
        <is>
          <t>Rockslug</t>
        </is>
      </c>
      <c r="B57" s="11" t="inlineStr">
        <is>
          <t>Stone Slug</t>
        </is>
      </c>
      <c r="C57" s="11" t="inlineStr">
        <is>
          <t>Monsters &amp; bosses</t>
        </is>
      </c>
      <c r="D57" s="11" t="inlineStr">
        <is>
          <t>Optional mid variant.</t>
        </is>
      </c>
    </row>
    <row r="58">
      <c r="A58" s="11" t="inlineStr">
        <is>
          <t>Infernal Mage (lite)</t>
        </is>
      </c>
      <c r="B58" s="11" t="inlineStr">
        <is>
          <t>Cinder Adept</t>
        </is>
      </c>
      <c r="C58" s="11" t="inlineStr">
        <is>
          <t>Monsters &amp; bosses</t>
        </is>
      </c>
      <c r="D58" s="11" t="inlineStr">
        <is>
          <t>Optional late-W1 task.</t>
        </is>
      </c>
    </row>
    <row r="59">
      <c r="A59" s="11" t="inlineStr">
        <is>
          <t>Tier Test 1 — Crawling Hand Champion</t>
        </is>
      </c>
      <c r="B59" s="11" t="inlineStr">
        <is>
          <t>Gripkin Elder</t>
        </is>
      </c>
      <c r="C59" s="11" t="inlineStr">
        <is>
          <t>Monsters &amp; bosses</t>
        </is>
      </c>
      <c r="D59" s="11" t="inlineStr">
        <is>
          <t>First boss; 45–90s.</t>
        </is>
      </c>
    </row>
    <row r="60">
      <c r="A60" s="11" t="inlineStr">
        <is>
          <t>Tier Test 2 — Cave Crawler Matron</t>
        </is>
      </c>
      <c r="B60" s="11" t="inlineStr">
        <is>
          <t>Skitter Matron</t>
        </is>
      </c>
      <c r="C60" s="11" t="inlineStr">
        <is>
          <t>Monsters &amp; bosses</t>
        </is>
      </c>
      <c r="D60" s="11" t="inlineStr">
        <is>
          <t>Second test.</t>
        </is>
      </c>
    </row>
    <row r="61">
      <c r="A61" s="11" t="inlineStr">
        <is>
          <t>Tier Test 3 — Screaming Banshee</t>
        </is>
      </c>
      <c r="B61" s="11" t="inlineStr">
        <is>
          <t>Wail Matron</t>
        </is>
      </c>
      <c r="C61" s="11" t="inlineStr">
        <is>
          <t>Monsters &amp; bosses</t>
        </is>
      </c>
      <c r="D61" s="11" t="inlineStr">
        <is>
          <t>Third test.</t>
        </is>
      </c>
    </row>
    <row r="62">
      <c r="A62" s="11" t="inlineStr">
        <is>
          <t>Tier Tests 4–19</t>
        </is>
      </c>
      <c r="B62" s="11" t="inlineStr">
        <is>
          <t>(theme from task tier)</t>
        </is>
      </c>
      <c r="C62" s="11" t="inlineStr">
        <is>
          <t>Monsters &amp; bosses</t>
        </is>
      </c>
      <c r="D62" s="11" t="inlineStr">
        <is>
          <t>Raise Slayer level each clear.</t>
        </is>
      </c>
    </row>
    <row r="63">
      <c r="A63" s="11" t="inlineStr">
        <is>
          <t>Turael’s Cave</t>
        </is>
      </c>
      <c r="B63" s="11" t="inlineStr">
        <is>
          <t>Ashen Hollow</t>
        </is>
      </c>
      <c r="C63" s="11" t="inlineStr">
        <is>
          <t>Areas</t>
        </is>
      </c>
      <c r="D63" s="11" t="inlineStr">
        <is>
          <t>World-1 hunting grounds.</t>
        </is>
      </c>
    </row>
    <row r="64">
      <c r="A64" s="11" t="inlineStr">
        <is>
          <t>Mazchna’s Crypt</t>
        </is>
      </c>
      <c r="B64" s="11" t="inlineStr">
        <is>
          <t>Mistvault</t>
        </is>
      </c>
      <c r="C64" s="11" t="inlineStr">
        <is>
          <t>Areas</t>
        </is>
      </c>
      <c r="D64" s="11" t="inlineStr">
        <is>
          <t>World-2 marker destination.</t>
        </is>
      </c>
    </row>
    <row r="65">
      <c r="A65" s="11" t="inlineStr">
        <is>
          <t>Level 1 / 2 / 3 chrome</t>
        </is>
      </c>
      <c r="B65" s="11" t="inlineStr">
        <is>
          <t>Keep “Slayer level” as the number; area subtitle only in Codex</t>
        </is>
      </c>
      <c r="C65" s="11" t="inlineStr">
        <is>
          <t>Areas</t>
        </is>
      </c>
      <c r="D65" s="11" t="inlineStr">
        <is>
          <t>Avoid region-as-primary (already locked).</t>
        </is>
      </c>
    </row>
  </sheetData>
  <autoFilter ref="A1:D6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55" customWidth="1" min="3" max="3"/>
    <col width="55" customWidth="1" min="4" max="4"/>
  </cols>
  <sheetData>
    <row r="1">
      <c r="A1" s="10" t="inlineStr">
        <is>
          <t>Item</t>
        </is>
      </c>
      <c r="B1" s="10" t="inlineStr">
        <is>
          <t>Keep/Change/Cut</t>
        </is>
      </c>
      <c r="C1" s="10" t="inlineStr">
        <is>
          <t>Today (file + symbol)</t>
        </is>
      </c>
      <c r="D1" s="10" t="inlineStr">
        <is>
          <t>New</t>
        </is>
      </c>
    </row>
    <row r="2">
      <c r="A2" s="11" t="inlineStr">
        <is>
          <t>Bolt sizing from target HP</t>
        </is>
      </c>
      <c r="B2" s="11" t="inlineStr">
        <is>
          <t>KEEP</t>
        </is>
      </c>
      <c r="C2" s="11" t="inlineStr">
        <is>
          <t>js/arena.js boltHpChipRaw / boss HP in fights</t>
        </is>
      </c>
      <c r="D2" s="11" t="inlineStr">
        <is>
          <t>Unchanged</t>
        </is>
      </c>
    </row>
    <row r="3">
      <c r="A3" s="11" t="inlineStr">
        <is>
          <t>Elder TTK band / hpMult 1.85</t>
        </is>
      </c>
      <c r="B3" s="11" t="inlineStr">
        <is>
          <t>KEEP</t>
        </is>
      </c>
      <c r="C3" s="11" t="inlineStr">
        <is>
          <t>45–90s · HP≈278; markedPrey.sewer_king; elder-thornpelt-tuning.md</t>
        </is>
      </c>
      <c r="D3" s="11" t="inlineStr">
        <is>
          <t>Tier Test 1 uses same band</t>
        </is>
      </c>
    </row>
    <row r="4">
      <c r="A4" s="11" t="inlineStr">
        <is>
          <t>Offline cap 360</t>
        </is>
      </c>
      <c r="B4" s="11" t="inlineStr">
        <is>
          <t>KEEP</t>
        </is>
      </c>
      <c r="C4" s="11" t="inlineStr">
        <is>
          <t>js/state.js offlineCapMin=360</t>
        </is>
      </c>
      <c r="D4" s="11" t="inlineStr">
        <is>
          <t>Unchanged</t>
        </is>
      </c>
    </row>
    <row r="5">
      <c r="A5" s="11" t="inlineStr">
        <is>
          <t>No attributes</t>
        </is>
      </c>
      <c r="B5" s="11" t="inlineStr">
        <is>
          <t>KEEP</t>
        </is>
      </c>
      <c r="C5" s="11" t="inlineStr">
        <is>
          <t>bonuses via upgrades/relics/mastery; getBonuses</t>
        </is>
      </c>
      <c r="D5" s="11" t="inlineStr">
        <is>
          <t>Prayer = named skills only</t>
        </is>
      </c>
    </row>
    <row r="6">
      <c r="A6" s="11" t="inlineStr">
        <is>
          <t>Resource costs not time gates</t>
        </is>
      </c>
      <c r="B6" s="11" t="inlineStr">
        <is>
          <t>KEEP</t>
        </is>
      </c>
      <c r="C6" s="11" t="inlineStr">
        <is>
          <t>no minPlayMs; time-gates-to-costs.md</t>
        </is>
      </c>
      <c r="D6" s="11" t="inlineStr">
        <is>
          <t>Unchanged</t>
        </is>
      </c>
    </row>
    <row r="7">
      <c r="A7" s="11" t="inlineStr">
        <is>
          <t>Hires on gold</t>
        </is>
      </c>
      <c r="B7" s="11" t="inlineStr">
        <is>
          <t>KEEP</t>
        </is>
      </c>
      <c r="C7" s="11" t="inlineStr">
        <is>
          <t>Briar 140 / Quill 900 / Moss 2000 / Ember 4200; hunter_*</t>
        </is>
      </c>
      <c r="D7" s="11" t="inlineStr">
        <is>
          <t>Same prices; rename</t>
        </is>
      </c>
    </row>
    <row r="8">
      <c r="A8" s="11" t="inlineStr">
        <is>
          <t>Independent helper damage track</t>
        </is>
      </c>
      <c r="B8" s="11" t="inlineStr">
        <is>
          <t>KEEP</t>
        </is>
      </c>
      <c r="C8" s="11" t="inlineStr">
        <is>
          <t>HUNTER_COMBAT; DESIGN.md</t>
        </is>
      </c>
      <c r="D8" s="11" t="inlineStr">
        <is>
          <t>Phase 1 keep; optional % link later</t>
        </is>
      </c>
    </row>
    <row r="9">
      <c r="A9" s="11" t="inlineStr">
        <is>
          <t>Mastery 0–10</t>
        </is>
      </c>
      <c r="B9" s="11" t="inlineStr">
        <is>
          <t>KEEP</t>
        </is>
      </c>
      <c r="C9" s="11" t="inlineStr">
        <is>
          <t>js/state.js masteryGoldMult etc.</t>
        </is>
      </c>
      <c r="D9" s="11" t="inlineStr">
        <is>
          <t>Keep as per-task long-tail</t>
        </is>
      </c>
    </row>
    <row r="10">
      <c r="A10" s="11" t="inlineStr">
        <is>
          <t>Scraps + Forge one-shots</t>
        </is>
      </c>
      <c r="B10" s="11" t="inlineStr">
        <is>
          <t>KEEP</t>
        </is>
      </c>
      <c r="C10" s="11" t="inlineStr">
        <is>
          <t>scrap_* / forge_*; loot-sink.md</t>
        </is>
      </c>
      <c r="D10" s="11" t="inlineStr">
        <is>
          <t>Fold under Smithing UI</t>
        </is>
      </c>
    </row>
    <row r="11">
      <c r="A11" s="11" t="inlineStr">
        <is>
          <t>Dual caskets</t>
        </is>
      </c>
      <c r="B11" s="11" t="inlineStr">
        <is>
          <t>KEEP</t>
        </is>
      </c>
      <c r="C11" s="11" t="inlineStr">
        <is>
          <t>chests.js; Side Systems Freebies</t>
        </is>
      </c>
      <c r="D11" s="11" t="inlineStr">
        <is>
          <t>Keep (freebie twin)</t>
        </is>
      </c>
    </row>
    <row r="12">
      <c r="A12" s="11" t="inlineStr">
        <is>
          <t>ACTIVE_MULT 1.4 / PLAYER_BASE_IDLE 0.75</t>
        </is>
      </c>
      <c r="B12" s="11" t="inlineStr">
        <is>
          <t>KEEP</t>
        </is>
      </c>
      <c r="C12" s="11" t="inlineStr">
        <is>
          <t>data.js; Damage “ACTIVE holding”</t>
        </is>
      </c>
      <c r="D12" s="11" t="inlineStr">
        <is>
          <t>Keep</t>
        </is>
      </c>
    </row>
    <row r="13">
      <c r="A13" s="11" t="inlineStr">
        <is>
          <t>Progression gate</t>
        </is>
      </c>
      <c r="B13" s="11" t="inlineStr">
        <is>
          <t>CHANGE</t>
        </is>
      </c>
      <c r="C13" s="11" t="inlineStr">
        <is>
          <t>Level 1→2→3 via one boss each</t>
        </is>
      </c>
      <c r="D13" s="11" t="inlineStr">
        <is>
          <t>Slayer level 1…20 via many Tier Tests; Mazchna = W2</t>
        </is>
      </c>
    </row>
    <row r="14">
      <c r="A14" s="11" t="inlineStr">
        <is>
          <t>Feature unlock schedule</t>
        </is>
      </c>
      <c r="B14" s="11" t="inlineStr">
        <is>
          <t>CHANGE</t>
        </is>
      </c>
      <c r="C14" s="11" t="inlineStr">
        <is>
          <t>Gold/Sp purchases anytime (affordability)</t>
        </is>
      </c>
      <c r="D14" s="11" t="inlineStr">
        <is>
          <t>Gated by Slayer level cadence (still resource-priced)</t>
        </is>
      </c>
    </row>
    <row r="15">
      <c r="A15" s="11" t="inlineStr">
        <is>
          <t>Specials</t>
        </is>
      </c>
      <c r="B15" s="11" t="inlineStr">
        <is>
          <t>CHANGE</t>
        </is>
      </c>
      <c r="C15" s="11" t="inlineStr">
        <is>
          <t>One pulse unlock 360g</t>
        </is>
      </c>
      <c r="D15" s="11" t="inlineStr">
        <is>
          <t>Cannon + Chain + recharge/damage ladders; 0 dmg on Tier Tests</t>
        </is>
      </c>
    </row>
    <row r="16">
      <c r="A16" s="11" t="inlineStr">
        <is>
          <t>Run upgrade costs</t>
        </is>
      </c>
      <c r="B16" s="11" t="inlineStr">
        <is>
          <t>CHANGE</t>
        </is>
      </c>
      <c r="C16" s="11" t="inlineStr">
        <is>
          <t>Per-upgrade costMult</t>
        </is>
      </c>
      <c r="D16" s="11" t="inlineStr">
        <is>
          <t>Shared IOM 1.3 curve on leveled run ups</t>
        </is>
      </c>
    </row>
    <row r="17">
      <c r="A17" s="11" t="inlineStr">
        <is>
          <t>Skill depth</t>
        </is>
      </c>
      <c r="B17" s="11" t="inlineStr">
        <is>
          <t>CHANGE</t>
        </is>
      </c>
      <c r="C17" s="11" t="inlineStr">
        <is>
          <t>No skill tree</t>
        </is>
      </c>
      <c r="D17" s="11" t="inlineStr">
        <is>
          <t>Prayer board @ SL 6</t>
        </is>
      </c>
    </row>
    <row r="18">
      <c r="A18" s="11" t="inlineStr">
        <is>
          <t>Prestige</t>
        </is>
      </c>
      <c r="B18" s="11" t="inlineStr">
        <is>
          <t>CHANGE</t>
        </is>
      </c>
      <c r="C18" s="11" t="inlineStr">
        <is>
          <t>Scaffolding doPrestige / Sigils; not L1–3 goal</t>
        </is>
      </c>
      <c r="D18" s="11" t="inlineStr">
        <is>
          <t>Soft-open @ SL 10; teach permanent vs run</t>
        </is>
      </c>
    </row>
    <row r="19">
      <c r="A19" s="11" t="inlineStr">
        <is>
          <t>Monster names (W1)</t>
        </is>
      </c>
      <c r="B19" s="11" t="inlineStr">
        <is>
          <t>CHANGE</t>
        </is>
      </c>
      <c r="C19" s="11" t="inlineStr">
        <is>
          <t>Bristle Cub / Thornpelt / Elder; creature-boss-families.md</t>
        </is>
      </c>
      <c r="D19" s="11" t="inlineStr">
        <is>
          <t>OSRS Turael set (Crawling Hand / Cave Crawler / Banshee) — LOCKED decision #2</t>
        </is>
      </c>
    </row>
    <row r="20">
      <c r="A20" s="11" t="inlineStr">
        <is>
          <t>Boss meter after L1</t>
        </is>
      </c>
      <c r="B20" s="11" t="inlineStr">
        <is>
          <t>CHANGE</t>
        </is>
      </c>
      <c r="C20" s="11" t="inlineStr">
        <is>
          <t>280 / 600 for L2/L3 only; level-boss-progression.md</t>
        </is>
      </c>
      <c r="D20" s="11" t="inlineStr">
        <is>
          <t>Per Tier Test meters scaling §3.7</t>
        </is>
      </c>
    </row>
    <row r="21">
      <c r="A21" s="11" t="inlineStr">
        <is>
          <t>Sigil Charter copy</t>
        </is>
      </c>
      <c r="B21" s="11" t="inlineStr">
        <is>
          <t>CHANGE</t>
        </is>
      </c>
      <c r="C21" s="11" t="inlineStr">
        <is>
          <t>Charter: Idle/Cap/Loot; sigilShop</t>
        </is>
      </c>
      <c r="D21" s="11" t="inlineStr">
        <is>
          <t>Slayer reward artifacts (OSRS shop vibe)</t>
        </is>
      </c>
    </row>
    <row r="22">
      <c r="A22" s="11" t="inlineStr">
        <is>
          <t>Pets / full Cards / full Construct statues</t>
        </is>
      </c>
      <c r="B22" s="11" t="inlineStr">
        <is>
          <t>CUT / DEFER</t>
        </is>
      </c>
      <c r="C22" s="11" t="inlineStr">
        <is>
          <t>none / tiny forge; Side Systems; Takeaway T10</t>
        </is>
      </c>
      <c r="D22" s="11" t="inlineStr">
        <is>
          <t>Defer past Phase 1; Cards-lite @15 only</t>
        </is>
      </c>
    </row>
    <row r="23">
      <c r="A23" s="11" t="inlineStr">
        <is>
          <t>RPG attribute sheet</t>
        </is>
      </c>
      <c r="B23" s="11" t="inlineStr">
        <is>
          <t>CUT / DEFER</t>
        </is>
      </c>
      <c r="C23" s="11" t="inlineStr">
        <is>
          <t>none; Skill Tree tab</t>
        </is>
      </c>
      <c r="D23" s="11" t="inlineStr">
        <is>
          <t>Stay cut</t>
        </is>
      </c>
    </row>
    <row r="24">
      <c r="A24" s="11" t="inlineStr">
        <is>
          <t>Time-gate UX</t>
        </is>
      </c>
      <c r="B24" s="11" t="inlineStr">
        <is>
          <t>CUT</t>
        </is>
      </c>
      <c r="C24" s="11" t="inlineStr">
        <is>
          <t>already cut; time-gates-to-costs.md</t>
        </is>
      </c>
      <c r="D24" s="11" t="inlineStr">
        <is>
          <t>Stay cut</t>
        </is>
      </c>
    </row>
    <row r="25">
      <c r="A25" s="11" t="inlineStr">
        <is>
          <t>Banned mining-site word in player copy</t>
        </is>
      </c>
      <c r="B25" s="11" t="inlineStr">
        <is>
          <t>CUT</t>
        </is>
      </c>
      <c r="C25" s="11" t="inlineStr">
        <is>
          <t>banned in copy; About sheet; design rename brief</t>
        </is>
      </c>
      <c r="D25" s="11" t="inlineStr">
        <is>
          <t>Stay banned</t>
        </is>
      </c>
    </row>
    <row r="26">
      <c r="A26" s="11" t="inlineStr">
        <is>
          <t>World 2+ floors, Fishing, Stargazing, Arcanist, etc.</t>
        </is>
      </c>
      <c r="B26" s="11" t="inlineStr">
        <is>
          <t>CUT from W1 scope</t>
        </is>
      </c>
      <c r="C26" s="11" t="inlineStr">
        <is>
          <t>n/a; About; Side Systems “Later systems”</t>
        </is>
      </c>
      <c r="D26" s="11" t="inlineStr">
        <is>
          <t>Out of scope</t>
        </is>
      </c>
    </row>
  </sheetData>
  <autoFilter ref="A1:D2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55" customWidth="1" min="3" max="3"/>
    <col width="22" customWidth="1" min="4" max="4"/>
  </cols>
  <sheetData>
    <row r="1">
      <c r="A1" s="10" t="inlineStr">
        <is>
          <t>Step</t>
        </is>
      </c>
      <c r="B1" s="10" t="inlineStr">
        <is>
          <t>What New Bot builds</t>
        </is>
      </c>
      <c r="C1" s="10" t="inlineStr">
        <is>
          <t>Acceptance check</t>
        </is>
      </c>
      <c r="D1" s="10" t="inlineStr">
        <is>
          <t>Status</t>
        </is>
      </c>
    </row>
    <row r="2">
      <c r="A2" s="11" t="n">
        <v>1</v>
      </c>
      <c r="B2" s="11" t="inlineStr">
        <is>
          <t>Slayer level state (1…) raised by Tier Test clears; chrome shows it</t>
        </is>
      </c>
      <c r="C2" s="11" t="inlineStr">
        <is>
          <t>Slayer level visible in header; increments only on Tier Test clear</t>
        </is>
      </c>
      <c r="D2" s="11" t="inlineStr">
        <is>
          <t>handed to New Bot</t>
        </is>
      </c>
    </row>
    <row r="3">
      <c r="A3" s="11" t="n">
        <v>2</v>
      </c>
      <c r="B3" s="11" t="inlineStr">
        <is>
          <t>Unlock ladder SL1–4: Smithing panel stub · Cannon special @3 · Hire Warrior @4 (reuse Briar)</t>
        </is>
      </c>
      <c r="C3" s="11" t="inlineStr">
        <is>
          <t>Smithing visible @SL2; Cannon gated SL3; Warrior gated SL4</t>
        </is>
      </c>
      <c r="D3" s="11" t="inlineStr">
        <is>
          <t>handed to New Bot</t>
        </is>
      </c>
    </row>
    <row r="4">
      <c r="A4" s="11" t="n">
        <v>3</v>
      </c>
      <c r="B4" s="11" t="inlineStr">
        <is>
          <t>First buy ≤1 min: ensure Iron or Idle Power affordable from first task coins (tune gold on Gripkin/Cub)</t>
        </is>
      </c>
      <c r="C4" s="11" t="inlineStr">
        <is>
          <t>Player can afford a meaningful weapon/Idle Power buy within 1 minute of first task</t>
        </is>
      </c>
      <c r="D4" s="11" t="inlineStr">
        <is>
          <t>handed to New Bot</t>
        </is>
      </c>
    </row>
    <row r="5">
      <c r="A5" s="11" t="n">
        <v>4</v>
      </c>
      <c r="B5" s="11" t="inlineStr">
        <is>
          <t>Cannon @ ~5 min: 30s recharge; chip ≈4× bolt; gold unlock gated by SL3</t>
        </is>
      </c>
      <c r="C5" s="11" t="inlineStr">
        <is>
          <t>Cannon unlocks at SL3; 30s recharge; feels like a clear button on tasks; 0 dmg on Tier Test</t>
        </is>
      </c>
      <c r="D5" s="11" t="inlineStr">
        <is>
          <t>handed to New Bot</t>
        </is>
      </c>
    </row>
    <row r="6">
      <c r="A6" s="11" t="n">
        <v>5</v>
      </c>
      <c r="B6" s="11" t="inlineStr">
        <is>
          <t>Warrior @ ~10 min: keep 140g; gate visibility by SL4</t>
        </is>
      </c>
      <c r="C6" s="11" t="inlineStr">
        <is>
          <t>Warrior hire 140g visible at SL4; muted on Tier Test</t>
        </is>
      </c>
      <c r="D6" s="11" t="inlineStr">
        <is>
          <t>handed to New Bot</t>
        </is>
      </c>
    </row>
    <row r="7">
      <c r="A7" s="11" t="n">
        <v>6</v>
      </c>
      <c r="B7" s="11" t="inlineStr">
        <is>
          <t>Tier Test 1 @ 20–40 min: 120 Sp meter; 45–90s fight; bolts from boss HP; specials deal 0 to boss</t>
        </is>
      </c>
      <c r="C7" s="11" t="inlineStr">
        <is>
          <t>Meter fill ~20–40 min; solo TTK ~60s in 45–90 band; specials 0; helpers muted</t>
        </is>
      </c>
      <c r="D7" s="11" t="inlineStr">
        <is>
          <t>handed to New Bot</t>
        </is>
      </c>
    </row>
    <row r="8">
      <c r="A8" s="11" t="n">
        <v>7</v>
      </c>
      <c r="B8" s="11" t="inlineStr">
        <is>
          <t>OSRS task names for the three W1 hunt monsters + Test 1 boss (LOCKED: Turael set)</t>
        </is>
      </c>
      <c r="C8" s="11" t="inlineStr">
        <is>
          <t>Crawling Hand / Cave Crawler / Banshee + Crawling Hand Champion (or stand-ins behind flag)</t>
        </is>
      </c>
      <c r="D8" s="11" t="inlineStr">
        <is>
          <t>handed to New Bot</t>
        </is>
      </c>
    </row>
    <row r="9">
      <c r="A9" s="11" t="n">
        <v>8</v>
      </c>
      <c r="B9" s="11" t="inlineStr">
        <is>
          <t>Shared 1.3 cost curve on leveled run combat upgrades (idle_power, crit_power, special_cadence, helper ladders)</t>
        </is>
      </c>
      <c r="C9" s="11" t="inlineStr">
        <is>
          <t>Leveled run ups use Base×N (≤10) / Base×1.3^(N−10)×N (≥11); one-shot unlocks stay flat gold</t>
        </is>
      </c>
      <c r="D9" s="11" t="inlineStr">
        <is>
          <t>handed to New Bot</t>
        </is>
      </c>
    </row>
    <row r="10">
      <c r="A10" s="11" t="n">
        <v>9</v>
      </c>
      <c r="B10" s="11" t="inlineStr">
        <is>
          <t>Prayer stub: board unlocks SL6 with Sharp Eye + Thick Hide only (can sit locked until SL6 if playtest is &lt;30 min)</t>
        </is>
      </c>
      <c r="C10" s="11" t="inlineStr">
        <is>
          <t>Prayer board at SL6; Sharp Eye + Thick Hide purchasable with Prayer points</t>
        </is>
      </c>
      <c r="D10" s="11" t="inlineStr">
        <is>
          <t>handed to New Bot</t>
        </is>
      </c>
    </row>
    <row r="11">
      <c r="A11" s="11" t="n">
        <v>10</v>
      </c>
      <c r="B11" s="11" t="inlineStr">
        <is>
          <t>Copy pass: Slayer Master = Turael/Ashen Tutor; banned mining-site word absent; Intro Tasks mention Slayer level / Cannon / hire</t>
        </is>
      </c>
      <c r="C11" s="11" t="inlineStr">
        <is>
          <t>No banned word in player copy; Intro mentions Slayer level, Cannon, hire</t>
        </is>
      </c>
      <c r="D11" s="11" t="inlineStr">
        <is>
          <t>handed to New Bot</t>
        </is>
      </c>
    </row>
    <row r="12">
      <c r="A12" s="11" t="n">
        <v>11</v>
      </c>
      <c r="B12" s="11" t="inlineStr">
        <is>
          <t>Regression: Elder/Test1 solo TTK still ~60s; offline cap 360; hires remain gold</t>
        </is>
      </c>
      <c r="C12" s="11" t="inlineStr">
        <is>
          <t>TTK ~60s; offlineCapMin=360; hires gold not Sp</t>
        </is>
      </c>
      <c r="D12" s="11" t="inlineStr">
        <is>
          <t>handed to New Bot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2026-09-24T14:10:12Z</dcterms:created>
  <dcterms:modified xsi:type="dcterms:W3CDTF">2026-09-24T15:23:21Z</dcterms:modified>
</cp:coreProperties>
</file>