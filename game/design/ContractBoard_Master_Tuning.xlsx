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u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3D3226"/>
      <sz val="16"/>
    </font>
    <font>
      <name val="Calibri"/>
      <i val="1"/>
      <sz val="9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i val="1"/>
      <sz val="8"/>
    </font>
    <font>
      <name val="Calibri"/>
      <b val="1"/>
      <color rgb="00FFFFFF"/>
      <sz val="10"/>
    </font>
    <font>
      <name val="Calibri"/>
      <i val="1"/>
      <color rgb="007A3E0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0E8FF"/>
      </patternFill>
    </fill>
    <fill>
      <patternFill patternType="solid">
        <fgColor rgb="00E8E0D5"/>
      </patternFill>
    </fill>
    <fill>
      <patternFill patternType="solid">
        <fgColor rgb="008B7355"/>
      </patternFill>
    </fill>
    <fill>
      <patternFill patternType="solid">
        <fgColor rgb="005D4E37"/>
      </patternFill>
    </fill>
  </fills>
  <borders count="2">
    <border>
      <left/>
      <right/>
      <top/>
      <bottom/>
      <diagonal/>
    </border>
    <border>
      <left style="thin">
        <color rgb="00C4B8A8"/>
      </left>
      <right style="thin">
        <color rgb="00C4B8A8"/>
      </right>
      <top style="thin">
        <color rgb="00C4B8A8"/>
      </top>
      <bottom style="thin">
        <color rgb="00C4B8A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5" borderId="0" applyAlignment="1" pivotButton="0" quotePrefix="0" xfId="0">
      <alignment vertical="center"/>
    </xf>
    <xf numFmtId="0" fontId="4" fillId="4" borderId="1" pivotButton="0" quotePrefix="0" xfId="0"/>
    <xf numFmtId="0" fontId="5" fillId="2" borderId="1" pivotButton="0" quotePrefix="0" xfId="0"/>
    <xf numFmtId="2" fontId="5" fillId="3" borderId="1" pivotButton="0" quotePrefix="0" xfId="0"/>
    <xf numFmtId="9" fontId="5" fillId="2" borderId="1" pivotButton="0" quotePrefix="0" xfId="0"/>
    <xf numFmtId="2" fontId="0" fillId="3" borderId="1" pivotButton="0" quotePrefix="0" xfId="0"/>
    <xf numFmtId="0" fontId="6" fillId="0" borderId="0" pivotButton="0" quotePrefix="0" xfId="0"/>
    <xf numFmtId="2" fontId="5" fillId="2" borderId="1" pivotButton="0" quotePrefix="0" xfId="0"/>
    <xf numFmtId="0" fontId="7" fillId="6" borderId="1" applyAlignment="1" pivotButton="0" quotePrefix="0" xfId="0">
      <alignment vertical="center" wrapText="1"/>
    </xf>
    <xf numFmtId="3" fontId="0" fillId="2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7" fillId="6" borderId="1" applyAlignment="1" pivotButton="0" quotePrefix="0" xfId="0">
      <alignment vertical="center" textRotation="45" wrapText="1"/>
    </xf>
    <xf numFmtId="0" fontId="5" fillId="4" borderId="1" pivotButton="0" quotePrefix="0" xfId="0"/>
    <xf numFmtId="1" fontId="5" fillId="2" borderId="1" pivotButton="0" quotePrefix="0" xfId="0"/>
    <xf numFmtId="0" fontId="5" fillId="3" borderId="1" pivotButton="0" quotePrefix="0" xfId="0"/>
    <xf numFmtId="164" fontId="5" fillId="3" borderId="1" pivotButton="0" quotePrefix="0" xfId="0"/>
    <xf numFmtId="165" fontId="5" fillId="2" borderId="1" pivotButton="0" quotePrefix="0" xfId="0"/>
    <xf numFmtId="166" fontId="5" fillId="3" borderId="1" pivotButton="0" quotePrefix="0" xfId="0"/>
    <xf numFmtId="1" fontId="5" fillId="3" borderId="1" pivotButton="0" quotePrefix="0" xfId="0"/>
    <xf numFmtId="0" fontId="7" fillId="6" borderId="1" pivotButton="0" quotePrefix="0" xfId="0"/>
    <xf numFmtId="9" fontId="0" fillId="2" borderId="1" pivotButton="0" quotePrefix="0" xfId="0"/>
    <xf numFmtId="2" fontId="0" fillId="2" borderId="1" pivotButton="0" quotePrefix="0" xfId="0"/>
    <xf numFmtId="0" fontId="7" fillId="6" borderId="0" pivotButton="0" quotePrefix="0" xfId="0"/>
    <xf numFmtId="0" fontId="0" fillId="0" borderId="0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Game Designer</author>
  </authors>
  <commentList>
    <comment ref="B6" authorId="0" shapeId="0">
      <text>
        <t>DESIGN early: ~12/hit @ ~0.84/s ≈ 10 DPS. Edit to retune TTK.</t>
      </text>
    </comment>
    <comment ref="B7" authorId="0" shapeId="0">
      <text>
        <t>Briar~4.2 + Quill~3.3 ≈ 7.5 sustained early.</t>
      </text>
    </comment>
    <comment ref="B10" authorId="0" shapeId="0">
      <text>
        <t>Share of play time holding for ACTIVE_MULT. 0=full AFK, 1=always holding.</t>
      </text>
    </comment>
    <comment ref="B11" authorId="0" shapeId="0">
      <text>
        <t>idlePower multiplier in KillRate formula.</t>
      </text>
    </comment>
    <comment ref="B18" authorId="0" shapeId="0">
      <text>
        <t>Sum of hired hunters' idle weights (Briar 1.0 etc). 0 = solo.</t>
      </text>
    </comment>
    <comment ref="B19" authorId="0" shapeId="0">
      <text>
        <t>Timed boosts / Frenzy etc.</t>
      </text>
    </comment>
    <comment ref="B24" authorId="0" shapeId="0">
      <text>
        <t>Live game: Runner at 50. Early ranks should feel fast.</t>
      </text>
    </comment>
    <comment ref="B25" authorId="0" shapeId="0">
      <text>
        <t>&gt;1 slows later ranks. Live thresholds are uneven; growth≈1.45 fits 50→8000 by rank 9 roughly.</t>
      </text>
    </comment>
    <comment ref="B27" authorId="0" shapeId="0">
      <text>
        <t>Override: derived from selected monster + finishes/hr below. Default placeholder.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  <col width="36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 ht="28" customHeight="1">
      <c r="A1" s="1" t="inlineStr">
        <is>
          <t>Contract Board — Master Tuning Sheet (single worksheet)</t>
        </is>
      </c>
    </row>
    <row r="2" ht="40" customHeight="1">
      <c r="A2" s="2" t="inlineStr">
        <is>
          <t>YELLOW cells = INPUTS (edit these). BLUE cells = OUTPUTS (Excel formulas — recalculate when inputs change). Terminology: monster / hunt target / contract / task — never quarry. Source: live js/data.js + DESIGN.md · Rank XP from task finish ≈ floor(quota×0.5 + finishBonus×0.3).</t>
        </is>
      </c>
    </row>
    <row r="3">
      <c r="A3" s="3" t="inlineStr">
        <is>
          <t>INPUT</t>
        </is>
      </c>
      <c r="B3" s="4" t="inlineStr">
        <is>
          <t>OUTPUT (formula)</t>
        </is>
      </c>
      <c r="C3" s="5" t="inlineStr">
        <is>
          <t>Section / label</t>
        </is>
      </c>
    </row>
    <row r="5" ht="22" customHeight="1">
      <c r="A5" s="6" t="inlineStr">
        <is>
          <t>A · SCENARIO KNOBS (drive all time / rate estimates)</t>
        </is>
      </c>
    </row>
    <row r="6">
      <c r="A6" s="7" t="inlineStr">
        <is>
          <t>Player bolt DPS (early)</t>
        </is>
      </c>
      <c r="B6" s="8" t="n">
        <v>10</v>
      </c>
    </row>
    <row r="7">
      <c r="A7" s="7" t="inlineStr">
        <is>
          <t>Hunter party DPS (early)</t>
        </is>
      </c>
      <c r="B7" s="8" t="n">
        <v>7.5</v>
      </c>
    </row>
    <row r="8">
      <c r="A8" s="7" t="inlineStr">
        <is>
          <t>Combined combat DPS</t>
        </is>
      </c>
      <c r="B8" s="9">
        <f>B6+B7</f>
        <v/>
      </c>
    </row>
    <row r="9">
      <c r="A9" s="7" t="inlineStr">
        <is>
          <t>Session length (minutes)</t>
        </is>
      </c>
      <c r="B9" s="8" t="n">
        <v>30</v>
      </c>
    </row>
    <row r="10">
      <c r="A10" s="7" t="inlineStr">
        <is>
          <t>Active hold fraction</t>
        </is>
      </c>
      <c r="B10" s="10" t="n">
        <v>0.4</v>
      </c>
    </row>
    <row r="11">
      <c r="A11" s="7" t="inlineStr">
        <is>
          <t>Idle power (upgrades)</t>
        </is>
      </c>
      <c r="B11" s="8" t="n">
        <v>1</v>
      </c>
    </row>
    <row r="12">
      <c r="A12" s="7" t="inlineStr">
        <is>
          <t>GLOBAL_DMG_MULT</t>
        </is>
      </c>
      <c r="B12" s="8" t="n">
        <v>0.12</v>
      </c>
    </row>
    <row r="13">
      <c r="A13" s="7" t="inlineStr">
        <is>
          <t>ATTACK_SPEED_MULT</t>
        </is>
      </c>
      <c r="B13" s="8" t="n">
        <v>40</v>
      </c>
    </row>
    <row r="14">
      <c r="A14" s="7" t="inlineStr">
        <is>
          <t>ACTIVE_MULT</t>
        </is>
      </c>
      <c r="B14" s="8" t="n">
        <v>1.4</v>
      </c>
    </row>
    <row r="15">
      <c r="A15" s="7" t="inlineStr">
        <is>
          <t>PLAYER_BASE_IDLE</t>
        </is>
      </c>
      <c r="B15" s="8" t="n">
        <v>0.75</v>
      </c>
    </row>
    <row r="16">
      <c r="A16" s="7" t="inlineStr">
        <is>
          <t>HUNTER_DMG_MULT</t>
        </is>
      </c>
      <c r="B16" s="8" t="n">
        <v>1</v>
      </c>
    </row>
    <row r="17">
      <c r="A17" s="7" t="inlineStr">
        <is>
          <t>MONSTER_VISUAL_HP (base)</t>
        </is>
      </c>
      <c r="B17" s="8" t="n">
        <v>150</v>
      </c>
    </row>
    <row r="18">
      <c r="A18" s="7" t="inlineStr">
        <is>
          <t>Hunter idle contrib (sum)</t>
        </is>
      </c>
      <c r="B18" s="8" t="n">
        <v>0</v>
      </c>
    </row>
    <row r="19">
      <c r="A19" s="7" t="inlineStr">
        <is>
          <t>Boost killMult</t>
        </is>
      </c>
      <c r="B19" s="8" t="n">
        <v>1</v>
      </c>
    </row>
    <row r="20">
      <c r="A20" s="7" t="inlineStr">
        <is>
          <t>Eff. idle KillRate / min</t>
        </is>
      </c>
      <c r="B20" s="11">
        <f>2.5*B11*(B15+B18)*B19*((1-B10)+B10*B14)</f>
        <v/>
      </c>
      <c r="C20" s="12" t="inlineStr">
        <is>
          <t>2.5 × idlePower × (PLAYER_BASE_IDLE + hunterIdle) × boost × active-blend</t>
        </is>
      </c>
    </row>
    <row r="21">
      <c r="A21" s="7" t="inlineStr">
        <is>
          <t>Eff. combat kills / min</t>
        </is>
      </c>
      <c r="B21" s="11">
        <f>IF(B17&lt;=0,0,B8/B17*60)</f>
        <v/>
      </c>
      <c r="C21" s="12" t="inlineStr">
        <is>
          <t>Combined DPS / base HP × 60 (monster rows apply hpMult)</t>
        </is>
      </c>
    </row>
    <row r="23" ht="22" customHeight="1">
      <c r="A23" s="6" t="inlineStr">
        <is>
          <t>B · RANK / LEVEL XP CURVE (edit curve knobs OR per-level XP_to_next; outputs recalc)</t>
        </is>
      </c>
    </row>
    <row r="24">
      <c r="A24" s="7" t="inlineStr">
        <is>
          <t>Curve: XP for rank 0→1</t>
        </is>
      </c>
      <c r="B24" s="8" t="n">
        <v>50</v>
      </c>
    </row>
    <row r="25">
      <c r="A25" s="7" t="inlineStr">
        <is>
          <t>Curve growth per rank</t>
        </is>
      </c>
      <c r="B25" s="13" t="n">
        <v>1.45</v>
      </c>
    </row>
    <row r="26">
      <c r="A26" s="7" t="inlineStr">
        <is>
          <t>Max rank to model</t>
        </is>
      </c>
      <c r="B26" s="8" t="n">
        <v>20</v>
      </c>
    </row>
    <row r="27">
      <c r="A27" s="7" t="inlineStr">
        <is>
          <t>XP / hour assumption</t>
        </is>
      </c>
      <c r="B27" s="8" t="n">
        <v>120</v>
      </c>
    </row>
    <row r="28">
      <c r="A28" s="7" t="inlineStr">
        <is>
          <t>Minutes per session (rank ETA)</t>
        </is>
      </c>
      <c r="B28" s="8" t="n">
        <v>30</v>
      </c>
    </row>
    <row r="30" ht="32" customHeight="1">
      <c r="A30" s="14" t="inlineStr">
        <is>
          <t>Rank</t>
        </is>
      </c>
      <c r="B30" s="14" t="inlineStr">
        <is>
          <t>Name (live or gen)</t>
        </is>
      </c>
      <c r="C30" s="14" t="inlineStr">
        <is>
          <t>XP threshold (input)</t>
        </is>
      </c>
      <c r="D30" s="14" t="inlineStr">
        <is>
          <t>XP to next (calc)</t>
        </is>
      </c>
      <c r="E30" s="14" t="inlineStr">
        <is>
          <t>Cumulative Δ</t>
        </is>
      </c>
      <c r="F30" s="14" t="inlineStr">
        <is>
          <t>Hours to next @ XP/hr</t>
        </is>
      </c>
      <c r="G30" s="14" t="inlineStr">
        <is>
          <t>Sessions to next</t>
        </is>
      </c>
      <c r="H30" s="14" t="inlineStr">
        <is>
          <t>Hours from 0</t>
        </is>
      </c>
      <c r="I30" s="14" t="inlineStr">
        <is>
          <t>Sessions from 0</t>
        </is>
      </c>
      <c r="J30" s="14" t="inlineStr">
        <is>
          <t>Live game XP?</t>
        </is>
      </c>
      <c r="K30" s="14" t="inlineStr">
        <is>
          <t>Notes</t>
        </is>
      </c>
    </row>
    <row r="31">
      <c r="A31" s="5" t="n">
        <v>0</v>
      </c>
      <c r="B31" s="3" t="inlineStr">
        <is>
          <t>Recruit</t>
        </is>
      </c>
      <c r="C31" s="15" t="n">
        <v>0</v>
      </c>
      <c r="D31" s="16">
        <f>C32-C31</f>
        <v/>
      </c>
      <c r="E31" s="16">
        <f>C31</f>
        <v/>
      </c>
      <c r="F31" s="11">
        <f>IF($B$27&lt;=0,0,D31/$B$27)</f>
        <v/>
      </c>
      <c r="G31" s="17">
        <f>IF($B$28&lt;=0,0,F31*60/$B$28)</f>
        <v/>
      </c>
      <c r="H31" s="11">
        <f>IF($B$27&lt;=0,0,C31/$B$27)</f>
        <v/>
      </c>
      <c r="I31" s="17">
        <f>IF($B$28&lt;=0,0,H31*60/$B$28)</f>
        <v/>
      </c>
      <c r="J31" s="5" t="inlineStr">
        <is>
          <t>YES (data.js)</t>
        </is>
      </c>
      <c r="K31" s="3" t="inlineStr"/>
    </row>
    <row r="32">
      <c r="A32" s="5" t="n">
        <v>1</v>
      </c>
      <c r="B32" s="3" t="inlineStr">
        <is>
          <t>Runner</t>
        </is>
      </c>
      <c r="C32" s="15" t="n">
        <v>50</v>
      </c>
      <c r="D32" s="16">
        <f>C33-C32</f>
        <v/>
      </c>
      <c r="E32" s="16">
        <f>C32</f>
        <v/>
      </c>
      <c r="F32" s="11">
        <f>IF($B$27&lt;=0,0,D32/$B$27)</f>
        <v/>
      </c>
      <c r="G32" s="17">
        <f>IF($B$28&lt;=0,0,F32*60/$B$28)</f>
        <v/>
      </c>
      <c r="H32" s="11">
        <f>IF($B$27&lt;=0,0,C32/$B$27)</f>
        <v/>
      </c>
      <c r="I32" s="17">
        <f>IF($B$28&lt;=0,0,H32*60/$B$28)</f>
        <v/>
      </c>
      <c r="J32" s="5" t="inlineStr">
        <is>
          <t>YES (data.js)</t>
        </is>
      </c>
      <c r="K32" s="3" t="inlineStr"/>
    </row>
    <row r="33">
      <c r="A33" s="5" t="n">
        <v>2</v>
      </c>
      <c r="B33" s="3" t="inlineStr">
        <is>
          <t>Tracker</t>
        </is>
      </c>
      <c r="C33" s="15" t="n">
        <v>150</v>
      </c>
      <c r="D33" s="16">
        <f>C34-C33</f>
        <v/>
      </c>
      <c r="E33" s="16">
        <f>C33</f>
        <v/>
      </c>
      <c r="F33" s="11">
        <f>IF($B$27&lt;=0,0,D33/$B$27)</f>
        <v/>
      </c>
      <c r="G33" s="17">
        <f>IF($B$28&lt;=0,0,F33*60/$B$28)</f>
        <v/>
      </c>
      <c r="H33" s="11">
        <f>IF($B$27&lt;=0,0,C33/$B$27)</f>
        <v/>
      </c>
      <c r="I33" s="17">
        <f>IF($B$28&lt;=0,0,H33*60/$B$28)</f>
        <v/>
      </c>
      <c r="J33" s="5" t="inlineStr">
        <is>
          <t>YES (data.js)</t>
        </is>
      </c>
      <c r="K33" s="3" t="inlineStr"/>
    </row>
    <row r="34">
      <c r="A34" s="5" t="n">
        <v>3</v>
      </c>
      <c r="B34" s="3" t="inlineStr">
        <is>
          <t>Hunter</t>
        </is>
      </c>
      <c r="C34" s="15" t="n">
        <v>350</v>
      </c>
      <c r="D34" s="16">
        <f>C35-C34</f>
        <v/>
      </c>
      <c r="E34" s="16">
        <f>C34</f>
        <v/>
      </c>
      <c r="F34" s="11">
        <f>IF($B$27&lt;=0,0,D34/$B$27)</f>
        <v/>
      </c>
      <c r="G34" s="17">
        <f>IF($B$28&lt;=0,0,F34*60/$B$28)</f>
        <v/>
      </c>
      <c r="H34" s="11">
        <f>IF($B$27&lt;=0,0,C34/$B$27)</f>
        <v/>
      </c>
      <c r="I34" s="17">
        <f>IF($B$28&lt;=0,0,H34*60/$B$28)</f>
        <v/>
      </c>
      <c r="J34" s="5" t="inlineStr">
        <is>
          <t>YES (data.js)</t>
        </is>
      </c>
      <c r="K34" s="3" t="inlineStr"/>
    </row>
    <row r="35">
      <c r="A35" s="5" t="n">
        <v>4</v>
      </c>
      <c r="B35" s="3" t="inlineStr">
        <is>
          <t>Veteran</t>
        </is>
      </c>
      <c r="C35" s="15" t="n">
        <v>700</v>
      </c>
      <c r="D35" s="16">
        <f>C36-C35</f>
        <v/>
      </c>
      <c r="E35" s="16">
        <f>C35</f>
        <v/>
      </c>
      <c r="F35" s="11">
        <f>IF($B$27&lt;=0,0,D35/$B$27)</f>
        <v/>
      </c>
      <c r="G35" s="17">
        <f>IF($B$28&lt;=0,0,F35*60/$B$28)</f>
        <v/>
      </c>
      <c r="H35" s="11">
        <f>IF($B$27&lt;=0,0,C35/$B$27)</f>
        <v/>
      </c>
      <c r="I35" s="17">
        <f>IF($B$28&lt;=0,0,H35*60/$B$28)</f>
        <v/>
      </c>
      <c r="J35" s="5" t="inlineStr">
        <is>
          <t>YES (data.js)</t>
        </is>
      </c>
      <c r="K35" s="3" t="inlineStr"/>
    </row>
    <row r="36">
      <c r="A36" s="5" t="n">
        <v>5</v>
      </c>
      <c r="B36" s="3" t="inlineStr">
        <is>
          <t>Warden</t>
        </is>
      </c>
      <c r="C36" s="15" t="n">
        <v>1300</v>
      </c>
      <c r="D36" s="16">
        <f>C37-C36</f>
        <v/>
      </c>
      <c r="E36" s="16">
        <f>C36</f>
        <v/>
      </c>
      <c r="F36" s="11">
        <f>IF($B$27&lt;=0,0,D36/$B$27)</f>
        <v/>
      </c>
      <c r="G36" s="17">
        <f>IF($B$28&lt;=0,0,F36*60/$B$28)</f>
        <v/>
      </c>
      <c r="H36" s="11">
        <f>IF($B$27&lt;=0,0,C36/$B$27)</f>
        <v/>
      </c>
      <c r="I36" s="17">
        <f>IF($B$28&lt;=0,0,H36*60/$B$28)</f>
        <v/>
      </c>
      <c r="J36" s="5" t="inlineStr">
        <is>
          <t>YES (data.js)</t>
        </is>
      </c>
      <c r="K36" s="3" t="inlineStr"/>
    </row>
    <row r="37">
      <c r="A37" s="5" t="n">
        <v>6</v>
      </c>
      <c r="B37" s="3" t="inlineStr">
        <is>
          <t>Guildhand</t>
        </is>
      </c>
      <c r="C37" s="15" t="n">
        <v>2200</v>
      </c>
      <c r="D37" s="16">
        <f>C38-C37</f>
        <v/>
      </c>
      <c r="E37" s="16">
        <f>C37</f>
        <v/>
      </c>
      <c r="F37" s="11">
        <f>IF($B$27&lt;=0,0,D37/$B$27)</f>
        <v/>
      </c>
      <c r="G37" s="17">
        <f>IF($B$28&lt;=0,0,F37*60/$B$28)</f>
        <v/>
      </c>
      <c r="H37" s="11">
        <f>IF($B$27&lt;=0,0,C37/$B$27)</f>
        <v/>
      </c>
      <c r="I37" s="17">
        <f>IF($B$28&lt;=0,0,H37*60/$B$28)</f>
        <v/>
      </c>
      <c r="J37" s="5" t="inlineStr">
        <is>
          <t>YES (data.js)</t>
        </is>
      </c>
      <c r="K37" s="3" t="inlineStr"/>
    </row>
    <row r="38">
      <c r="A38" s="5" t="n">
        <v>7</v>
      </c>
      <c r="B38" s="3" t="inlineStr">
        <is>
          <t>Marshal</t>
        </is>
      </c>
      <c r="C38" s="15" t="n">
        <v>3600</v>
      </c>
      <c r="D38" s="16">
        <f>C39-C38</f>
        <v/>
      </c>
      <c r="E38" s="16">
        <f>C38</f>
        <v/>
      </c>
      <c r="F38" s="11">
        <f>IF($B$27&lt;=0,0,D38/$B$27)</f>
        <v/>
      </c>
      <c r="G38" s="17">
        <f>IF($B$28&lt;=0,0,F38*60/$B$28)</f>
        <v/>
      </c>
      <c r="H38" s="11">
        <f>IF($B$27&lt;=0,0,C38/$B$27)</f>
        <v/>
      </c>
      <c r="I38" s="17">
        <f>IF($B$28&lt;=0,0,H38*60/$B$28)</f>
        <v/>
      </c>
      <c r="J38" s="5" t="inlineStr">
        <is>
          <t>YES (data.js)</t>
        </is>
      </c>
      <c r="K38" s="3" t="inlineStr"/>
    </row>
    <row r="39">
      <c r="A39" s="5" t="n">
        <v>8</v>
      </c>
      <c r="B39" s="3" t="inlineStr">
        <is>
          <t>Archivist</t>
        </is>
      </c>
      <c r="C39" s="15" t="n">
        <v>5500</v>
      </c>
      <c r="D39" s="16">
        <f>C40-C39</f>
        <v/>
      </c>
      <c r="E39" s="16">
        <f>C39</f>
        <v/>
      </c>
      <c r="F39" s="11">
        <f>IF($B$27&lt;=0,0,D39/$B$27)</f>
        <v/>
      </c>
      <c r="G39" s="17">
        <f>IF($B$28&lt;=0,0,F39*60/$B$28)</f>
        <v/>
      </c>
      <c r="H39" s="11">
        <f>IF($B$27&lt;=0,0,C39/$B$27)</f>
        <v/>
      </c>
      <c r="I39" s="17">
        <f>IF($B$28&lt;=0,0,H39*60/$B$28)</f>
        <v/>
      </c>
      <c r="J39" s="5" t="inlineStr">
        <is>
          <t>YES (data.js)</t>
        </is>
      </c>
      <c r="K39" s="3" t="inlineStr"/>
    </row>
    <row r="40">
      <c r="A40" s="5" t="n">
        <v>9</v>
      </c>
      <c r="B40" s="3" t="inlineStr">
        <is>
          <t>Charter Lord</t>
        </is>
      </c>
      <c r="C40" s="15" t="n">
        <v>8000</v>
      </c>
      <c r="D40" s="16">
        <f>C41-C40</f>
        <v/>
      </c>
      <c r="E40" s="16">
        <f>C40</f>
        <v/>
      </c>
      <c r="F40" s="11">
        <f>IF($B$27&lt;=0,0,D40/$B$27)</f>
        <v/>
      </c>
      <c r="G40" s="17">
        <f>IF($B$28&lt;=0,0,F40*60/$B$28)</f>
        <v/>
      </c>
      <c r="H40" s="11">
        <f>IF($B$27&lt;=0,0,C40/$B$27)</f>
        <v/>
      </c>
      <c r="I40" s="17">
        <f>IF($B$28&lt;=0,0,H40*60/$B$28)</f>
        <v/>
      </c>
      <c r="J40" s="5" t="inlineStr">
        <is>
          <t>YES (data.js)</t>
        </is>
      </c>
      <c r="K40" s="3" t="inlineStr"/>
    </row>
    <row r="41">
      <c r="A41" s="5" t="n">
        <v>10</v>
      </c>
      <c r="B41" s="3" t="inlineStr">
        <is>
          <t>High Charter</t>
        </is>
      </c>
      <c r="C41" s="15" t="n">
        <v>2054</v>
      </c>
      <c r="D41" s="16">
        <f>C42-C41</f>
        <v/>
      </c>
      <c r="E41" s="16">
        <f>C41</f>
        <v/>
      </c>
      <c r="F41" s="11">
        <f>IF($B$27&lt;=0,0,D41/$B$27)</f>
        <v/>
      </c>
      <c r="G41" s="17">
        <f>IF($B$28&lt;=0,0,F41*60/$B$28)</f>
        <v/>
      </c>
      <c r="H41" s="11">
        <f>IF($B$27&lt;=0,0,C41/$B$27)</f>
        <v/>
      </c>
      <c r="I41" s="17">
        <f>IF($B$28&lt;=0,0,H41*60/$B$28)</f>
        <v/>
      </c>
      <c r="J41" s="5" t="inlineStr">
        <is>
          <t>curve (edit ok)</t>
        </is>
      </c>
      <c r="K41" s="3" t="inlineStr"/>
    </row>
    <row r="42">
      <c r="A42" s="5" t="n">
        <v>11</v>
      </c>
      <c r="B42" s="3" t="inlineStr">
        <is>
          <t>Vault Hand</t>
        </is>
      </c>
      <c r="C42" s="15" t="n">
        <v>2979</v>
      </c>
      <c r="D42" s="16">
        <f>C43-C42</f>
        <v/>
      </c>
      <c r="E42" s="16">
        <f>C42</f>
        <v/>
      </c>
      <c r="F42" s="11">
        <f>IF($B$27&lt;=0,0,D42/$B$27)</f>
        <v/>
      </c>
      <c r="G42" s="17">
        <f>IF($B$28&lt;=0,0,F42*60/$B$28)</f>
        <v/>
      </c>
      <c r="H42" s="11">
        <f>IF($B$27&lt;=0,0,C42/$B$27)</f>
        <v/>
      </c>
      <c r="I42" s="17">
        <f>IF($B$28&lt;=0,0,H42*60/$B$28)</f>
        <v/>
      </c>
      <c r="J42" s="5" t="inlineStr">
        <is>
          <t>curve (edit ok)</t>
        </is>
      </c>
      <c r="K42" s="3" t="inlineStr"/>
    </row>
    <row r="43">
      <c r="A43" s="5" t="n">
        <v>12</v>
      </c>
      <c r="B43" s="3" t="inlineStr">
        <is>
          <t>Siege Lead</t>
        </is>
      </c>
      <c r="C43" s="15" t="n">
        <v>4319</v>
      </c>
      <c r="D43" s="16">
        <f>C44-C43</f>
        <v/>
      </c>
      <c r="E43" s="16">
        <f>C43</f>
        <v/>
      </c>
      <c r="F43" s="11">
        <f>IF($B$27&lt;=0,0,D43/$B$27)</f>
        <v/>
      </c>
      <c r="G43" s="17">
        <f>IF($B$28&lt;=0,0,F43*60/$B$28)</f>
        <v/>
      </c>
      <c r="H43" s="11">
        <f>IF($B$27&lt;=0,0,C43/$B$27)</f>
        <v/>
      </c>
      <c r="I43" s="17">
        <f>IF($B$28&lt;=0,0,H43*60/$B$28)</f>
        <v/>
      </c>
      <c r="J43" s="5" t="inlineStr">
        <is>
          <t>curve (edit ok)</t>
        </is>
      </c>
      <c r="K43" s="3" t="inlineStr"/>
    </row>
    <row r="44">
      <c r="A44" s="5" t="n">
        <v>13</v>
      </c>
      <c r="B44" s="3" t="inlineStr">
        <is>
          <t>Relic Warden</t>
        </is>
      </c>
      <c r="C44" s="15" t="n">
        <v>6263</v>
      </c>
      <c r="D44" s="16">
        <f>C45-C44</f>
        <v/>
      </c>
      <c r="E44" s="16">
        <f>C44</f>
        <v/>
      </c>
      <c r="F44" s="11">
        <f>IF($B$27&lt;=0,0,D44/$B$27)</f>
        <v/>
      </c>
      <c r="G44" s="17">
        <f>IF($B$28&lt;=0,0,F44*60/$B$28)</f>
        <v/>
      </c>
      <c r="H44" s="11">
        <f>IF($B$27&lt;=0,0,C44/$B$27)</f>
        <v/>
      </c>
      <c r="I44" s="17">
        <f>IF($B$28&lt;=0,0,H44*60/$B$28)</f>
        <v/>
      </c>
      <c r="J44" s="5" t="inlineStr">
        <is>
          <t>curve (edit ok)</t>
        </is>
      </c>
      <c r="K44" s="3" t="inlineStr"/>
    </row>
    <row r="45">
      <c r="A45" s="5" t="n">
        <v>14</v>
      </c>
      <c r="B45" s="3" t="inlineStr">
        <is>
          <t>Sigil Adept</t>
        </is>
      </c>
      <c r="C45" s="15" t="n">
        <v>9081</v>
      </c>
      <c r="D45" s="16">
        <f>C46-C45</f>
        <v/>
      </c>
      <c r="E45" s="16">
        <f>C45</f>
        <v/>
      </c>
      <c r="F45" s="11">
        <f>IF($B$27&lt;=0,0,D45/$B$27)</f>
        <v/>
      </c>
      <c r="G45" s="17">
        <f>IF($B$28&lt;=0,0,F45*60/$B$28)</f>
        <v/>
      </c>
      <c r="H45" s="11">
        <f>IF($B$27&lt;=0,0,C45/$B$27)</f>
        <v/>
      </c>
      <c r="I45" s="17">
        <f>IF($B$28&lt;=0,0,H45*60/$B$28)</f>
        <v/>
      </c>
      <c r="J45" s="5" t="inlineStr">
        <is>
          <t>curve (edit ok)</t>
        </is>
      </c>
      <c r="K45" s="3" t="inlineStr"/>
    </row>
    <row r="46">
      <c r="A46" s="5" t="n">
        <v>15</v>
      </c>
      <c r="B46" s="3" t="inlineStr">
        <is>
          <t>Ash Ranger</t>
        </is>
      </c>
      <c r="C46" s="15" t="n">
        <v>13167</v>
      </c>
      <c r="D46" s="16">
        <f>C47-C46</f>
        <v/>
      </c>
      <c r="E46" s="16">
        <f>C46</f>
        <v/>
      </c>
      <c r="F46" s="11">
        <f>IF($B$27&lt;=0,0,D46/$B$27)</f>
        <v/>
      </c>
      <c r="G46" s="17">
        <f>IF($B$28&lt;=0,0,F46*60/$B$28)</f>
        <v/>
      </c>
      <c r="H46" s="11">
        <f>IF($B$27&lt;=0,0,C46/$B$27)</f>
        <v/>
      </c>
      <c r="I46" s="17">
        <f>IF($B$28&lt;=0,0,H46*60/$B$28)</f>
        <v/>
      </c>
      <c r="J46" s="5" t="inlineStr">
        <is>
          <t>curve (edit ok)</t>
        </is>
      </c>
      <c r="K46" s="3" t="inlineStr"/>
    </row>
    <row r="47">
      <c r="A47" s="5" t="n">
        <v>16</v>
      </c>
      <c r="B47" s="3" t="inlineStr">
        <is>
          <t>Bone Consul</t>
        </is>
      </c>
      <c r="C47" s="15" t="n">
        <v>19092</v>
      </c>
      <c r="D47" s="16">
        <f>C48-C47</f>
        <v/>
      </c>
      <c r="E47" s="16">
        <f>C47</f>
        <v/>
      </c>
      <c r="F47" s="11">
        <f>IF($B$27&lt;=0,0,D47/$B$27)</f>
        <v/>
      </c>
      <c r="G47" s="17">
        <f>IF($B$28&lt;=0,0,F47*60/$B$28)</f>
        <v/>
      </c>
      <c r="H47" s="11">
        <f>IF($B$27&lt;=0,0,C47/$B$27)</f>
        <v/>
      </c>
      <c r="I47" s="17">
        <f>IF($B$28&lt;=0,0,H47*60/$B$28)</f>
        <v/>
      </c>
      <c r="J47" s="5" t="inlineStr">
        <is>
          <t>curve (edit ok)</t>
        </is>
      </c>
      <c r="K47" s="3" t="inlineStr"/>
    </row>
    <row r="48">
      <c r="A48" s="5" t="n">
        <v>17</v>
      </c>
      <c r="B48" s="3" t="inlineStr">
        <is>
          <t>Fen Marshal</t>
        </is>
      </c>
      <c r="C48" s="15" t="n">
        <v>27684</v>
      </c>
      <c r="D48" s="16">
        <f>C49-C48</f>
        <v/>
      </c>
      <c r="E48" s="16">
        <f>C48</f>
        <v/>
      </c>
      <c r="F48" s="11">
        <f>IF($B$27&lt;=0,0,D48/$B$27)</f>
        <v/>
      </c>
      <c r="G48" s="17">
        <f>IF($B$28&lt;=0,0,F48*60/$B$28)</f>
        <v/>
      </c>
      <c r="H48" s="11">
        <f>IF($B$27&lt;=0,0,C48/$B$27)</f>
        <v/>
      </c>
      <c r="I48" s="17">
        <f>IF($B$28&lt;=0,0,H48*60/$B$28)</f>
        <v/>
      </c>
      <c r="J48" s="5" t="inlineStr">
        <is>
          <t>curve (edit ok)</t>
        </is>
      </c>
      <c r="K48" s="3" t="inlineStr"/>
    </row>
    <row r="49">
      <c r="A49" s="5" t="n">
        <v>18</v>
      </c>
      <c r="B49" s="3" t="inlineStr">
        <is>
          <t>Undercroft Lord</t>
        </is>
      </c>
      <c r="C49" s="15" t="n">
        <v>40142</v>
      </c>
      <c r="D49" s="16">
        <f>C50-C49</f>
        <v/>
      </c>
      <c r="E49" s="16">
        <f>C49</f>
        <v/>
      </c>
      <c r="F49" s="11">
        <f>IF($B$27&lt;=0,0,D49/$B$27)</f>
        <v/>
      </c>
      <c r="G49" s="17">
        <f>IF($B$28&lt;=0,0,F49*60/$B$28)</f>
        <v/>
      </c>
      <c r="H49" s="11">
        <f>IF($B$27&lt;=0,0,C49/$B$27)</f>
        <v/>
      </c>
      <c r="I49" s="17">
        <f>IF($B$28&lt;=0,0,H49*60/$B$28)</f>
        <v/>
      </c>
      <c r="J49" s="5" t="inlineStr">
        <is>
          <t>curve (edit ok)</t>
        </is>
      </c>
      <c r="K49" s="3" t="inlineStr"/>
    </row>
    <row r="50">
      <c r="A50" s="5" t="n">
        <v>19</v>
      </c>
      <c r="B50" s="3" t="inlineStr">
        <is>
          <t>Guild Sovereign</t>
        </is>
      </c>
      <c r="C50" s="15" t="n">
        <v>58205</v>
      </c>
      <c r="D50" s="16">
        <f>C51-C50</f>
        <v/>
      </c>
      <c r="E50" s="16">
        <f>C50</f>
        <v/>
      </c>
      <c r="F50" s="11">
        <f>IF($B$27&lt;=0,0,D50/$B$27)</f>
        <v/>
      </c>
      <c r="G50" s="17">
        <f>IF($B$28&lt;=0,0,F50*60/$B$28)</f>
        <v/>
      </c>
      <c r="H50" s="11">
        <f>IF($B$27&lt;=0,0,C50/$B$27)</f>
        <v/>
      </c>
      <c r="I50" s="17">
        <f>IF($B$28&lt;=0,0,H50*60/$B$28)</f>
        <v/>
      </c>
      <c r="J50" s="5" t="inlineStr">
        <is>
          <t>curve (edit ok)</t>
        </is>
      </c>
      <c r="K50" s="3" t="inlineStr"/>
    </row>
    <row r="51">
      <c r="A51" s="5" t="n">
        <v>20</v>
      </c>
      <c r="B51" s="3" t="inlineStr">
        <is>
          <t>Legend</t>
        </is>
      </c>
      <c r="C51" s="15" t="n">
        <v>84398</v>
      </c>
      <c r="D51" s="16" t="n">
        <v>0</v>
      </c>
      <c r="E51" s="16">
        <f>C51</f>
        <v/>
      </c>
      <c r="F51" s="11">
        <f>IF($B$27&lt;=0,0,D51/$B$27)</f>
        <v/>
      </c>
      <c r="G51" s="17">
        <f>IF($B$28&lt;=0,0,F51*60/$B$28)</f>
        <v/>
      </c>
      <c r="H51" s="11">
        <f>IF($B$27&lt;=0,0,C51/$B$27)</f>
        <v/>
      </c>
      <c r="I51" s="17">
        <f>IF($B$28&lt;=0,0,H51*60/$B$28)</f>
        <v/>
      </c>
      <c r="J51" s="5" t="inlineStr">
        <is>
          <t>curve (edit ok)</t>
        </is>
      </c>
      <c r="K51" s="3" t="inlineStr"/>
    </row>
    <row r="53">
      <c r="A53" s="12" t="inlineStr">
        <is>
          <t>Tip: for ranks 10–20, paste =ROUND($B$24*$B$25^A31,0) pattern — or edit yellow XP thresholds directly. Live ranks 0–9 match data.js.</t>
        </is>
      </c>
    </row>
    <row r="55" ht="22" customHeight="1">
      <c r="A55" s="6" t="inlineStr">
        <is>
          <t>C · MONSTERS (hunt targets) — earnings, combat, TTK, gold/hr, Rank-XP/hr</t>
        </is>
      </c>
    </row>
    <row r="56" ht="60" customHeight="1">
      <c r="A56" s="18" t="inlineStr">
        <is>
          <t>Monster</t>
        </is>
      </c>
      <c r="B56" s="18" t="inlineStr">
        <is>
          <t>Area</t>
        </is>
      </c>
      <c r="C56" s="18" t="inlineStr">
        <is>
          <t>Contract id</t>
        </is>
      </c>
      <c r="D56" s="18" t="inlineStr">
        <is>
          <t>miniDesc</t>
        </is>
      </c>
      <c r="E56" s="18" t="inlineStr">
        <is>
          <t>HP mult</t>
        </is>
      </c>
      <c r="F56" s="18" t="inlineStr">
        <is>
          <t>Move</t>
        </is>
      </c>
      <c r="G56" s="18" t="inlineStr">
        <is>
          <t>Spawn</t>
        </is>
      </c>
      <c r="H56" s="18" t="inlineStr">
        <is>
          <t>Wander</t>
        </is>
      </c>
      <c r="I56" s="18" t="inlineStr">
        <is>
          <t>AimAssist</t>
        </is>
      </c>
      <c r="J56" s="18" t="inlineStr">
        <is>
          <t>HitWidth</t>
        </is>
      </c>
      <c r="K56" s="18" t="inlineStr">
        <is>
          <t>Clump</t>
        </is>
      </c>
      <c r="L56" s="18" t="inlineStr">
        <is>
          <t>HP noPierce</t>
        </is>
      </c>
      <c r="M56" s="18" t="inlineStr">
        <is>
          <t>Base HP</t>
        </is>
      </c>
      <c r="N56" s="18" t="inlineStr">
        <is>
          <t>Eff HP</t>
        </is>
      </c>
      <c r="O56" s="18" t="inlineStr">
        <is>
          <t>TTK sec (combat)</t>
        </is>
      </c>
      <c r="P56" s="18" t="inlineStr">
        <is>
          <t>Kills/min combat</t>
        </is>
      </c>
      <c r="Q56" s="18" t="inlineStr">
        <is>
          <t>Gold min</t>
        </is>
      </c>
      <c r="R56" s="18" t="inlineStr">
        <is>
          <t>Gold max</t>
        </is>
      </c>
      <c r="S56" s="18" t="inlineStr">
        <is>
          <t>Avg gold</t>
        </is>
      </c>
      <c r="T56" s="18" t="inlineStr">
        <is>
          <t>Scrap %</t>
        </is>
      </c>
      <c r="U56" s="18" t="inlineStr">
        <is>
          <t>Rare %</t>
        </is>
      </c>
      <c r="V56" s="18" t="inlineStr">
        <is>
          <t>Points/kill</t>
        </is>
      </c>
      <c r="W56" s="18" t="inlineStr">
        <is>
          <t>Quota</t>
        </is>
      </c>
      <c r="X56" s="18" t="inlineStr">
        <is>
          <t>Finish bonus</t>
        </is>
      </c>
      <c r="Y56" s="18" t="inlineStr">
        <is>
          <t>Food/kill</t>
        </is>
      </c>
      <c r="Z56" s="18" t="inlineStr">
        <is>
          <t>Contract mult</t>
        </is>
      </c>
      <c r="AA56" s="18" t="inlineStr">
        <is>
          <t>Area mult</t>
        </is>
      </c>
      <c r="AB56" s="18" t="inlineStr">
        <is>
          <t>Sig drop id</t>
        </is>
      </c>
      <c r="AC56" s="18" t="inlineStr">
        <is>
          <t>Sig %</t>
        </is>
      </c>
      <c r="AD56" s="18" t="inlineStr">
        <is>
          <t>Gold/hr combat</t>
        </is>
      </c>
      <c r="AE56" s="18" t="inlineStr">
        <is>
          <t>Gold/hr idle econ</t>
        </is>
      </c>
      <c r="AF56" s="18" t="inlineStr">
        <is>
          <t>Scrap/hr combat</t>
        </is>
      </c>
      <c r="AG56" s="18" t="inlineStr">
        <is>
          <t>Rank XP / task</t>
        </is>
      </c>
      <c r="AH56" s="18" t="inlineStr">
        <is>
          <t>Tasks/hr combat</t>
        </is>
      </c>
      <c r="AI56" s="18" t="inlineStr">
        <is>
          <t>Rank XP/hr combat</t>
        </is>
      </c>
      <c r="AJ56" s="18" t="inlineStr">
        <is>
          <t>Min to finish task</t>
        </is>
      </c>
      <c r="AK56" s="18" t="inlineStr">
        <is>
          <t>Sessions (30m) / task</t>
        </is>
      </c>
    </row>
    <row r="57">
      <c r="A57" s="8" t="inlineStr">
        <is>
          <t>Crawling Hands</t>
        </is>
      </c>
      <c r="B57" s="8" t="inlineStr">
        <is>
          <t>Undercroft</t>
        </is>
      </c>
      <c r="C57" s="19" t="inlineStr">
        <is>
          <t>cave_rats</t>
        </is>
      </c>
      <c r="D57" s="8" t="inlineStr">
        <is>
          <t>Tanky scrap-crawlers that lumber in slow and soak bolts.</t>
        </is>
      </c>
      <c r="E57" s="13" t="n">
        <v>1.4</v>
      </c>
      <c r="F57" s="13" t="n">
        <v>0.55</v>
      </c>
      <c r="G57" s="13" t="n">
        <v>0.65</v>
      </c>
      <c r="H57" s="13" t="n">
        <v>0.55</v>
      </c>
      <c r="I57" s="20" t="n">
        <v>2</v>
      </c>
      <c r="J57" s="13" t="n">
        <v>1.15</v>
      </c>
      <c r="K57" s="8" t="n">
        <v>0</v>
      </c>
      <c r="L57" s="8" t="inlineStr"/>
      <c r="M57" s="21">
        <f>$B$17</f>
        <v/>
      </c>
      <c r="N57" s="22">
        <f>M57*E57</f>
        <v/>
      </c>
      <c r="O57" s="9">
        <f>IF($B$8&lt;=0,0,N57/$B$8)</f>
        <v/>
      </c>
      <c r="P57" s="9">
        <f>IF(O57&lt;=0,0,60/O57)</f>
        <v/>
      </c>
      <c r="Q57" s="8" t="n">
        <v>1</v>
      </c>
      <c r="R57" s="8" t="n">
        <v>2</v>
      </c>
      <c r="S57" s="9">
        <f>(Q57+R57)/2</f>
        <v/>
      </c>
      <c r="T57" s="23" t="n">
        <v>0.28</v>
      </c>
      <c r="U57" s="23" t="n">
        <v>0.02</v>
      </c>
      <c r="V57" s="8" t="n">
        <v>1</v>
      </c>
      <c r="W57" s="8" t="n">
        <v>25</v>
      </c>
      <c r="X57" s="8" t="n">
        <v>15</v>
      </c>
      <c r="Y57" s="8" t="n">
        <v>0.35</v>
      </c>
      <c r="Z57" s="8" t="n">
        <v>1</v>
      </c>
      <c r="AA57" s="8" t="n">
        <v>1</v>
      </c>
      <c r="AB57" s="8" t="inlineStr">
        <is>
          <t>grip_scrap</t>
        </is>
      </c>
      <c r="AC57" s="23" t="n">
        <v>0.12</v>
      </c>
      <c r="AD57" s="24">
        <f>P57*60*S57</f>
        <v/>
      </c>
      <c r="AE57" s="24">
        <f>$B$20*AA57*Z57*S57*60</f>
        <v/>
      </c>
      <c r="AF57" s="22">
        <f>P57*60*T57</f>
        <v/>
      </c>
      <c r="AG57" s="25">
        <f>FLOOR(W57*0.5+X57*0.3,1)</f>
        <v/>
      </c>
      <c r="AH57" s="9">
        <f>IF(W57&lt;=0,0,P57*60/W57)</f>
        <v/>
      </c>
      <c r="AI57" s="22">
        <f>AH57*AG57</f>
        <v/>
      </c>
      <c r="AJ57" s="9">
        <f>IF(P57&lt;=0,0,W57/P57)</f>
        <v/>
      </c>
      <c r="AK57" s="9">
        <f>IF($B$9&lt;=0,0,AJ57/$B$9)</f>
        <v/>
      </c>
    </row>
    <row r="58">
      <c r="A58" s="8" t="inlineStr">
        <is>
          <t>Banshees</t>
        </is>
      </c>
      <c r="B58" s="8" t="inlineStr">
        <is>
          <t>Undercroft</t>
        </is>
      </c>
      <c r="C58" s="19" t="inlineStr">
        <is>
          <t>tunnel_bats</t>
        </is>
      </c>
      <c r="D58" s="8" t="inlineStr">
        <is>
          <t>Frail shriekers that dart fast and slip past lazy aim.</t>
        </is>
      </c>
      <c r="E58" s="13" t="n">
        <v>0.7</v>
      </c>
      <c r="F58" s="13" t="n">
        <v>1.5</v>
      </c>
      <c r="G58" s="13" t="n">
        <v>1.45</v>
      </c>
      <c r="H58" s="13" t="n">
        <v>1.7</v>
      </c>
      <c r="I58" s="20" t="n">
        <v>-8</v>
      </c>
      <c r="J58" s="13" t="n">
        <v>0.72</v>
      </c>
      <c r="K58" s="8" t="n">
        <v>0</v>
      </c>
      <c r="L58" s="8" t="inlineStr"/>
      <c r="M58" s="21">
        <f>$B$17</f>
        <v/>
      </c>
      <c r="N58" s="22">
        <f>M58*E58</f>
        <v/>
      </c>
      <c r="O58" s="9">
        <f>IF($B$8&lt;=0,0,N58/$B$8)</f>
        <v/>
      </c>
      <c r="P58" s="9">
        <f>IF(O58&lt;=0,0,60/O58)</f>
        <v/>
      </c>
      <c r="Q58" s="8" t="n">
        <v>2</v>
      </c>
      <c r="R58" s="8" t="n">
        <v>4</v>
      </c>
      <c r="S58" s="9">
        <f>(Q58+R58)/2</f>
        <v/>
      </c>
      <c r="T58" s="23" t="n">
        <v>0.12</v>
      </c>
      <c r="U58" s="23" t="n">
        <v>0.03</v>
      </c>
      <c r="V58" s="8" t="n">
        <v>1.8</v>
      </c>
      <c r="W58" s="8" t="n">
        <v>60</v>
      </c>
      <c r="X58" s="8" t="n">
        <v>35</v>
      </c>
      <c r="Y58" s="8" t="n">
        <v>0.45</v>
      </c>
      <c r="Z58" s="8" t="n">
        <v>1.1</v>
      </c>
      <c r="AA58" s="8" t="n">
        <v>1</v>
      </c>
      <c r="AB58" s="8" t="inlineStr">
        <is>
          <t>wail_shard</t>
        </is>
      </c>
      <c r="AC58" s="23" t="n">
        <v>0.1</v>
      </c>
      <c r="AD58" s="24">
        <f>P58*60*S58</f>
        <v/>
      </c>
      <c r="AE58" s="24">
        <f>$B$20*AA58*Z58*S58*60</f>
        <v/>
      </c>
      <c r="AF58" s="22">
        <f>P58*60*T58</f>
        <v/>
      </c>
      <c r="AG58" s="25">
        <f>FLOOR(W58*0.5+X58*0.3,1)</f>
        <v/>
      </c>
      <c r="AH58" s="9">
        <f>IF(W58&lt;=0,0,P58*60/W58)</f>
        <v/>
      </c>
      <c r="AI58" s="22">
        <f>AH58*AG58</f>
        <v/>
      </c>
      <c r="AJ58" s="9">
        <f>IF(P58&lt;=0,0,W58/P58)</f>
        <v/>
      </c>
      <c r="AK58" s="9">
        <f>IF($B$9&lt;=0,0,AJ58/$B$9)</f>
        <v/>
      </c>
    </row>
    <row r="59">
      <c r="A59" s="8" t="inlineStr">
        <is>
          <t>Infernal Mages</t>
        </is>
      </c>
      <c r="B59" s="8" t="inlineStr">
        <is>
          <t>Undercroft</t>
        </is>
      </c>
      <c r="C59" s="19" t="inlineStr">
        <is>
          <t>drain_leeches</t>
        </is>
      </c>
      <c r="D59" s="8" t="inlineStr">
        <is>
          <t>Clumped casters with a shield until Pierce; gold and ember loot.</t>
        </is>
      </c>
      <c r="E59" s="13" t="n">
        <v>1</v>
      </c>
      <c r="F59" s="13" t="n">
        <v>0.95</v>
      </c>
      <c r="G59" s="13" t="n">
        <v>1.1</v>
      </c>
      <c r="H59" s="13" t="n">
        <v>0.8</v>
      </c>
      <c r="I59" s="20" t="n">
        <v>0</v>
      </c>
      <c r="J59" s="13" t="n">
        <v>1</v>
      </c>
      <c r="K59" s="8" t="n">
        <v>1</v>
      </c>
      <c r="L59" s="8" t="n">
        <v>1.35</v>
      </c>
      <c r="M59" s="21">
        <f>$B$17</f>
        <v/>
      </c>
      <c r="N59" s="22">
        <f>M59*E59</f>
        <v/>
      </c>
      <c r="O59" s="9">
        <f>IF($B$8&lt;=0,0,N59/$B$8)</f>
        <v/>
      </c>
      <c r="P59" s="9">
        <f>IF(O59&lt;=0,0,60/O59)</f>
        <v/>
      </c>
      <c r="Q59" s="8" t="n">
        <v>4</v>
      </c>
      <c r="R59" s="8" t="n">
        <v>9</v>
      </c>
      <c r="S59" s="9">
        <f>(Q59+R59)/2</f>
        <v/>
      </c>
      <c r="T59" s="23" t="n">
        <v>0.16</v>
      </c>
      <c r="U59" s="23" t="n">
        <v>0.04</v>
      </c>
      <c r="V59" s="8" t="n">
        <v>1.4</v>
      </c>
      <c r="W59" s="8" t="n">
        <v>100</v>
      </c>
      <c r="X59" s="8" t="n">
        <v>60</v>
      </c>
      <c r="Y59" s="8" t="n">
        <v>0.5</v>
      </c>
      <c r="Z59" s="8" t="n">
        <v>1.2</v>
      </c>
      <c r="AA59" s="8" t="n">
        <v>1</v>
      </c>
      <c r="AB59" s="8" t="inlineStr">
        <is>
          <t>ember_core</t>
        </is>
      </c>
      <c r="AC59" s="23" t="n">
        <v>0.1</v>
      </c>
      <c r="AD59" s="24">
        <f>P59*60*S59</f>
        <v/>
      </c>
      <c r="AE59" s="24">
        <f>$B$20*AA59*Z59*S59*60</f>
        <v/>
      </c>
      <c r="AF59" s="22">
        <f>P59*60*T59</f>
        <v/>
      </c>
      <c r="AG59" s="25">
        <f>FLOOR(W59*0.5+X59*0.3,1)</f>
        <v/>
      </c>
      <c r="AH59" s="9">
        <f>IF(W59&lt;=0,0,P59*60/W59)</f>
        <v/>
      </c>
      <c r="AI59" s="22">
        <f>AH59*AG59</f>
        <v/>
      </c>
      <c r="AJ59" s="9">
        <f>IF(P59&lt;=0,0,W59/P59)</f>
        <v/>
      </c>
      <c r="AK59" s="9">
        <f>IF($B$9&lt;=0,0,AJ59/$B$9)</f>
        <v/>
      </c>
    </row>
    <row r="60">
      <c r="A60" s="8" t="inlineStr">
        <is>
          <t>Dust Devils</t>
        </is>
      </c>
      <c r="B60" s="8" t="inlineStr">
        <is>
          <t>Fenwatch</t>
        </is>
      </c>
      <c r="C60" s="19" t="inlineStr">
        <is>
          <t>bog_slimes</t>
        </is>
      </c>
      <c r="D60" s="8" t="inlineStr">
        <is>
          <t>Spinning grit whirlwinds that chip away at careless hunters.</t>
        </is>
      </c>
      <c r="E60" s="13" t="n">
        <v>1</v>
      </c>
      <c r="F60" s="13" t="n">
        <v>1</v>
      </c>
      <c r="G60" s="13" t="n">
        <v>1</v>
      </c>
      <c r="H60" s="13" t="n">
        <v>1</v>
      </c>
      <c r="I60" s="20" t="n">
        <v>0</v>
      </c>
      <c r="J60" s="13" t="n">
        <v>1</v>
      </c>
      <c r="K60" s="8" t="n">
        <v>0</v>
      </c>
      <c r="L60" s="8" t="inlineStr"/>
      <c r="M60" s="21">
        <f>$B$17</f>
        <v/>
      </c>
      <c r="N60" s="22">
        <f>M60*E60</f>
        <v/>
      </c>
      <c r="O60" s="9">
        <f>IF($B$8&lt;=0,0,N60/$B$8)</f>
        <v/>
      </c>
      <c r="P60" s="9">
        <f>IF(O60&lt;=0,0,60/O60)</f>
        <v/>
      </c>
      <c r="Q60" s="8" t="n">
        <v>4</v>
      </c>
      <c r="R60" s="8" t="n">
        <v>10</v>
      </c>
      <c r="S60" s="9">
        <f>(Q60+R60)/2</f>
        <v/>
      </c>
      <c r="T60" s="23" t="n">
        <v>0.22</v>
      </c>
      <c r="U60" s="23" t="n">
        <v>0.05</v>
      </c>
      <c r="V60" s="8" t="n">
        <v>2</v>
      </c>
      <c r="W60" s="8" t="n">
        <v>80</v>
      </c>
      <c r="X60" s="8" t="n">
        <v>80</v>
      </c>
      <c r="Y60" s="8" t="n">
        <v>0.6</v>
      </c>
      <c r="Z60" s="8" t="n">
        <v>1.25</v>
      </c>
      <c r="AA60" s="8" t="n">
        <v>1.35</v>
      </c>
      <c r="AB60" s="8" t="inlineStr"/>
      <c r="AC60" s="23" t="n">
        <v>0</v>
      </c>
      <c r="AD60" s="24">
        <f>P60*60*S60</f>
        <v/>
      </c>
      <c r="AE60" s="24">
        <f>$B$20*AA60*Z60*S60*60</f>
        <v/>
      </c>
      <c r="AF60" s="22">
        <f>P60*60*T60</f>
        <v/>
      </c>
      <c r="AG60" s="25">
        <f>FLOOR(W60*0.5+X60*0.3,1)</f>
        <v/>
      </c>
      <c r="AH60" s="9">
        <f>IF(W60&lt;=0,0,P60*60/W60)</f>
        <v/>
      </c>
      <c r="AI60" s="22">
        <f>AH60*AG60</f>
        <v/>
      </c>
      <c r="AJ60" s="9">
        <f>IF(P60&lt;=0,0,W60/P60)</f>
        <v/>
      </c>
      <c r="AK60" s="9">
        <f>IF($B$9&lt;=0,0,AJ60/$B$9)</f>
        <v/>
      </c>
    </row>
    <row r="61">
      <c r="A61" s="8" t="inlineStr">
        <is>
          <t>Gargoyles</t>
        </is>
      </c>
      <c r="B61" s="8" t="inlineStr">
        <is>
          <t>Fenwatch</t>
        </is>
      </c>
      <c r="C61" s="19" t="inlineStr">
        <is>
          <t>mist_wolves</t>
        </is>
      </c>
      <c r="D61" s="8" t="inlineStr">
        <is>
          <t>Stone-skinned perchers that shrug off light bolts.</t>
        </is>
      </c>
      <c r="E61" s="13" t="n">
        <v>1</v>
      </c>
      <c r="F61" s="13" t="n">
        <v>1</v>
      </c>
      <c r="G61" s="13" t="n">
        <v>1</v>
      </c>
      <c r="H61" s="13" t="n">
        <v>1</v>
      </c>
      <c r="I61" s="20" t="n">
        <v>0</v>
      </c>
      <c r="J61" s="13" t="n">
        <v>1</v>
      </c>
      <c r="K61" s="8" t="n">
        <v>0</v>
      </c>
      <c r="L61" s="8" t="inlineStr"/>
      <c r="M61" s="21">
        <f>$B$17</f>
        <v/>
      </c>
      <c r="N61" s="22">
        <f>M61*E61</f>
        <v/>
      </c>
      <c r="O61" s="9">
        <f>IF($B$8&lt;=0,0,N61/$B$8)</f>
        <v/>
      </c>
      <c r="P61" s="9">
        <f>IF(O61&lt;=0,0,60/O61)</f>
        <v/>
      </c>
      <c r="Q61" s="8" t="n">
        <v>6</v>
      </c>
      <c r="R61" s="8" t="n">
        <v>14</v>
      </c>
      <c r="S61" s="9">
        <f>(Q61+R61)/2</f>
        <v/>
      </c>
      <c r="T61" s="23" t="n">
        <v>0.25</v>
      </c>
      <c r="U61" s="23" t="n">
        <v>0.06</v>
      </c>
      <c r="V61" s="8" t="n">
        <v>2.5</v>
      </c>
      <c r="W61" s="8" t="n">
        <v>120</v>
      </c>
      <c r="X61" s="8" t="n">
        <v>120</v>
      </c>
      <c r="Y61" s="8" t="n">
        <v>0.7</v>
      </c>
      <c r="Z61" s="8" t="n">
        <v>1.4</v>
      </c>
      <c r="AA61" s="8" t="n">
        <v>1.35</v>
      </c>
      <c r="AB61" s="8" t="inlineStr"/>
      <c r="AC61" s="23" t="n">
        <v>0</v>
      </c>
      <c r="AD61" s="24">
        <f>P61*60*S61</f>
        <v/>
      </c>
      <c r="AE61" s="24">
        <f>$B$20*AA61*Z61*S61*60</f>
        <v/>
      </c>
      <c r="AF61" s="22">
        <f>P61*60*T61</f>
        <v/>
      </c>
      <c r="AG61" s="25">
        <f>FLOOR(W61*0.5+X61*0.3,1)</f>
        <v/>
      </c>
      <c r="AH61" s="9">
        <f>IF(W61&lt;=0,0,P61*60/W61)</f>
        <v/>
      </c>
      <c r="AI61" s="22">
        <f>AH61*AG61</f>
        <v/>
      </c>
      <c r="AJ61" s="9">
        <f>IF(P61&lt;=0,0,W61/P61)</f>
        <v/>
      </c>
      <c r="AK61" s="9">
        <f>IF($B$9&lt;=0,0,AJ61/$B$9)</f>
        <v/>
      </c>
    </row>
    <row r="62">
      <c r="A62" s="8" t="inlineStr">
        <is>
          <t>Aberrant Spectres</t>
        </is>
      </c>
      <c r="B62" s="8" t="inlineStr">
        <is>
          <t>Fenwatch</t>
        </is>
      </c>
      <c r="C62" s="19" t="inlineStr">
        <is>
          <t>thorn_sprites</t>
        </is>
      </c>
      <c r="D62" s="8" t="inlineStr">
        <is>
          <t>Violet ghosts that warp sideways when you line up a shot.</t>
        </is>
      </c>
      <c r="E62" s="13" t="n">
        <v>1</v>
      </c>
      <c r="F62" s="13" t="n">
        <v>1</v>
      </c>
      <c r="G62" s="13" t="n">
        <v>1</v>
      </c>
      <c r="H62" s="13" t="n">
        <v>1</v>
      </c>
      <c r="I62" s="20" t="n">
        <v>0</v>
      </c>
      <c r="J62" s="13" t="n">
        <v>1</v>
      </c>
      <c r="K62" s="8" t="n">
        <v>0</v>
      </c>
      <c r="L62" s="8" t="inlineStr"/>
      <c r="M62" s="21">
        <f>$B$17</f>
        <v/>
      </c>
      <c r="N62" s="22">
        <f>M62*E62</f>
        <v/>
      </c>
      <c r="O62" s="9">
        <f>IF($B$8&lt;=0,0,N62/$B$8)</f>
        <v/>
      </c>
      <c r="P62" s="9">
        <f>IF(O62&lt;=0,0,60/O62)</f>
        <v/>
      </c>
      <c r="Q62" s="8" t="n">
        <v>8</v>
      </c>
      <c r="R62" s="8" t="n">
        <v>18</v>
      </c>
      <c r="S62" s="9">
        <f>(Q62+R62)/2</f>
        <v/>
      </c>
      <c r="T62" s="23" t="n">
        <v>0.28</v>
      </c>
      <c r="U62" s="23" t="n">
        <v>0.07000000000000001</v>
      </c>
      <c r="V62" s="8" t="n">
        <v>3</v>
      </c>
      <c r="W62" s="8" t="n">
        <v>150</v>
      </c>
      <c r="X62" s="8" t="n">
        <v>160</v>
      </c>
      <c r="Y62" s="8" t="n">
        <v>0.75</v>
      </c>
      <c r="Z62" s="8" t="n">
        <v>1.5</v>
      </c>
      <c r="AA62" s="8" t="n">
        <v>1.35</v>
      </c>
      <c r="AB62" s="8" t="inlineStr"/>
      <c r="AC62" s="23" t="n">
        <v>0</v>
      </c>
      <c r="AD62" s="24">
        <f>P62*60*S62</f>
        <v/>
      </c>
      <c r="AE62" s="24">
        <f>$B$20*AA62*Z62*S62*60</f>
        <v/>
      </c>
      <c r="AF62" s="22">
        <f>P62*60*T62</f>
        <v/>
      </c>
      <c r="AG62" s="25">
        <f>FLOOR(W62*0.5+X62*0.3,1)</f>
        <v/>
      </c>
      <c r="AH62" s="9">
        <f>IF(W62&lt;=0,0,P62*60/W62)</f>
        <v/>
      </c>
      <c r="AI62" s="22">
        <f>AH62*AG62</f>
        <v/>
      </c>
      <c r="AJ62" s="9">
        <f>IF(P62&lt;=0,0,W62/P62)</f>
        <v/>
      </c>
      <c r="AK62" s="9">
        <f>IF($B$9&lt;=0,0,AJ62/$B$9)</f>
        <v/>
      </c>
    </row>
    <row r="63">
      <c r="A63" s="8" t="inlineStr">
        <is>
          <t>Kurasks</t>
        </is>
      </c>
      <c r="B63" s="8" t="inlineStr">
        <is>
          <t>Bonevault</t>
        </is>
      </c>
      <c r="C63" s="19" t="inlineStr">
        <is>
          <t>grave_beetles</t>
        </is>
      </c>
      <c r="D63" s="8" t="inlineStr">
        <is>
          <t>Heavy crypt beasts with thick hides and mean horns.</t>
        </is>
      </c>
      <c r="E63" s="13" t="n">
        <v>1</v>
      </c>
      <c r="F63" s="13" t="n">
        <v>1</v>
      </c>
      <c r="G63" s="13" t="n">
        <v>1</v>
      </c>
      <c r="H63" s="13" t="n">
        <v>1</v>
      </c>
      <c r="I63" s="20" t="n">
        <v>0</v>
      </c>
      <c r="J63" s="13" t="n">
        <v>1</v>
      </c>
      <c r="K63" s="8" t="n">
        <v>0</v>
      </c>
      <c r="L63" s="8" t="inlineStr"/>
      <c r="M63" s="21">
        <f>$B$17</f>
        <v/>
      </c>
      <c r="N63" s="22">
        <f>M63*E63</f>
        <v/>
      </c>
      <c r="O63" s="9">
        <f>IF($B$8&lt;=0,0,N63/$B$8)</f>
        <v/>
      </c>
      <c r="P63" s="9">
        <f>IF(O63&lt;=0,0,60/O63)</f>
        <v/>
      </c>
      <c r="Q63" s="8" t="n">
        <v>10</v>
      </c>
      <c r="R63" s="8" t="n">
        <v>22</v>
      </c>
      <c r="S63" s="9">
        <f>(Q63+R63)/2</f>
        <v/>
      </c>
      <c r="T63" s="23" t="n">
        <v>0.3</v>
      </c>
      <c r="U63" s="23" t="n">
        <v>0.08</v>
      </c>
      <c r="V63" s="8" t="n">
        <v>3.5</v>
      </c>
      <c r="W63" s="8" t="n">
        <v>140</v>
      </c>
      <c r="X63" s="8" t="n">
        <v>200</v>
      </c>
      <c r="Y63" s="8" t="n">
        <v>0.8</v>
      </c>
      <c r="Z63" s="8" t="n">
        <v>1.6</v>
      </c>
      <c r="AA63" s="8" t="n">
        <v>1.8</v>
      </c>
      <c r="AB63" s="8" t="inlineStr"/>
      <c r="AC63" s="23" t="n">
        <v>0</v>
      </c>
      <c r="AD63" s="24">
        <f>P63*60*S63</f>
        <v/>
      </c>
      <c r="AE63" s="24">
        <f>$B$20*AA63*Z63*S63*60</f>
        <v/>
      </c>
      <c r="AF63" s="22">
        <f>P63*60*T63</f>
        <v/>
      </c>
      <c r="AG63" s="25">
        <f>FLOOR(W63*0.5+X63*0.3,1)</f>
        <v/>
      </c>
      <c r="AH63" s="9">
        <f>IF(W63&lt;=0,0,P63*60/W63)</f>
        <v/>
      </c>
      <c r="AI63" s="22">
        <f>AH63*AG63</f>
        <v/>
      </c>
      <c r="AJ63" s="9">
        <f>IF(P63&lt;=0,0,W63/P63)</f>
        <v/>
      </c>
      <c r="AK63" s="9">
        <f>IF($B$9&lt;=0,0,AJ63/$B$9)</f>
        <v/>
      </c>
    </row>
    <row r="64">
      <c r="A64" s="8" t="inlineStr">
        <is>
          <t>Gargantuan Boneguards</t>
        </is>
      </c>
      <c r="B64" s="8" t="inlineStr">
        <is>
          <t>Bonevault</t>
        </is>
      </c>
      <c r="C64" s="19" t="inlineStr">
        <is>
          <t>bone_rattlers</t>
        </is>
      </c>
      <c r="D64" s="8" t="inlineStr">
        <is>
          <t>Towering bone sentries that rattle the vault floors.</t>
        </is>
      </c>
      <c r="E64" s="13" t="n">
        <v>1</v>
      </c>
      <c r="F64" s="13" t="n">
        <v>1</v>
      </c>
      <c r="G64" s="13" t="n">
        <v>1</v>
      </c>
      <c r="H64" s="13" t="n">
        <v>1</v>
      </c>
      <c r="I64" s="20" t="n">
        <v>0</v>
      </c>
      <c r="J64" s="13" t="n">
        <v>1</v>
      </c>
      <c r="K64" s="8" t="n">
        <v>0</v>
      </c>
      <c r="L64" s="8" t="inlineStr"/>
      <c r="M64" s="21">
        <f>$B$17</f>
        <v/>
      </c>
      <c r="N64" s="22">
        <f>M64*E64</f>
        <v/>
      </c>
      <c r="O64" s="9">
        <f>IF($B$8&lt;=0,0,N64/$B$8)</f>
        <v/>
      </c>
      <c r="P64" s="9">
        <f>IF(O64&lt;=0,0,60/O64)</f>
        <v/>
      </c>
      <c r="Q64" s="8" t="n">
        <v>14</v>
      </c>
      <c r="R64" s="8" t="n">
        <v>28</v>
      </c>
      <c r="S64" s="9">
        <f>(Q64+R64)/2</f>
        <v/>
      </c>
      <c r="T64" s="23" t="n">
        <v>0.32</v>
      </c>
      <c r="U64" s="23" t="n">
        <v>0.09</v>
      </c>
      <c r="V64" s="8" t="n">
        <v>4</v>
      </c>
      <c r="W64" s="8" t="n">
        <v>200</v>
      </c>
      <c r="X64" s="8" t="n">
        <v>280</v>
      </c>
      <c r="Y64" s="8" t="n">
        <v>0.9</v>
      </c>
      <c r="Z64" s="8" t="n">
        <v>1.8</v>
      </c>
      <c r="AA64" s="8" t="n">
        <v>1.8</v>
      </c>
      <c r="AB64" s="8" t="inlineStr"/>
      <c r="AC64" s="23" t="n">
        <v>0</v>
      </c>
      <c r="AD64" s="24">
        <f>P64*60*S64</f>
        <v/>
      </c>
      <c r="AE64" s="24">
        <f>$B$20*AA64*Z64*S64*60</f>
        <v/>
      </c>
      <c r="AF64" s="22">
        <f>P64*60*T64</f>
        <v/>
      </c>
      <c r="AG64" s="25">
        <f>FLOOR(W64*0.5+X64*0.3,1)</f>
        <v/>
      </c>
      <c r="AH64" s="9">
        <f>IF(W64&lt;=0,0,P64*60/W64)</f>
        <v/>
      </c>
      <c r="AI64" s="22">
        <f>AH64*AG64</f>
        <v/>
      </c>
      <c r="AJ64" s="9">
        <f>IF(P64&lt;=0,0,W64/P64)</f>
        <v/>
      </c>
      <c r="AK64" s="9">
        <f>IF($B$9&lt;=0,0,AJ64/$B$9)</f>
        <v/>
      </c>
    </row>
    <row r="65">
      <c r="A65" s="8" t="inlineStr">
        <is>
          <t>Nechryarch Kin</t>
        </is>
      </c>
      <c r="B65" s="8" t="inlineStr">
        <is>
          <t>Ash Warrens</t>
        </is>
      </c>
      <c r="C65" s="19" t="inlineStr">
        <is>
          <t>ash_imps</t>
        </is>
      </c>
      <c r="D65" s="8" t="inlineStr">
        <is>
          <t>Ash-born kin that swarm in packs from the warrens.</t>
        </is>
      </c>
      <c r="E65" s="13" t="n">
        <v>1</v>
      </c>
      <c r="F65" s="13" t="n">
        <v>1</v>
      </c>
      <c r="G65" s="13" t="n">
        <v>1</v>
      </c>
      <c r="H65" s="13" t="n">
        <v>1</v>
      </c>
      <c r="I65" s="20" t="n">
        <v>0</v>
      </c>
      <c r="J65" s="13" t="n">
        <v>1</v>
      </c>
      <c r="K65" s="8" t="n">
        <v>0</v>
      </c>
      <c r="L65" s="8" t="inlineStr"/>
      <c r="M65" s="21">
        <f>$B$17</f>
        <v/>
      </c>
      <c r="N65" s="22">
        <f>M65*E65</f>
        <v/>
      </c>
      <c r="O65" s="9">
        <f>IF($B$8&lt;=0,0,N65/$B$8)</f>
        <v/>
      </c>
      <c r="P65" s="9">
        <f>IF(O65&lt;=0,0,60/O65)</f>
        <v/>
      </c>
      <c r="Q65" s="8" t="n">
        <v>18</v>
      </c>
      <c r="R65" s="8" t="n">
        <v>36</v>
      </c>
      <c r="S65" s="9">
        <f>(Q65+R65)/2</f>
        <v/>
      </c>
      <c r="T65" s="23" t="n">
        <v>0.35</v>
      </c>
      <c r="U65" s="23" t="n">
        <v>0.1</v>
      </c>
      <c r="V65" s="8" t="n">
        <v>5</v>
      </c>
      <c r="W65" s="8" t="n">
        <v>180</v>
      </c>
      <c r="X65" s="8" t="n">
        <v>350</v>
      </c>
      <c r="Y65" s="8" t="n">
        <v>1</v>
      </c>
      <c r="Z65" s="8" t="n">
        <v>2</v>
      </c>
      <c r="AA65" s="8" t="n">
        <v>2.5</v>
      </c>
      <c r="AB65" s="8" t="inlineStr"/>
      <c r="AC65" s="23" t="n">
        <v>0</v>
      </c>
      <c r="AD65" s="24">
        <f>P65*60*S65</f>
        <v/>
      </c>
      <c r="AE65" s="24">
        <f>$B$20*AA65*Z65*S65*60</f>
        <v/>
      </c>
      <c r="AF65" s="22">
        <f>P65*60*T65</f>
        <v/>
      </c>
      <c r="AG65" s="25">
        <f>FLOOR(W65*0.5+X65*0.3,1)</f>
        <v/>
      </c>
      <c r="AH65" s="9">
        <f>IF(W65&lt;=0,0,P65*60/W65)</f>
        <v/>
      </c>
      <c r="AI65" s="22">
        <f>AH65*AG65</f>
        <v/>
      </c>
      <c r="AJ65" s="9">
        <f>IF(P65&lt;=0,0,W65/P65)</f>
        <v/>
      </c>
      <c r="AK65" s="9">
        <f>IF($B$9&lt;=0,0,AJ65/$B$9)</f>
        <v/>
      </c>
    </row>
    <row r="66">
      <c r="A66" s="8" t="inlineStr">
        <is>
          <t>Abyssal Demons</t>
        </is>
      </c>
      <c r="B66" s="8" t="inlineStr">
        <is>
          <t>Ash Warrens</t>
        </is>
      </c>
      <c r="C66" s="19" t="inlineStr">
        <is>
          <t>cinder_hounds</t>
        </is>
      </c>
      <c r="D66" s="8" t="inlineStr">
        <is>
          <t>Deep-abyss brutes that burn through Food and patience.</t>
        </is>
      </c>
      <c r="E66" s="13" t="n">
        <v>1</v>
      </c>
      <c r="F66" s="13" t="n">
        <v>1</v>
      </c>
      <c r="G66" s="13" t="n">
        <v>1</v>
      </c>
      <c r="H66" s="13" t="n">
        <v>1</v>
      </c>
      <c r="I66" s="20" t="n">
        <v>0</v>
      </c>
      <c r="J66" s="13" t="n">
        <v>1</v>
      </c>
      <c r="K66" s="8" t="n">
        <v>0</v>
      </c>
      <c r="L66" s="8" t="inlineStr"/>
      <c r="M66" s="21">
        <f>$B$17</f>
        <v/>
      </c>
      <c r="N66" s="22">
        <f>M66*E66</f>
        <v/>
      </c>
      <c r="O66" s="9">
        <f>IF($B$8&lt;=0,0,N66/$B$8)</f>
        <v/>
      </c>
      <c r="P66" s="9">
        <f>IF(O66&lt;=0,0,60/O66)</f>
        <v/>
      </c>
      <c r="Q66" s="8" t="n">
        <v>22</v>
      </c>
      <c r="R66" s="8" t="n">
        <v>45</v>
      </c>
      <c r="S66" s="9">
        <f>(Q66+R66)/2</f>
        <v/>
      </c>
      <c r="T66" s="23" t="n">
        <v>0.38</v>
      </c>
      <c r="U66" s="23" t="n">
        <v>0.12</v>
      </c>
      <c r="V66" s="8" t="n">
        <v>6</v>
      </c>
      <c r="W66" s="8" t="n">
        <v>250</v>
      </c>
      <c r="X66" s="8" t="n">
        <v>450</v>
      </c>
      <c r="Y66" s="8" t="n">
        <v>1.1</v>
      </c>
      <c r="Z66" s="8" t="n">
        <v>2.2</v>
      </c>
      <c r="AA66" s="8" t="n">
        <v>2.5</v>
      </c>
      <c r="AB66" s="8" t="inlineStr"/>
      <c r="AC66" s="23" t="n">
        <v>0</v>
      </c>
      <c r="AD66" s="24">
        <f>P66*60*S66</f>
        <v/>
      </c>
      <c r="AE66" s="24">
        <f>$B$20*AA66*Z66*S66*60</f>
        <v/>
      </c>
      <c r="AF66" s="22">
        <f>P66*60*T66</f>
        <v/>
      </c>
      <c r="AG66" s="25">
        <f>FLOOR(W66*0.5+X66*0.3,1)</f>
        <v/>
      </c>
      <c r="AH66" s="9">
        <f>IF(W66&lt;=0,0,P66*60/W66)</f>
        <v/>
      </c>
      <c r="AI66" s="22">
        <f>AH66*AG66</f>
        <v/>
      </c>
      <c r="AJ66" s="9">
        <f>IF(P66&lt;=0,0,W66/P66)</f>
        <v/>
      </c>
      <c r="AK66" s="9">
        <f>IF($B$9&lt;=0,0,AJ66/$B$9)</f>
        <v/>
      </c>
    </row>
    <row r="68" ht="22" customHeight="1">
      <c r="A68" s="6" t="inlineStr">
        <is>
          <t>D · MASTERY PERKS (per monster · Improve bounty)</t>
        </is>
      </c>
    </row>
    <row r="69">
      <c r="A69" s="26" t="inlineStr">
        <is>
          <t>Monster</t>
        </is>
      </c>
      <c r="B69" s="26" t="inlineStr">
        <is>
          <t>At mastery</t>
        </is>
      </c>
      <c r="C69" s="26" t="inlineStr">
        <is>
          <t>Effect text</t>
        </is>
      </c>
      <c r="D69" s="26" t="inlineStr">
        <is>
          <t>scrapChance</t>
        </is>
      </c>
      <c r="E69" s="26" t="inlineStr">
        <is>
          <t>pointsMult</t>
        </is>
      </c>
      <c r="F69" s="26" t="inlineStr">
        <is>
          <t>offlineCapMin</t>
        </is>
      </c>
      <c r="G69" s="26" t="inlineStr">
        <is>
          <t>foodEff</t>
        </is>
      </c>
      <c r="H69" s="26" t="inlineStr">
        <is>
          <t>killMult</t>
        </is>
      </c>
    </row>
    <row r="70">
      <c r="A70" s="3" t="inlineStr">
        <is>
          <t>Crawling Hands</t>
        </is>
      </c>
      <c r="B70" s="3" t="n">
        <v>3</v>
      </c>
      <c r="C70" s="3" t="inlineStr">
        <is>
          <t>+5% global scrap chance</t>
        </is>
      </c>
      <c r="D70" s="3" t="n">
        <v>0.05</v>
      </c>
      <c r="E70" s="3" t="inlineStr"/>
      <c r="F70" s="3" t="inlineStr"/>
      <c r="G70" s="3" t="inlineStr"/>
      <c r="H70" s="3" t="inlineStr"/>
    </row>
    <row r="71">
      <c r="A71" s="3" t="inlineStr">
        <is>
          <t>Crawling Hands</t>
        </is>
      </c>
      <c r="B71" s="3" t="n">
        <v>6</v>
      </c>
      <c r="C71" s="3" t="inlineStr">
        <is>
          <t>+8% global scrap chance</t>
        </is>
      </c>
      <c r="D71" s="3" t="n">
        <v>0.08</v>
      </c>
      <c r="E71" s="3" t="inlineStr"/>
      <c r="F71" s="3" t="inlineStr"/>
      <c r="G71" s="3" t="inlineStr"/>
      <c r="H71" s="3" t="inlineStr"/>
    </row>
    <row r="72">
      <c r="A72" s="3" t="inlineStr">
        <is>
          <t>Crawling Hands</t>
        </is>
      </c>
      <c r="B72" s="3" t="n">
        <v>10</v>
      </c>
      <c r="C72" s="3" t="inlineStr">
        <is>
          <t>+12% global scrap chance</t>
        </is>
      </c>
      <c r="D72" s="3" t="n">
        <v>0.12</v>
      </c>
      <c r="E72" s="3" t="inlineStr"/>
      <c r="F72" s="3" t="inlineStr"/>
      <c r="G72" s="3" t="inlineStr"/>
      <c r="H72" s="3" t="inlineStr"/>
    </row>
    <row r="73">
      <c r="A73" s="3" t="inlineStr">
        <is>
          <t>Banshees</t>
        </is>
      </c>
      <c r="B73" s="3" t="n">
        <v>3</v>
      </c>
      <c r="C73" s="3" t="inlineStr">
        <is>
          <t>+4% contract points</t>
        </is>
      </c>
      <c r="D73" s="3" t="inlineStr"/>
      <c r="E73" s="3" t="n">
        <v>0.04</v>
      </c>
      <c r="F73" s="3" t="inlineStr"/>
      <c r="G73" s="3" t="inlineStr"/>
      <c r="H73" s="3" t="inlineStr"/>
    </row>
    <row r="74">
      <c r="A74" s="3" t="inlineStr">
        <is>
          <t>Banshees</t>
        </is>
      </c>
      <c r="B74" s="3" t="n">
        <v>6</v>
      </c>
      <c r="C74" s="3" t="inlineStr">
        <is>
          <t>+15 min offline cap</t>
        </is>
      </c>
      <c r="D74" s="3" t="inlineStr"/>
      <c r="E74" s="3" t="inlineStr"/>
      <c r="F74" s="3" t="n">
        <v>15</v>
      </c>
      <c r="G74" s="3" t="inlineStr"/>
      <c r="H74" s="3" t="inlineStr"/>
    </row>
    <row r="75">
      <c r="A75" s="3" t="inlineStr">
        <is>
          <t>Banshees</t>
        </is>
      </c>
      <c r="B75" s="3" t="n">
        <v>10</v>
      </c>
      <c r="C75" s="3" t="inlineStr">
        <is>
          <t>+8% points · +20 min offline cap</t>
        </is>
      </c>
      <c r="D75" s="3" t="inlineStr"/>
      <c r="E75" s="3" t="n">
        <v>0.08</v>
      </c>
      <c r="F75" s="3" t="n">
        <v>20</v>
      </c>
      <c r="G75" s="3" t="inlineStr"/>
      <c r="H75" s="3" t="inlineStr"/>
    </row>
    <row r="76">
      <c r="A76" s="3" t="inlineStr">
        <is>
          <t>Infernal Mages</t>
        </is>
      </c>
      <c r="B76" s="3" t="n">
        <v>3</v>
      </c>
      <c r="C76" s="3" t="inlineStr">
        <is>
          <t>+5% food efficiency</t>
        </is>
      </c>
      <c r="D76" s="3" t="inlineStr"/>
      <c r="E76" s="3" t="inlineStr"/>
      <c r="F76" s="3" t="inlineStr"/>
      <c r="G76" s="3" t="n">
        <v>0.05</v>
      </c>
      <c r="H76" s="3" t="inlineStr"/>
    </row>
    <row r="77">
      <c r="A77" s="3" t="inlineStr">
        <is>
          <t>Infernal Mages</t>
        </is>
      </c>
      <c r="B77" s="3" t="n">
        <v>6</v>
      </c>
      <c r="C77" s="3" t="inlineStr">
        <is>
          <t>+4% bolt focus feel</t>
        </is>
      </c>
      <c r="D77" s="3" t="inlineStr"/>
      <c r="E77" s="3" t="inlineStr"/>
      <c r="F77" s="3" t="inlineStr"/>
      <c r="G77" s="3" t="inlineStr"/>
      <c r="H77" s="3" t="n">
        <v>0.04</v>
      </c>
    </row>
    <row r="78">
      <c r="A78" s="3" t="inlineStr">
        <is>
          <t>Infernal Mages</t>
        </is>
      </c>
      <c r="B78" s="3" t="n">
        <v>10</v>
      </c>
      <c r="C78" s="3" t="inlineStr">
        <is>
          <t>+8% food efficiency · +6% bolt focus</t>
        </is>
      </c>
      <c r="D78" s="3" t="inlineStr"/>
      <c r="E78" s="3" t="inlineStr"/>
      <c r="F78" s="3" t="inlineStr"/>
      <c r="G78" s="3" t="n">
        <v>0.08</v>
      </c>
      <c r="H78" s="3" t="n">
        <v>0.06</v>
      </c>
    </row>
    <row r="80" ht="22" customHeight="1">
      <c r="A80" s="6" t="inlineStr">
        <is>
          <t>E · GEAR LADDER (time gates · minPlayMs)</t>
        </is>
      </c>
    </row>
    <row r="81">
      <c r="A81" s="26" t="inlineStr">
        <is>
          <t>Gear</t>
        </is>
      </c>
      <c r="B81" s="26" t="inlineStr">
        <is>
          <t>Tier</t>
        </is>
      </c>
      <c r="C81" s="26" t="inlineStr">
        <is>
          <t>minPlayMs</t>
        </is>
      </c>
      <c r="D81" s="26" t="inlineStr">
        <is>
          <t>Gate (minutes)</t>
        </is>
      </c>
      <c r="E81" s="26" t="inlineStr">
        <is>
          <t>Gate (hours)</t>
        </is>
      </c>
      <c r="F81" s="26" t="inlineStr">
        <is>
          <t>Base cost</t>
        </is>
      </c>
      <c r="G81" s="26" t="inlineStr">
        <is>
          <t>Cost mult</t>
        </is>
      </c>
      <c r="H81" s="26" t="inlineStr">
        <is>
          <t>Notes</t>
        </is>
      </c>
    </row>
    <row r="82">
      <c r="A82" s="3" t="inlineStr">
        <is>
          <t>Bronze Blade</t>
        </is>
      </c>
      <c r="B82" s="3" t="n">
        <v>1</v>
      </c>
      <c r="C82" s="3" t="n">
        <v>0</v>
      </c>
      <c r="D82" s="17">
        <f>C82/60000</f>
        <v/>
      </c>
      <c r="E82" s="11">
        <f>C82/3600000</f>
        <v/>
      </c>
      <c r="F82" s="3" t="n">
        <v>0</v>
      </c>
      <c r="G82" s="3" t="n">
        <v>1</v>
      </c>
      <c r="H82" s="3" t="inlineStr"/>
    </row>
    <row r="83">
      <c r="A83" s="3" t="inlineStr">
        <is>
          <t>Iron Blade</t>
        </is>
      </c>
      <c r="B83" s="3" t="n">
        <v>2</v>
      </c>
      <c r="C83" s="3" t="n">
        <v>600000</v>
      </c>
      <c r="D83" s="17">
        <f>C83/60000</f>
        <v/>
      </c>
      <c r="E83" s="11">
        <f>C83/3600000</f>
        <v/>
      </c>
      <c r="F83" s="3" t="n">
        <v>180</v>
      </c>
      <c r="G83" s="3" t="n">
        <v>1</v>
      </c>
      <c r="H83" s="3" t="inlineStr"/>
    </row>
    <row r="84">
      <c r="A84" s="3" t="inlineStr">
        <is>
          <t>Steel Blade</t>
        </is>
      </c>
      <c r="B84" s="3" t="n">
        <v>3</v>
      </c>
      <c r="C84" s="3" t="n">
        <v>900000</v>
      </c>
      <c r="D84" s="17">
        <f>C84/60000</f>
        <v/>
      </c>
      <c r="E84" s="11">
        <f>C84/3600000</f>
        <v/>
      </c>
      <c r="F84" s="3" t="n">
        <v>450</v>
      </c>
      <c r="G84" s="3" t="n">
        <v>1</v>
      </c>
      <c r="H84" s="3" t="inlineStr"/>
    </row>
    <row r="85">
      <c r="A85" s="3" t="inlineStr">
        <is>
          <t>Mithril Blade</t>
        </is>
      </c>
      <c r="B85" s="3" t="n">
        <v>4</v>
      </c>
      <c r="C85" s="3" t="n">
        <v>1350000</v>
      </c>
      <c r="D85" s="17">
        <f>C85/60000</f>
        <v/>
      </c>
      <c r="E85" s="11">
        <f>C85/3600000</f>
        <v/>
      </c>
      <c r="F85" s="3" t="n">
        <v>320</v>
      </c>
      <c r="G85" s="3" t="n">
        <v>1</v>
      </c>
      <c r="H85" s="3" t="inlineStr"/>
    </row>
    <row r="86">
      <c r="A86" s="3" t="inlineStr">
        <is>
          <t>Adamant Blade</t>
        </is>
      </c>
      <c r="B86" s="3" t="n">
        <v>5</v>
      </c>
      <c r="C86" s="3" t="n">
        <v>2025000</v>
      </c>
      <c r="D86" s="17">
        <f>C86/60000</f>
        <v/>
      </c>
      <c r="E86" s="11">
        <f>C86/3600000</f>
        <v/>
      </c>
      <c r="F86" s="3" t="n">
        <v>700</v>
      </c>
      <c r="G86" s="3" t="n">
        <v>1</v>
      </c>
      <c r="H86" s="3" t="inlineStr"/>
    </row>
    <row r="87">
      <c r="A87" s="3" t="inlineStr">
        <is>
          <t>Rune Blade</t>
        </is>
      </c>
      <c r="B87" s="3" t="n">
        <v>6</v>
      </c>
      <c r="C87" s="3" t="n">
        <v>3037500</v>
      </c>
      <c r="D87" s="17">
        <f>C87/60000</f>
        <v/>
      </c>
      <c r="E87" s="11">
        <f>C87/3600000</f>
        <v/>
      </c>
      <c r="F87" s="3" t="n">
        <v>1500</v>
      </c>
      <c r="G87" s="3" t="n">
        <v>1</v>
      </c>
      <c r="H87" s="3" t="inlineStr"/>
    </row>
    <row r="88">
      <c r="A88" s="3" t="inlineStr">
        <is>
          <t>Dragon Blade</t>
        </is>
      </c>
      <c r="B88" s="3" t="n">
        <v>7</v>
      </c>
      <c r="C88" s="3" t="n">
        <v>4556250</v>
      </c>
      <c r="D88" s="17">
        <f>C88/60000</f>
        <v/>
      </c>
      <c r="E88" s="11">
        <f>C88/3600000</f>
        <v/>
      </c>
      <c r="F88" s="3" t="n">
        <v>3500</v>
      </c>
      <c r="G88" s="3" t="n">
        <v>1</v>
      </c>
      <c r="H88" s="3" t="inlineStr"/>
    </row>
    <row r="90" ht="22" customHeight="1">
      <c r="A90" s="6" t="inlineStr">
        <is>
          <t>F · HUNTERS (independent combat track)</t>
        </is>
      </c>
    </row>
    <row r="91">
      <c r="A91" s="26" t="inlineStr">
        <is>
          <t>Hunter</t>
        </is>
      </c>
      <c r="B91" s="26" t="inlineStr">
        <is>
          <t>Role</t>
        </is>
      </c>
      <c r="C91" s="26" t="inlineStr">
        <is>
          <t>Idle weight</t>
        </is>
      </c>
      <c r="D91" s="26" t="inlineStr">
        <is>
          <t>Base dmg/hit</t>
        </is>
      </c>
      <c r="E91" s="26" t="inlineStr">
        <is>
          <t>Attack interval ms</t>
        </is>
      </c>
      <c r="F91" s="26" t="inlineStr">
        <is>
          <t>Sustained DPS (100% uptime)</t>
        </is>
      </c>
      <c r="G91" s="26" t="inlineStr">
        <is>
          <t>Melee uptime assume</t>
        </is>
      </c>
      <c r="H91" s="26" t="inlineStr">
        <is>
          <t>Eff DPS</t>
        </is>
      </c>
      <c r="I91" s="26" t="inlineStr">
        <is>
          <t>Hire minPlayMs</t>
        </is>
      </c>
      <c r="J91" s="26" t="inlineStr">
        <is>
          <t>Hire minutes</t>
        </is>
      </c>
    </row>
    <row r="92">
      <c r="A92" s="3" t="inlineStr">
        <is>
          <t>Briar</t>
        </is>
      </c>
      <c r="B92" s="3" t="inlineStr">
        <is>
          <t>melee</t>
        </is>
      </c>
      <c r="C92" s="3" t="n">
        <v>1</v>
      </c>
      <c r="D92" s="3" t="n">
        <v>11</v>
      </c>
      <c r="E92" s="3" t="n">
        <v>1900</v>
      </c>
      <c r="F92" s="11">
        <f>IF(E92&lt;=0,0,D92/(E92/1000))</f>
        <v/>
      </c>
      <c r="G92" s="27" t="n">
        <v>0.72</v>
      </c>
      <c r="H92" s="11">
        <f>F92*G92</f>
        <v/>
      </c>
      <c r="I92" s="3" t="n">
        <v>900000</v>
      </c>
      <c r="J92" s="17">
        <f>I92/60000</f>
        <v/>
      </c>
    </row>
    <row r="93">
      <c r="A93" s="3" t="inlineStr">
        <is>
          <t>Quill</t>
        </is>
      </c>
      <c r="B93" s="3" t="inlineStr">
        <is>
          <t>ranged</t>
        </is>
      </c>
      <c r="C93" s="3" t="n">
        <v>0.85</v>
      </c>
      <c r="D93" s="3" t="n">
        <v>4</v>
      </c>
      <c r="E93" s="3" t="n">
        <v>1200</v>
      </c>
      <c r="F93" s="11">
        <f>IF(E93&lt;=0,0,D93/(E93/1000))</f>
        <v/>
      </c>
      <c r="G93" s="27" t="n">
        <v>1</v>
      </c>
      <c r="H93" s="11">
        <f>F93*G93</f>
        <v/>
      </c>
      <c r="I93" s="3" t="n">
        <v>5400000</v>
      </c>
      <c r="J93" s="17">
        <f>I93/60000</f>
        <v/>
      </c>
    </row>
    <row r="94">
      <c r="A94" s="3" t="inlineStr">
        <is>
          <t>Moss</t>
        </is>
      </c>
      <c r="B94" s="3" t="inlineStr">
        <is>
          <t>melee</t>
        </is>
      </c>
      <c r="C94" s="3" t="n">
        <v>1.15</v>
      </c>
      <c r="D94" s="3" t="n">
        <v>13</v>
      </c>
      <c r="E94" s="3" t="n">
        <v>2100</v>
      </c>
      <c r="F94" s="11">
        <f>IF(E94&lt;=0,0,D94/(E94/1000))</f>
        <v/>
      </c>
      <c r="G94" s="27" t="n">
        <v>0.72</v>
      </c>
      <c r="H94" s="11">
        <f>F94*G94</f>
        <v/>
      </c>
      <c r="I94" s="3" t="n">
        <v>10800000</v>
      </c>
      <c r="J94" s="17">
        <f>I94/60000</f>
        <v/>
      </c>
    </row>
    <row r="95">
      <c r="A95" s="3" t="inlineStr">
        <is>
          <t>Ember</t>
        </is>
      </c>
      <c r="B95" s="3" t="inlineStr">
        <is>
          <t>mage</t>
        </is>
      </c>
      <c r="C95" s="3" t="n">
        <v>1.4</v>
      </c>
      <c r="D95" s="3" t="n">
        <v>5</v>
      </c>
      <c r="E95" s="3" t="n">
        <v>1300</v>
      </c>
      <c r="F95" s="11">
        <f>IF(E95&lt;=0,0,D95/(E95/1000))</f>
        <v/>
      </c>
      <c r="G95" s="27" t="n">
        <v>1</v>
      </c>
      <c r="H95" s="11">
        <f>F95*G95</f>
        <v/>
      </c>
      <c r="I95" s="3" t="n">
        <v>18000000</v>
      </c>
      <c r="J95" s="17">
        <f>I95/60000</f>
        <v/>
      </c>
    </row>
    <row r="97" ht="22" customHeight="1">
      <c r="A97" s="6" t="inlineStr">
        <is>
          <t>G · COMBAT / COMPANY UNLOCK TIMING (Pierce vs Mage risk lives here)</t>
        </is>
      </c>
    </row>
    <row r="98">
      <c r="A98" s="26" t="inlineStr">
        <is>
          <t>Upgrade</t>
        </is>
      </c>
      <c r="B98" s="26" t="inlineStr">
        <is>
          <t>Id</t>
        </is>
      </c>
      <c r="C98" s="26" t="inlineStr">
        <is>
          <t>minPlayMs</t>
        </is>
      </c>
      <c r="D98" s="26" t="inlineStr">
        <is>
          <t>Minutes</t>
        </is>
      </c>
      <c r="E98" s="26" t="inlineStr">
        <is>
          <t>Hours</t>
        </is>
      </c>
      <c r="F98" s="26" t="inlineStr">
        <is>
          <t>Base cost</t>
        </is>
      </c>
      <c r="G98" s="26" t="inlineStr">
        <is>
          <t>Max level</t>
        </is>
      </c>
      <c r="H98" s="26" t="inlineStr">
        <is>
          <t>Why it matters</t>
        </is>
      </c>
    </row>
    <row r="99">
      <c r="A99" s="3" t="inlineStr">
        <is>
          <t>Unlock Crits</t>
        </is>
      </c>
      <c r="B99" s="5" t="inlineStr">
        <is>
          <t>unlock_crits</t>
        </is>
      </c>
      <c r="C99" s="3" t="n">
        <v>1200000</v>
      </c>
      <c r="D99" s="17">
        <f>C99/60000</f>
        <v/>
      </c>
      <c r="E99" s="11">
        <f>C99/3600000</f>
        <v/>
      </c>
      <c r="F99" s="3" t="n">
        <v>120</v>
      </c>
      <c r="G99" s="3" t="n">
        <v>1</v>
      </c>
      <c r="H99" s="3" t="inlineStr">
        <is>
          <t>~20 min feature gate.</t>
        </is>
      </c>
    </row>
    <row r="100">
      <c r="A100" s="3" t="inlineStr">
        <is>
          <t>Unlock Specials</t>
        </is>
      </c>
      <c r="B100" s="5" t="inlineStr">
        <is>
          <t>unlock_specials</t>
        </is>
      </c>
      <c r="C100" s="3" t="n">
        <v>1500000</v>
      </c>
      <c r="D100" s="17">
        <f>C100/60000</f>
        <v/>
      </c>
      <c r="E100" s="11">
        <f>C100/3600000</f>
        <v/>
      </c>
      <c r="F100" s="3" t="n">
        <v>200</v>
      </c>
      <c r="G100" s="3" t="n">
        <v>1</v>
      </c>
      <c r="H100" s="3" t="inlineStr"/>
    </row>
    <row r="101">
      <c r="A101" s="3" t="inlineStr">
        <is>
          <t>Bolt Focus</t>
        </is>
      </c>
      <c r="B101" s="5" t="inlineStr">
        <is>
          <t>beam_focus</t>
        </is>
      </c>
      <c r="C101" s="3" t="n">
        <v>480000</v>
      </c>
      <c r="D101" s="17">
        <f>C101/60000</f>
        <v/>
      </c>
      <c r="E101" s="11">
        <f>C101/3600000</f>
        <v/>
      </c>
      <c r="F101" s="3" t="n">
        <v>90</v>
      </c>
      <c r="G101" s="3" t="n">
        <v>3</v>
      </c>
      <c r="H101" s="3" t="inlineStr">
        <is>
          <t>Bolt visual/power tier path before Pierce.</t>
        </is>
      </c>
    </row>
    <row r="102">
      <c r="A102" s="3" t="inlineStr">
        <is>
          <t>Bolt Pierce</t>
        </is>
      </c>
      <c r="B102" s="5" t="inlineStr">
        <is>
          <t>bolt_pierce</t>
        </is>
      </c>
      <c r="C102" s="3" t="n">
        <v>900000</v>
      </c>
      <c r="D102" s="17">
        <f>C102/60000</f>
        <v/>
      </c>
      <c r="E102" s="11">
        <f>C102/3600000</f>
        <v/>
      </c>
      <c r="F102" s="3" t="n">
        <v>180</v>
      </c>
      <c r="G102" s="3" t="n">
        <v>2</v>
      </c>
      <c r="H102" s="3" t="inlineStr">
        <is>
          <t>Must land before Infernal Mages feel fair (hpMultNoPierce).</t>
        </is>
      </c>
    </row>
    <row r="103">
      <c r="A103" s="3" t="inlineStr">
        <is>
          <t>Bolt Bounce</t>
        </is>
      </c>
      <c r="B103" s="5" t="inlineStr">
        <is>
          <t>bolt_bounce</t>
        </is>
      </c>
      <c r="C103" s="3" t="n">
        <v>1200000</v>
      </c>
      <c r="D103" s="17">
        <f>C103/60000</f>
        <v/>
      </c>
      <c r="E103" s="11">
        <f>C103/3600000</f>
        <v/>
      </c>
      <c r="F103" s="3" t="n">
        <v>200</v>
      </c>
      <c r="G103" s="3" t="n">
        <v>2</v>
      </c>
      <c r="H103" s="3" t="inlineStr"/>
    </row>
    <row r="104">
      <c r="A104" s="3" t="inlineStr">
        <is>
          <t>Hire Briar</t>
        </is>
      </c>
      <c r="B104" s="5" t="inlineStr">
        <is>
          <t>hunter_briar</t>
        </is>
      </c>
      <c r="C104" s="3" t="n">
        <v>900000</v>
      </c>
      <c r="D104" s="17">
        <f>C104/60000</f>
        <v/>
      </c>
      <c r="E104" s="11">
        <f>C104/3600000</f>
        <v/>
      </c>
      <c r="F104" s="3" t="n">
        <v>80</v>
      </c>
      <c r="G104" s="3" t="n">
        <v>1</v>
      </c>
      <c r="H104" s="3" t="inlineStr">
        <is>
          <t>First hunter; independent DPS track.</t>
        </is>
      </c>
    </row>
    <row r="105">
      <c r="A105" s="3" t="inlineStr">
        <is>
          <t>Hire Quill</t>
        </is>
      </c>
      <c r="B105" s="5" t="inlineStr">
        <is>
          <t>hunter_quill</t>
        </is>
      </c>
      <c r="C105" s="3" t="n">
        <v>5400000</v>
      </c>
      <c r="D105" s="17">
        <f>C105/60000</f>
        <v/>
      </c>
      <c r="E105" s="11">
        <f>C105/3600000</f>
        <v/>
      </c>
      <c r="F105" s="3" t="n">
        <v>200</v>
      </c>
      <c r="G105" s="3" t="n">
        <v>1</v>
      </c>
      <c r="H105" s="3" t="inlineStr">
        <is>
          <t>Ranged hire softens Banshee aim rage jump.</t>
        </is>
      </c>
    </row>
    <row r="106">
      <c r="A106" s="3" t="inlineStr">
        <is>
          <t>Hunter Power</t>
        </is>
      </c>
      <c r="B106" s="5" t="inlineStr">
        <is>
          <t>hunter_power</t>
        </is>
      </c>
      <c r="C106" s="3" t="n">
        <v>1200000</v>
      </c>
      <c r="D106" s="17">
        <f>C106/60000</f>
        <v/>
      </c>
      <c r="E106" s="11">
        <f>C106/3600000</f>
        <v/>
      </c>
      <c r="F106" s="3" t="n">
        <v>100</v>
      </c>
      <c r="G106" s="3" t="n">
        <v>20</v>
      </c>
      <c r="H106" s="3" t="inlineStr"/>
    </row>
    <row r="107">
      <c r="A107" s="3" t="inlineStr">
        <is>
          <t>Bigger Hits</t>
        </is>
      </c>
      <c r="B107" s="5" t="inlineStr">
        <is>
          <t>hunter_damage</t>
        </is>
      </c>
      <c r="C107" s="3" t="n">
        <v>1320000</v>
      </c>
      <c r="D107" s="17">
        <f>C107/60000</f>
        <v/>
      </c>
      <c r="E107" s="11">
        <f>C107/3600000</f>
        <v/>
      </c>
      <c r="F107" s="3" t="n">
        <v>140</v>
      </c>
      <c r="G107" s="3" t="n">
        <v>15</v>
      </c>
      <c r="H107" s="3" t="inlineStr"/>
    </row>
    <row r="108">
      <c r="A108" s="3" t="inlineStr">
        <is>
          <t>Faster Attacks</t>
        </is>
      </c>
      <c r="B108" s="5" t="inlineStr">
        <is>
          <t>hunter_atk_speed</t>
        </is>
      </c>
      <c r="C108" s="3" t="n">
        <v>1440000</v>
      </c>
      <c r="D108" s="17">
        <f>C108/60000</f>
        <v/>
      </c>
      <c r="E108" s="11">
        <f>C108/3600000</f>
        <v/>
      </c>
      <c r="F108" s="3" t="n">
        <v>160</v>
      </c>
      <c r="G108" s="3" t="n">
        <v>12</v>
      </c>
      <c r="H108" s="3" t="inlineStr"/>
    </row>
    <row r="109">
      <c r="A109" s="3" t="inlineStr">
        <is>
          <t>Swift Walk</t>
        </is>
      </c>
      <c r="B109" s="5" t="inlineStr">
        <is>
          <t>hunter_swift_step</t>
        </is>
      </c>
      <c r="C109" s="3" t="n">
        <v>1080000</v>
      </c>
      <c r="D109" s="17">
        <f>C109/60000</f>
        <v/>
      </c>
      <c r="E109" s="11">
        <f>C109/3600000</f>
        <v/>
      </c>
      <c r="F109" s="3" t="n">
        <v>120</v>
      </c>
      <c r="G109" s="3" t="n">
        <v>1</v>
      </c>
      <c r="H109" s="3" t="inlineStr"/>
    </row>
    <row r="110">
      <c r="A110" s="3" t="inlineStr">
        <is>
          <t>Faster Chase</t>
        </is>
      </c>
      <c r="B110" s="5" t="inlineStr">
        <is>
          <t>hunter_pace</t>
        </is>
      </c>
      <c r="C110" s="3" t="n">
        <v>1500000</v>
      </c>
      <c r="D110" s="17">
        <f>C110/60000</f>
        <v/>
      </c>
      <c r="E110" s="11">
        <f>C110/3600000</f>
        <v/>
      </c>
      <c r="F110" s="3" t="n">
        <v>220</v>
      </c>
      <c r="G110" s="3" t="n">
        <v>1</v>
      </c>
      <c r="H110" s="3" t="inlineStr"/>
    </row>
    <row r="111">
      <c r="A111" s="3" t="inlineStr">
        <is>
          <t>Hard Charge</t>
        </is>
      </c>
      <c r="B111" s="5" t="inlineStr">
        <is>
          <t>hunter_charge</t>
        </is>
      </c>
      <c r="C111" s="3" t="n">
        <v>2100000</v>
      </c>
      <c r="D111" s="17">
        <f>C111/60000</f>
        <v/>
      </c>
      <c r="E111" s="11">
        <f>C111/3600000</f>
        <v/>
      </c>
      <c r="F111" s="3" t="n">
        <v>400</v>
      </c>
      <c r="G111" s="3" t="n">
        <v>1</v>
      </c>
      <c r="H111" s="3" t="inlineStr"/>
    </row>
    <row r="113" ht="22" customHeight="1">
      <c r="A113" s="6" t="inlineStr">
        <is>
          <t>H · AREA BOSSES (Progress fill → relic + next area; does not add monsters)</t>
        </is>
      </c>
    </row>
    <row r="114">
      <c r="A114" s="26" t="inlineStr">
        <is>
          <t>Boss</t>
        </is>
      </c>
      <c r="B114" s="26" t="inlineStr">
        <is>
          <t>Area</t>
        </is>
      </c>
      <c r="C114" s="26" t="inlineStr">
        <is>
          <t>Threshold</t>
        </is>
      </c>
      <c r="D114" s="26" t="inlineStr">
        <is>
          <t>Progress / kill</t>
        </is>
      </c>
      <c r="E114" s="26" t="inlineStr">
        <is>
          <t>Kills to fill (approx)</t>
        </is>
      </c>
      <c r="F114" s="26" t="inlineStr">
        <is>
          <t>Relic id</t>
        </is>
      </c>
      <c r="G114" s="26" t="inlineStr">
        <is>
          <t>Unlock area</t>
        </is>
      </c>
      <c r="H114" s="26" t="inlineStr">
        <is>
          <t>Reward points</t>
        </is>
      </c>
      <c r="I114" s="26" t="inlineStr">
        <is>
          <t>Reward gold</t>
        </is>
      </c>
    </row>
    <row r="115">
      <c r="A115" s="3" t="inlineStr">
        <is>
          <t>Undercroft Overseer</t>
        </is>
      </c>
      <c r="B115" s="3" t="inlineStr">
        <is>
          <t>Undercroft</t>
        </is>
      </c>
      <c r="C115" s="3" t="n">
        <v>80</v>
      </c>
      <c r="D115" s="28" t="n">
        <v>0.08</v>
      </c>
      <c r="E115" s="17">
        <f>IF(D115&lt;=0,0,C115/D115)</f>
        <v/>
      </c>
      <c r="F115" s="3" t="inlineStr">
        <is>
          <t>rat_tooth</t>
        </is>
      </c>
      <c r="G115" s="3" t="inlineStr">
        <is>
          <t>Fenwatch</t>
        </is>
      </c>
      <c r="H115" s="3" t="n">
        <v>100</v>
      </c>
      <c r="I115" s="3" t="n">
        <v>200</v>
      </c>
    </row>
    <row r="116">
      <c r="A116" s="3" t="inlineStr">
        <is>
          <t>Fenwatch Wraith</t>
        </is>
      </c>
      <c r="B116" s="3" t="inlineStr">
        <is>
          <t>Fenwatch</t>
        </is>
      </c>
      <c r="C116" s="3" t="n">
        <v>120</v>
      </c>
      <c r="D116" s="28" t="n">
        <v>0.06</v>
      </c>
      <c r="E116" s="17">
        <f>IF(D116&lt;=0,0,C116/D116)</f>
        <v/>
      </c>
      <c r="F116" s="3" t="inlineStr">
        <is>
          <t>fog_lens</t>
        </is>
      </c>
      <c r="G116" s="3" t="inlineStr">
        <is>
          <t>Bonevault</t>
        </is>
      </c>
      <c r="H116" s="3" t="n">
        <v>250</v>
      </c>
      <c r="I116" s="3" t="n">
        <v>500</v>
      </c>
    </row>
    <row r="117">
      <c r="A117" s="3" t="inlineStr">
        <is>
          <t>Bonevault Warden</t>
        </is>
      </c>
      <c r="B117" s="3" t="inlineStr">
        <is>
          <t>Bonevault</t>
        </is>
      </c>
      <c r="C117" s="3" t="n">
        <v>160</v>
      </c>
      <c r="D117" s="28" t="n">
        <v>0.05</v>
      </c>
      <c r="E117" s="17">
        <f>IF(D117&lt;=0,0,C117/D117)</f>
        <v/>
      </c>
      <c r="F117" s="3" t="inlineStr">
        <is>
          <t>bone_seal</t>
        </is>
      </c>
      <c r="G117" s="3" t="inlineStr">
        <is>
          <t>Ash Warrens</t>
        </is>
      </c>
      <c r="H117" s="3" t="n">
        <v>500</v>
      </c>
      <c r="I117" s="3" t="n">
        <v>1200</v>
      </c>
    </row>
    <row r="118">
      <c r="A118" s="3" t="inlineStr">
        <is>
          <t>Ash Abyssal</t>
        </is>
      </c>
      <c r="B118" s="3" t="inlineStr">
        <is>
          <t>Ash Warrens</t>
        </is>
      </c>
      <c r="C118" s="3" t="n">
        <v>220</v>
      </c>
      <c r="D118" s="28" t="n">
        <v>0.04</v>
      </c>
      <c r="E118" s="17">
        <f>IF(D118&lt;=0,0,C118/D118)</f>
        <v/>
      </c>
      <c r="F118" s="3" t="inlineStr">
        <is>
          <t>ember_crest</t>
        </is>
      </c>
      <c r="G118" s="3" t="n"/>
      <c r="H118" s="3" t="n">
        <v>1000</v>
      </c>
      <c r="I118" s="3" t="n">
        <v>3000</v>
      </c>
    </row>
    <row r="121" ht="22" customHeight="1">
      <c r="A121" s="6" t="inlineStr">
        <is>
          <t>I · DASHBOARD — auto figures (change yellow inputs above; these update)</t>
        </is>
      </c>
    </row>
    <row r="122">
      <c r="A122" s="29" t="inlineStr">
        <is>
          <t>Metric</t>
        </is>
      </c>
      <c r="B122" s="29" t="inlineStr">
        <is>
          <t>Value</t>
        </is>
      </c>
      <c r="C122" s="29" t="inlineStr">
        <is>
          <t>Driver cells</t>
        </is>
      </c>
    </row>
    <row r="123">
      <c r="A123" s="5" t="inlineStr">
        <is>
          <t>Combined combat DPS</t>
        </is>
      </c>
      <c r="B123" s="11">
        <f>$B$8</f>
        <v/>
      </c>
      <c r="C123" s="5" t="inlineStr">
        <is>
          <t>B6 player + B7 hunters</t>
        </is>
      </c>
    </row>
    <row r="124">
      <c r="A124" s="5" t="inlineStr">
        <is>
          <t>Baseline idle KillRate / min</t>
        </is>
      </c>
      <c r="B124" s="11">
        <f>$B$20</f>
        <v/>
      </c>
      <c r="C124" s="5" t="inlineStr">
        <is>
          <t>B11,B14,B15,B18,B19,B10</t>
        </is>
      </c>
    </row>
    <row r="125">
      <c r="A125" s="5" t="inlineStr">
        <is>
          <t>Crawling Hands TTK (sec)</t>
        </is>
      </c>
      <c r="B125" s="11">
        <f>O57</f>
        <v/>
      </c>
      <c r="C125" s="5" t="inlineStr">
        <is>
          <t>Row 57 monster block</t>
        </is>
      </c>
    </row>
    <row r="126">
      <c r="A126" s="5" t="inlineStr">
        <is>
          <t>Banshees TTK (sec)</t>
        </is>
      </c>
      <c r="B126" s="11">
        <f>O58</f>
        <v/>
      </c>
      <c r="C126" s="5" t="inlineStr">
        <is>
          <t>Row 58</t>
        </is>
      </c>
    </row>
    <row r="127">
      <c r="A127" s="5" t="inlineStr">
        <is>
          <t>Infernal Mages TTK (sec)</t>
        </is>
      </c>
      <c r="B127" s="11">
        <f>O59</f>
        <v/>
      </c>
      <c r="C127" s="5" t="inlineStr">
        <is>
          <t>Row 59 — uses hpMult; bump E or L for no-Pierce</t>
        </is>
      </c>
    </row>
    <row r="128">
      <c r="A128" s="5" t="inlineStr">
        <is>
          <t>Hands gold/hr (combat)</t>
        </is>
      </c>
      <c r="B128" s="11">
        <f>AD57</f>
        <v/>
      </c>
      <c r="C128" s="5" t="inlineStr"/>
    </row>
    <row r="129">
      <c r="A129" s="5" t="inlineStr">
        <is>
          <t>Banshees gold/hr (combat)</t>
        </is>
      </c>
      <c r="B129" s="11">
        <f>AD58</f>
        <v/>
      </c>
      <c r="C129" s="5" t="inlineStr"/>
    </row>
    <row r="130">
      <c r="A130" s="5" t="inlineStr">
        <is>
          <t>Mages gold/hr (combat)</t>
        </is>
      </c>
      <c r="B130" s="11">
        <f>AD59</f>
        <v/>
      </c>
      <c r="C130" s="5" t="inlineStr"/>
    </row>
    <row r="131">
      <c r="A131" s="5" t="inlineStr">
        <is>
          <t>Hands Rank XP/hr</t>
        </is>
      </c>
      <c r="B131" s="11">
        <f>AI57</f>
        <v/>
      </c>
      <c r="C131" s="5" t="inlineStr">
        <is>
          <t>Task finish XP formula</t>
        </is>
      </c>
    </row>
    <row r="132">
      <c r="A132" s="5" t="inlineStr">
        <is>
          <t>Banshees Rank XP/hr</t>
        </is>
      </c>
      <c r="B132" s="11">
        <f>AI58</f>
        <v/>
      </c>
      <c r="C132" s="5" t="inlineStr"/>
    </row>
    <row r="133">
      <c r="A133" s="5" t="inlineStr">
        <is>
          <t>Mages Rank XP/hr</t>
        </is>
      </c>
      <c r="B133" s="11">
        <f>AI59</f>
        <v/>
      </c>
      <c r="C133" s="5" t="inlineStr"/>
    </row>
    <row r="134">
      <c r="A134" s="5" t="inlineStr">
        <is>
          <t>Hours 0→Tracker (rank 2)</t>
        </is>
      </c>
      <c r="B134" s="11">
        <f>H33</f>
        <v/>
      </c>
      <c r="C134" s="5" t="inlineStr">
        <is>
          <t>Rank table + B27 XP/hr</t>
        </is>
      </c>
    </row>
    <row r="135">
      <c r="A135" s="5" t="inlineStr">
        <is>
          <t>Hours 0→Hunter (rank 3)</t>
        </is>
      </c>
      <c r="B135" s="11">
        <f>H34</f>
        <v/>
      </c>
      <c r="C135" s="5" t="inlineStr"/>
    </row>
    <row r="136">
      <c r="A136" s="5" t="inlineStr">
        <is>
          <t>Hours 0→Charter Lord (rank 9)</t>
        </is>
      </c>
      <c r="B136" s="11">
        <f>H40</f>
        <v/>
      </c>
      <c r="C136" s="5" t="inlineStr"/>
    </row>
    <row r="137">
      <c r="A137" s="5" t="inlineStr">
        <is>
          <t>Hours 0→Rank 20 (curve)</t>
        </is>
      </c>
      <c r="B137" s="11">
        <f>H51</f>
        <v/>
      </c>
      <c r="C137" s="5" t="inlineStr">
        <is>
          <t>Edit C thresholds or curve knobs</t>
        </is>
      </c>
    </row>
    <row r="138">
      <c r="A138" s="5" t="inlineStr">
        <is>
          <t>Suggested XP/hr from Hands</t>
        </is>
      </c>
      <c r="B138" s="11">
        <f>AI57</f>
        <v/>
      </c>
      <c r="C138" s="5" t="inlineStr">
        <is>
          <t>Paste into B27 to sync rank ETAs to Hands grind</t>
        </is>
      </c>
    </row>
    <row r="140" ht="48" customHeight="1">
      <c r="A140" s="30" t="inlineStr">
        <is>
          <t>HOW TO PLAY THE SHEET: 1) Edit yellow DPS / idle knobs (B6–B19). 2) Edit monster gold/HP/quota in section C. 3) Set B27 XP/hr (or copy Hands Rank XP/hr from dashboard). 4) Tweak rank thresholds (col C) or curve B24/B25 for ranks 10–20. 5) Watch blue TTK, gold/hr, Rank XP/hr, and hours-to-rank update. Gear/hunter minutes are independent time-gate tracks.</t>
        </is>
      </c>
    </row>
    <row r="142">
      <c r="A142" s="31" t="inlineStr">
        <is>
          <t>FEEL RISKS (design): (1) Scraps + signature mats have no sink yet. (2) Infernal Mage teach needs Pierce unlock ≤ Mage unlock. (3) Banshee aimAssist −8 before Quill is the first rage jump.</t>
        </is>
      </c>
    </row>
  </sheetData>
  <mergeCells count="14">
    <mergeCell ref="A53:K53"/>
    <mergeCell ref="A5:P5"/>
    <mergeCell ref="A113:I113"/>
    <mergeCell ref="A140:H140"/>
    <mergeCell ref="A97:H97"/>
    <mergeCell ref="A1:P1"/>
    <mergeCell ref="A23:P23"/>
    <mergeCell ref="A121:H121"/>
    <mergeCell ref="A55:P55"/>
    <mergeCell ref="A142:H142"/>
    <mergeCell ref="A80:H80"/>
    <mergeCell ref="A90:J90"/>
    <mergeCell ref="A68:J68"/>
    <mergeCell ref="A2:P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2026-09-24T03:14:34Z</dcterms:created>
  <dcterms:modified xsi:type="dcterms:W3CDTF">2026-09-24T03:14:35Z</dcterms:modified>
</cp:coreProperties>
</file>